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5f2cbe1ef24a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概要" sheetId="1" r:id="R3cdd032005fc4a49"/>
    <x:sheet xmlns:r="http://schemas.openxmlformats.org/officeDocument/2006/relationships" name="選手一覧" sheetId="2" r:id="R83abb52a20c54029"/>
    <x:sheet xmlns:r="http://schemas.openxmlformats.org/officeDocument/2006/relationships" name="レジェンド別枠" sheetId="3" r:id="Rf5e73f5c86f044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#,##0.0"/>
    <x:numFmt numFmtId="202" formatCode="#,##0 &quot;Cr&quot;"/>
    <x:numFmt numFmtId="203" formatCode="0.0%"/>
    <x:numFmt numFmtId="204" formatCode="0"/>
  </x:numFmts>
  <x:fonts count="10">
    <x:font>
      <x:sz val="11"/>
      <x:name val="Carlito"/>
    </x:font>
    <x:font>
      <x:b/>
      <x:sz val="18"/>
      <x:color rgb="FFFFFFFF"/>
      <x:name val="Carlito"/>
    </x:font>
    <x:font>
      <x:sz val="11"/>
      <x:color rgb="FF20313F"/>
      <x:name val="Carlito"/>
    </x:font>
    <x:font>
      <x:b/>
      <x:sz val="11"/>
      <x:color rgb="FFFFFFFF"/>
      <x:name val="Carlito"/>
    </x:font>
    <x:font>
      <x:b/>
      <x:sz val="11"/>
      <x:color rgb="FF20313F"/>
      <x:name val="Carlito"/>
    </x:font>
    <x:font>
      <x:b/>
      <x:sz val="18"/>
      <x:color rgb="FFFFFFFF"/>
      <x:name val="Yu Gothic"/>
    </x:font>
    <x:font>
      <x:sz val="11"/>
      <x:color rgb="FF20313F"/>
      <x:name val="Yu Gothic"/>
    </x:font>
    <x:font>
      <x:sz val="11"/>
      <x:name val="Yu Gothic"/>
    </x:font>
    <x:font>
      <x:b/>
      <x:sz val="11"/>
      <x:color rgb="FFFFFFFF"/>
      <x:name val="Yu Gothic"/>
    </x:font>
    <x:font>
      <x:b/>
      <x:sz val="11"/>
      <x:color rgb="FF20313F"/>
      <x:name val="Yu Gothic"/>
    </x:font>
  </x:fonts>
  <x:fills count="6">
    <x:fill>
      <x:patternFill patternType="none"/>
    </x:fill>
    <x:fill>
      <x:patternFill patternType="gray125"/>
    </x:fill>
    <x:fill>
      <x:patternFill patternType="solid">
        <x:fgColor rgb="FF18324A"/>
      </x:patternFill>
    </x:fill>
    <x:fill>
      <x:patternFill patternType="solid">
        <x:fgColor rgb="FFDCE8EF"/>
      </x:patternFill>
    </x:fill>
    <x:fill>
      <x:patternFill patternType="solid">
        <x:fgColor rgb="FF2F6B8A"/>
      </x:patternFill>
    </x:fill>
    <x:fill>
      <x:patternFill patternType="solid">
        <x:fgColor rgb="FFEAF2F7"/>
      </x:patternFill>
    </x:fill>
  </x:fills>
  <x:borders count="14">
    <x:border/>
    <x:border>
      <x:left style="thin">
        <x:color rgb="FFCAD8E2"/>
      </x:left>
      <x:top style="thin">
        <x:color rgb="FFCAD8E2"/>
      </x:top>
      <x:bottom style="thin">
        <x:color rgb="FFCAD8E2"/>
      </x:bottom>
    </x:border>
    <x:border>
      <x:right style="thin">
        <x:color rgb="FFCAD8E2"/>
      </x:right>
      <x:top style="thin">
        <x:color rgb="FFCAD8E2"/>
      </x:top>
      <x:bottom style="thin">
        <x:color rgb="FFCAD8E2"/>
      </x:bottom>
    </x:border>
    <x:border>
      <x:top style="thin">
        <x:color rgb="FFCAD8E2"/>
      </x:top>
      <x:bottom style="thin">
        <x:color rgb="FFCAD8E2"/>
      </x:bottom>
    </x:border>
    <x:border>
      <x:right style="thin">
        <x:color rgb="FFCAD8E2"/>
      </x:right>
      <x:bottom style="thin">
        <x:color rgb="FFCAD8E2"/>
      </x:bottom>
    </x:border>
    <x:border>
      <x:left style="thin">
        <x:color rgb="FFCAD8E2"/>
      </x:left>
      <x:bottom style="thin">
        <x:color rgb="FFCAD8E2"/>
      </x:bottom>
    </x:border>
    <x:border>
      <x:right style="thin">
        <x:color rgb="FFCAD8E2"/>
      </x:right>
      <x:top style="thin">
        <x:color rgb="FFCAD8E2"/>
      </x:top>
    </x:border>
    <x:border>
      <x:left style="thin">
        <x:color rgb="FFCAD8E2"/>
      </x:left>
      <x:top style="thin">
        <x:color rgb="FFCAD8E2"/>
      </x:top>
    </x:border>
    <x:border>
      <x:left style="thin">
        <x:color rgb="FFCAD8E2"/>
      </x:left>
      <x:right style="thin">
        <x:color rgb="FFCAD8E2"/>
      </x:right>
      <x:bottom style="thin">
        <x:color rgb="FFCAD8E2"/>
      </x:bottom>
    </x:border>
    <x:border>
      <x:left style="thin">
        <x:color rgb="FFCAD8E2"/>
      </x:left>
      <x:right style="thin">
        <x:color rgb="FFCAD8E2"/>
      </x:right>
      <x:top style="thin">
        <x:color rgb="FFCAD8E2"/>
      </x:top>
      <x:bottom style="thin">
        <x:color rgb="FFCAD8E2"/>
      </x:bottom>
    </x:border>
    <x:border>
      <x:left style="thin">
        <x:color rgb="FFCAD8E2"/>
      </x:left>
      <x:right style="thin">
        <x:color rgb="FFCAD8E2"/>
      </x:right>
      <x:top style="thin">
        <x:color rgb="FFCAD8E2"/>
      </x:top>
    </x:border>
    <x:border>
      <x:bottom style="thin">
        <x:color rgb="FFE2E9EE"/>
      </x:bottom>
    </x:border>
    <x:border>
      <x:top style="thin">
        <x:color rgb="FFE2E9EE"/>
      </x:top>
      <x:bottom style="thin">
        <x:color rgb="FFE2E9EE"/>
      </x:bottom>
    </x:border>
    <x:border>
      <x:top style="thin">
        <x:color rgb="FFE2E9EE"/>
      </x:top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/>
    <x:xf numFmtId="0" fontId="3" fillId="4" borderId="3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2" xfId="0" applyNumberFormat="1" applyFont="1" applyFill="1" applyBorder="1"/>
    <x:xf numFmtId="0" fontId="0" fillId="0" borderId="1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5" xfId="0" applyNumberFormat="1" applyFont="1" applyFill="1" applyBorder="1"/>
    <x:xf numFmtId="200" fontId="0" fillId="0" borderId="1" xfId="0" applyNumberFormat="1" applyFont="1" applyFill="1" applyBorder="1"/>
    <x:xf numFmtId="201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3" xfId="0" applyNumberFormat="1" applyFont="1" applyFill="1" applyBorder="1"/>
    <x:xf numFmtId="0" fontId="4" fillId="5" borderId="2" xfId="0" applyNumberFormat="1" applyFont="1" applyFill="1" applyBorder="1"/>
    <x:xf numFmtId="202" fontId="0" fillId="0" borderId="5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0" fontId="8" fillId="4" borderId="1" xfId="0" applyNumberFormat="1" applyFont="1" applyFill="1" applyBorder="1" applyAlignment="1">
      <x:alignment horizontal="center" vertical="center" wrapText="1"/>
    </x:xf>
    <x:xf numFmtId="0" fontId="8" fillId="4" borderId="2" xfId="0" applyNumberFormat="1" applyFont="1" applyFill="1" applyBorder="1" applyAlignment="1">
      <x:alignment horizontal="center" vertical="center" wrapText="1"/>
    </x:xf>
    <x:xf numFmtId="0" fontId="8" fillId="4" borderId="3" xfId="0" applyNumberFormat="1" applyFont="1" applyFill="1" applyBorder="1" applyAlignment="1">
      <x:alignment horizontal="center" vertical="center" wrapText="1"/>
    </x:xf>
    <x:xf numFmtId="0" fontId="7" fillId="0" borderId="4" xfId="0" applyNumberFormat="1" applyFont="1" applyFill="1" applyBorder="1"/>
    <x:xf numFmtId="200" fontId="7" fillId="0" borderId="5" xfId="0" applyNumberFormat="1" applyFont="1" applyFill="1" applyBorder="1"/>
    <x:xf numFmtId="0" fontId="7" fillId="0" borderId="4" xfId="0" applyNumberFormat="1" applyFont="1" applyFill="1" applyBorder="1" applyAlignment="1">
      <x:alignment wrapText="1"/>
    </x:xf>
    <x:xf numFmtId="0" fontId="7" fillId="0" borderId="8" xfId="0" applyNumberFormat="1" applyFont="1" applyFill="1" applyBorder="1" applyAlignment="1">
      <x:alignment wrapText="1"/>
    </x:xf>
    <x:xf numFmtId="0" fontId="7" fillId="0" borderId="5" xfId="0" applyNumberFormat="1" applyFont="1" applyFill="1" applyBorder="1" applyAlignment="1">
      <x:alignment wrapText="1"/>
    </x:xf>
    <x:xf numFmtId="0" fontId="7" fillId="0" borderId="2" xfId="0" applyNumberFormat="1" applyFont="1" applyFill="1" applyBorder="1"/>
    <x:xf numFmtId="200" fontId="7" fillId="0" borderId="1" xfId="0" applyNumberFormat="1" applyFont="1" applyFill="1" applyBorder="1"/>
    <x:xf numFmtId="0" fontId="7" fillId="0" borderId="2" xfId="0" applyNumberFormat="1" applyFont="1" applyFill="1" applyBorder="1" applyAlignment="1">
      <x:alignment wrapText="1"/>
    </x:xf>
    <x:xf numFmtId="0" fontId="7" fillId="0" borderId="9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wrapText="1"/>
    </x:xf>
    <x:xf numFmtId="0" fontId="7" fillId="0" borderId="6" xfId="0" applyNumberFormat="1" applyFont="1" applyFill="1" applyBorder="1" applyAlignment="1">
      <x:alignment wrapText="1"/>
    </x:xf>
    <x:xf numFmtId="0" fontId="7" fillId="0" borderId="10" xfId="0" applyNumberFormat="1" applyFont="1" applyFill="1" applyBorder="1" applyAlignment="1">
      <x:alignment wrapText="1"/>
    </x:xf>
    <x:xf numFmtId="0" fontId="7" fillId="0" borderId="7" xfId="0" applyNumberFormat="1" applyFont="1" applyFill="1" applyBorder="1" applyAlignment="1">
      <x:alignment wrapText="1"/>
    </x:xf>
    <x:xf numFmtId="0" fontId="7" fillId="0" borderId="6" xfId="0" applyNumberFormat="1" applyFont="1" applyFill="1" applyBorder="1"/>
    <x:xf numFmtId="201" fontId="7" fillId="0" borderId="7" xfId="0" applyNumberFormat="1" applyFont="1" applyFill="1" applyBorder="1"/>
    <x:xf numFmtId="0" fontId="9" fillId="5" borderId="1" xfId="0" applyNumberFormat="1" applyFont="1" applyFill="1" applyBorder="1"/>
    <x:xf numFmtId="0" fontId="9" fillId="5" borderId="3" xfId="0" applyNumberFormat="1" applyFont="1" applyFill="1" applyBorder="1"/>
    <x:xf numFmtId="0" fontId="9" fillId="5" borderId="2" xfId="0" applyNumberFormat="1" applyFont="1" applyFill="1" applyBorder="1"/>
    <x:xf numFmtId="202" fontId="7" fillId="0" borderId="5" xfId="0" applyNumberFormat="1" applyFont="1" applyFill="1" applyBorder="1" applyAlignment="1">
      <x:alignment wrapText="1"/>
    </x:xf>
    <x:xf numFmtId="202" fontId="7" fillId="0" borderId="1" xfId="0" applyNumberFormat="1" applyFont="1" applyFill="1" applyBorder="1" applyAlignment="1">
      <x:alignment wrapText="1"/>
    </x:xf>
    <x:xf numFmtId="203" fontId="7" fillId="0" borderId="1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6" fillId="0" borderId="11" xfId="0" applyNumberFormat="1" applyFont="1" applyFill="1" applyBorder="1"/>
    <x:xf numFmtId="0" fontId="6" fillId="0" borderId="12" xfId="0" applyNumberFormat="1" applyFont="1" applyFill="1" applyBorder="1"/>
    <x:xf numFmtId="0" fontId="6" fillId="0" borderId="13" xfId="0" applyNumberFormat="1" applyFont="1" applyFill="1" applyBorder="1"/>
    <x:xf numFmtId="0" fontId="6" fillId="0" borderId="11" xfId="0" applyNumberFormat="1" applyFont="1" applyFill="1" applyBorder="1" applyAlignment="1">
      <x:alignment vertical="center"/>
    </x:xf>
    <x:xf numFmtId="0" fontId="6" fillId="0" borderId="12" xfId="0" applyNumberFormat="1" applyFont="1" applyFill="1" applyBorder="1" applyAlignment="1">
      <x:alignment vertical="center"/>
    </x:xf>
    <x:xf numFmtId="0" fontId="6" fillId="0" borderId="13" xfId="0" applyNumberFormat="1" applyFont="1" applyFill="1" applyBorder="1" applyAlignment="1">
      <x:alignment vertical="center"/>
    </x:xf>
    <x:xf numFmtId="204" fontId="6" fillId="0" borderId="11" xfId="0" applyNumberFormat="1" applyFont="1" applyFill="1" applyBorder="1" applyAlignment="1">
      <x:alignment vertical="center"/>
    </x:xf>
    <x:xf numFmtId="204" fontId="6" fillId="0" borderId="12" xfId="0" applyNumberFormat="1" applyFont="1" applyFill="1" applyBorder="1" applyAlignment="1">
      <x:alignment vertical="center"/>
    </x:xf>
    <x:xf numFmtId="204" fontId="6" fillId="0" borderId="13" xfId="0" applyNumberFormat="1" applyFont="1" applyFill="1" applyBorder="1" applyAlignment="1">
      <x:alignment vertical="center"/>
    </x:xf>
    <x:xf numFmtId="202" fontId="6" fillId="0" borderId="11" xfId="0" applyNumberFormat="1" applyFont="1" applyFill="1" applyBorder="1" applyAlignment="1">
      <x:alignment vertical="center"/>
    </x:xf>
    <x:xf numFmtId="202" fontId="6" fillId="0" borderId="12" xfId="0" applyNumberFormat="1" applyFont="1" applyFill="1" applyBorder="1" applyAlignment="1">
      <x:alignment vertical="center"/>
    </x:xf>
    <x:xf numFmtId="202" fontId="6" fillId="0" borderId="13" xfId="0" applyNumberFormat="1" applyFont="1" applyFill="1" applyBorder="1" applyAlignment="1">
      <x:alignment vertical="center"/>
    </x:xf>
    <x:xf numFmtId="0" fontId="6" fillId="0" borderId="11" xfId="0" applyNumberFormat="1" applyFont="1" applyFill="1" applyBorder="1" applyAlignment="1">
      <x:alignment vertical="center" wrapText="1"/>
    </x:xf>
    <x:xf numFmtId="0" fontId="6" fillId="0" borderId="12" xfId="0" applyNumberFormat="1" applyFont="1" applyFill="1" applyBorder="1" applyAlignment="1">
      <x:alignment vertical="center" wrapText="1"/>
    </x:xf>
    <x:xf numFmtId="0" fontId="6" fillId="0" borderId="13" xfId="0" applyNumberFormat="1" applyFont="1" applyFill="1" applyBorder="1" applyAlignment="1">
      <x:alignment vertical="center" wrapText="1"/>
    </x:xf>
    <x:xf numFmtId="204" fontId="6" fillId="0" borderId="11" xfId="0" applyNumberFormat="1" applyFont="1" applyFill="1" applyBorder="1"/>
    <x:xf numFmtId="204" fontId="6" fillId="0" borderId="12" xfId="0" applyNumberFormat="1" applyFont="1" applyFill="1" applyBorder="1"/>
    <x:xf numFmtId="204" fontId="6" fillId="0" borderId="13" xfId="0" applyNumberFormat="1" applyFont="1" applyFill="1" applyBorder="1"/>
    <x:xf numFmtId="202" fontId="6" fillId="0" borderId="11" xfId="0" applyNumberFormat="1" applyFont="1" applyFill="1" applyBorder="1"/>
    <x:xf numFmtId="202" fontId="6" fillId="0" borderId="12" xfId="0" applyNumberFormat="1" applyFont="1" applyFill="1" applyBorder="1"/>
    <x:xf numFmtId="202" fontId="6" fillId="0" borderId="13" xfId="0" applyNumberFormat="1" applyFont="1" applyFill="1" applyBorder="1"/>
    <x:xf numFmtId="0" fontId="6" fillId="0" borderId="11" xfId="0" applyNumberFormat="1" applyFont="1" applyFill="1" applyBorder="1" applyAlignment="1">
      <x:alignment wrapText="1"/>
    </x:xf>
    <x:xf numFmtId="202" fontId="6" fillId="0" borderId="11" xfId="0" applyNumberFormat="1" applyFont="1" applyFill="1" applyBorder="1" applyAlignment="1">
      <x:alignment wrapText="1"/>
    </x:xf>
    <x:xf numFmtId="0" fontId="6" fillId="0" borderId="12" xfId="0" applyNumberFormat="1" applyFont="1" applyFill="1" applyBorder="1" applyAlignment="1">
      <x:alignment wrapText="1"/>
    </x:xf>
    <x:xf numFmtId="202" fontId="6" fillId="0" borderId="12" xfId="0" applyNumberFormat="1" applyFont="1" applyFill="1" applyBorder="1" applyAlignment="1">
      <x:alignment wrapText="1"/>
    </x:xf>
    <x:xf numFmtId="0" fontId="6" fillId="0" borderId="13" xfId="0" applyNumberFormat="1" applyFont="1" applyFill="1" applyBorder="1" applyAlignment="1">
      <x:alignment wrapText="1"/>
    </x:xf>
    <x:xf numFmtId="202" fontId="6" fillId="0" borderId="13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  <x:color rgb="FF5B3A00"/>
      </x:font>
      <x:fill>
        <x:patternFill patternType="solid">
          <x:bgColor rgb="FFF4D35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def5365ce441cf" /><Relationship Type="http://schemas.openxmlformats.org/officeDocument/2006/relationships/theme" Target="/xl/theme/theme1.xml" Id="Ra9c8eab782504d27" /><Relationship Type="http://schemas.openxmlformats.org/officeDocument/2006/relationships/sharedStrings" Target="/xl/sharedStrings.xml" Id="R872d89a66be3446d" /><Relationship Type="http://schemas.openxmlformats.org/officeDocument/2006/relationships/worksheet" Target="/xl/worksheets/sheet1.xml" Id="R3cdd032005fc4a49" /><Relationship Type="http://schemas.openxmlformats.org/officeDocument/2006/relationships/worksheet" Target="/xl/worksheets/sheet2.xml" Id="R83abb52a20c54029" /><Relationship Type="http://schemas.openxmlformats.org/officeDocument/2006/relationships/worksheet" Target="/xl/worksheets/sheet3.xml" Id="Rf5e73f5c86f04460" /></Relationships>
</file>

<file path=xl/tables/table1.xml><?xml version="1.0" encoding="utf-8"?>
<x:table xmlns:x="http://schemas.openxmlformats.org/spreadsheetml/2006/main" id="1" name="RiderMotifTable" displayName="RiderMotifTable" ref="A4:N204" headerRowCount="1" totalsRowCount="0" totalsRowShown="0">
  <x:tableColumns count="14">
    <x:tableColumn id="1" name="No."/>
    <x:tableColumn id="2" name="実在選手名"/>
    <x:tableColumn id="3" name="国・地域"/>
    <x:tableColumn id="4" name="時代区分"/>
    <x:tableColumn id="5" name="主脚質"/>
    <x:tableColumn id="6" name="副脚質"/>
    <x:tableColumn id="7" name="エース適性"/>
    <x:tableColumn id="8" name="アシスト適性"/>
    <x:tableColumn id="9" name="得意役割"/>
    <x:tableColumn id="10" name="専門役割"/>
    <x:tableColumn id="11" name="適性タグ"/>
    <x:tableColumn id="12" name="仮Credit"/>
    <x:tableColumn id="13" name="主なモチーフ"/>
    <x:tableColumn id="14" name="人物確認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egacyRiderTable" displayName="LegacyRiderTable" ref="A4:K15" headerRowCount="1" totalsRowCount="0" totalsRowShown="0">
  <x:tableColumns count="11">
    <x:tableColumn id="1" name="No."/>
    <x:tableColumn id="2" name="実在選手名"/>
    <x:tableColumn id="3" name="国・地域"/>
    <x:tableColumn id="4" name="時代区分"/>
    <x:tableColumn id="5" name="主脚質"/>
    <x:tableColumn id="6" name="副脚質"/>
    <x:tableColumn id="7" name="エース適性"/>
    <x:tableColumn id="8" name="アシスト適性"/>
    <x:tableColumn id="9" name="適性タグ"/>
    <x:tableColumn id="10" name="仮Credit"/>
    <x:tableColumn id="11" name="人物確認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78fc96696fe4b5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35ffa8aae4f4af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48" hidden="0" customWidth="1"/>
    <x:col min="3" max="3" width="3" hidden="0" customWidth="1"/>
    <x:col min="4" max="4" width="22" hidden="0" customWidth="1"/>
    <x:col min="5" max="5" width="10" hidden="0" customWidth="1"/>
    <x:col min="6" max="6" width="45" hidden="0" customWidth="1"/>
  </x:cols>
  <x:sheetData>
    <x:row r="1" ht="34" customHeight="1">
      <x:c r="A1" s="50" t="str">
        <x:v>初期ロードレース選手モチーフ 200名 — 主脚質・副脚質＋適性タグ</x:v>
      </x:c>
      <x:c r="B1" s="50"/>
      <x:c r="C1" s="50"/>
      <x:c r="D1" s="50"/>
      <x:c r="E1" s="50"/>
      <x:c r="F1" s="50"/>
    </x:row>
    <x:row r="2" ht="34" customHeight="1">
      <x:c r="A2" s="51" t="str">
        <x:v>主脚質を最も強く、副脚質を次点、適性タグを第3脚質ではない局面適性として分離します。</x:v>
      </x:c>
      <x:c r="B2" s="51"/>
      <x:c r="C2" s="51"/>
      <x:c r="D2" s="51"/>
      <x:c r="E2" s="51"/>
      <x:c r="F2" s="51"/>
    </x:row>
    <x:row r="3" ht="22" customHeight="1">
      <x:c r="A3" s="52"/>
      <x:c r="B3" s="52"/>
      <x:c r="C3" s="52"/>
      <x:c r="D3" s="52"/>
      <x:c r="E3" s="52"/>
      <x:c r="F3" s="52"/>
    </x:row>
    <x:row r="4" ht="22" customHeight="1">
      <x:c r="A4" s="53" t="str">
        <x:v>検証項目</x:v>
      </x:c>
      <x:c r="B4" s="54" t="str">
        <x:v>値</x:v>
      </x:c>
      <x:c r="C4" s="52"/>
      <x:c r="D4" s="53" t="str">
        <x:v>主脚質</x:v>
      </x:c>
      <x:c r="E4" s="55" t="str">
        <x:v>人数</x:v>
      </x:c>
      <x:c r="F4" s="54" t="str">
        <x:v>設計上の意味</x:v>
      </x:c>
    </x:row>
    <x:row r="5" ht="22" customHeight="1">
      <x:c r="A5" s="56" t="str">
        <x:v>総人数</x:v>
      </x:c>
      <x:c r="B5" s="57" t="n">
        <x:f>COUNTA('選手一覧'!$B$5:$B$204)</x:f>
        <x:v>200</x:v>
      </x:c>
      <x:c r="C5" s="52"/>
      <x:c r="D5" s="58" t="str">
        <x:v>総合型</x:v>
      </x:c>
      <x:c r="E5" s="59" t="n">
        <x:f>COUNTIF('選手一覧'!$E$5:$E$204,D5)</x:f>
        <x:v>14</x:v>
      </x:c>
      <x:c r="F5" s="60" t="str">
        <x:v>長期総合、登坂、TT、日ごとの回復</x:v>
      </x:c>
    </x:row>
    <x:row r="6" ht="22" customHeight="1">
      <x:c r="A6" s="61" t="str">
        <x:v>主脚質数</x:v>
      </x:c>
      <x:c r="B6" s="62" t="n">
        <x:f>COUNTA(D5:D10)</x:f>
        <x:v>6</x:v>
      </x:c>
      <x:c r="C6" s="52"/>
      <x:c r="D6" s="63" t="str">
        <x:v>スプリンター</x:v>
      </x:c>
      <x:c r="E6" s="64" t="n">
        <x:f>COUNTIF('選手一覧'!$E$5:$E$204,D6)</x:f>
        <x:v>34</x:v>
      </x:c>
      <x:c r="F6" s="65" t="str">
        <x:v>平坦の最高速、位置取り、発射台連携</x:v>
      </x:c>
    </x:row>
    <x:row r="7" ht="22" customHeight="1">
      <x:c r="A7" s="61" t="str">
        <x:v>ステージハンター適性</x:v>
      </x:c>
      <x:c r="B7" s="62" t="n">
        <x:f>COUNTIF('選手一覧'!$J$5:$J$204,"ステージハンター")</x:f>
        <x:v>10</x:v>
      </x:c>
      <x:c r="C7" s="52"/>
      <x:c r="D7" s="63" t="str">
        <x:v>クライマー</x:v>
      </x:c>
      <x:c r="E7" s="64" t="n">
        <x:f>COUNTIF('選手一覧'!$E$5:$E$204,D7)</x:f>
        <x:v>40</x:v>
      </x:c>
      <x:c r="F7" s="65" t="str">
        <x:v>長い登坂、山岳耐久、軽量性</x:v>
      </x:c>
    </x:row>
    <x:row r="8" ht="22" customHeight="1">
      <x:c r="A8" s="61" t="str">
        <x:v>逃げ屋適性</x:v>
      </x:c>
      <x:c r="B8" s="62" t="n">
        <x:f>COUNTIF('選手一覧'!$J$5:$J$204,"逃げ屋")</x:f>
        <x:v>10</x:v>
      </x:c>
      <x:c r="C8" s="52"/>
      <x:c r="D8" s="63" t="str">
        <x:v>パンチャー</x:v>
      </x:c>
      <x:c r="E8" s="64" t="n">
        <x:f>COUNTIF('選手一覧'!$E$5:$E$204,D8)</x:f>
        <x:v>11</x:v>
      </x:c>
      <x:c r="F8" s="65" t="str">
        <x:v>短い急坂、反復加速、丘陵決着</x:v>
      </x:c>
    </x:row>
    <x:row r="9" ht="22" customHeight="1">
      <x:c r="A9" s="61" t="str">
        <x:v>日本人モチーフ</x:v>
      </x:c>
      <x:c r="B9" s="62" t="n">
        <x:f>COUNTIF('選手一覧'!$C$5:$C$204,"日本")</x:f>
        <x:v>2</x:v>
      </x:c>
      <x:c r="C9" s="52"/>
      <x:c r="D9" s="63" t="str">
        <x:v>クラシック型</x:v>
      </x:c>
      <x:c r="E9" s="64" t="n">
        <x:f>COUNTIF('選手一覧'!$E$5:$E$204,D9)</x:f>
        <x:v>49</x:v>
      </x:c>
      <x:c r="F9" s="65" t="str">
        <x:v>石畳、横風、位置取り、悪天候</x:v>
      </x:c>
    </x:row>
    <x:row r="10" ht="22" customHeight="1">
      <x:c r="A10" s="61" t="str">
        <x:v>エース適性80以上</x:v>
      </x:c>
      <x:c r="B10" s="62" t="n">
        <x:f>COUNTIF('選手一覧'!$G$5:$G$204,"&gt;=80")</x:f>
        <x:v>61</x:v>
      </x:c>
      <x:c r="C10" s="52"/>
      <x:c r="D10" s="66" t="str">
        <x:v>TT・ルーラー型</x:v>
      </x:c>
      <x:c r="E10" s="67" t="n">
        <x:f>COUNTIF('選手一覧'!$E$5:$E$204,D10)</x:f>
        <x:v>52</x:v>
      </x:c>
      <x:c r="F10" s="68" t="str">
        <x:v>巡航、単独走、集団牽引、隊列維持</x:v>
      </x:c>
    </x:row>
    <x:row r="11" ht="22" customHeight="1">
      <x:c r="A11" s="61" t="str">
        <x:v>アシスト適性80以上</x:v>
      </x:c>
      <x:c r="B11" s="62" t="n">
        <x:f>COUNTIF('選手一覧'!$H$5:$H$204,"&gt;=80")</x:f>
        <x:v>148</x:v>
      </x:c>
      <x:c r="C11" s="52"/>
      <x:c r="D11" s="52"/>
      <x:c r="E11" s="52"/>
      <x:c r="F11" s="52"/>
    </x:row>
    <x:row r="12" ht="22" customHeight="1">
      <x:c r="A12" s="69" t="str">
        <x:v>平均仮Credit</x:v>
      </x:c>
      <x:c r="B12" s="70" t="n">
        <x:f>AVERAGE('選手一覧'!$L$5:$L$204)</x:f>
        <x:v>6517.75</x:v>
      </x:c>
      <x:c r="C12" s="52"/>
      <x:c r="D12" s="52"/>
      <x:c r="E12" s="52"/>
      <x:c r="F12" s="52"/>
    </x:row>
    <x:row r="13" ht="22" customHeight="1">
      <x:c r="A13" s="52"/>
      <x:c r="B13" s="52"/>
      <x:c r="C13" s="52"/>
      <x:c r="D13" s="52"/>
      <x:c r="E13" s="52"/>
      <x:c r="F13" s="52"/>
    </x:row>
    <x:row r="14" ht="22" customHeight="1">
      <x:c r="A14" s="52"/>
      <x:c r="B14" s="52"/>
      <x:c r="C14" s="52"/>
      <x:c r="D14" s="52"/>
      <x:c r="E14" s="52"/>
      <x:c r="F14" s="52"/>
    </x:row>
    <x:row r="15" ht="22" customHeight="1">
      <x:c r="A15" s="71" t="str">
        <x:v>主脚質・副脚質＋適性タグのルール</x:v>
      </x:c>
      <x:c r="B15" s="72"/>
      <x:c r="C15" s="72"/>
      <x:c r="D15" s="72"/>
      <x:c r="E15" s="72"/>
      <x:c r="F15" s="73"/>
    </x:row>
    <x:row r="16" ht="40" customHeight="1">
      <x:c r="A16" s="58" t="str">
        <x:v>選手固有</x:v>
      </x:c>
      <x:c r="B16" s="60" t="str">
        <x:v>主脚質 / 副脚質 / 適性タグ（最大3つ） / エース適性 / アシスト適性</x:v>
      </x:c>
      <x:c r="C16" s="52"/>
      <x:c r="D16" s="52"/>
      <x:c r="E16" s="52"/>
      <x:c r="F16" s="52"/>
    </x:row>
    <x:row r="17" ht="40" customHeight="1">
      <x:c r="A17" s="63" t="str">
        <x:v>レース役割</x:v>
      </x:c>
      <x:c r="B17" s="65" t="str">
        <x:v>当日エース / 副エース / アシスト / ロードキャプテン / リードアウト / ステージハンター / 逃げ屋</x:v>
      </x:c>
      <x:c r="C17" s="52"/>
      <x:c r="D17" s="52"/>
      <x:c r="E17" s="52"/>
      <x:c r="F17" s="52"/>
    </x:row>
    <x:row r="18" ht="40" customHeight="1">
      <x:c r="A18" s="63" t="str">
        <x:v>8人編成</x:v>
      </x:c>
      <x:c r="B18" s="65" t="str">
        <x:v>エース候補2名＋支援役割6名を基本形。支援役割は固定身分ではなく当日の任務</x:v>
      </x:c>
      <x:c r="C18" s="52"/>
      <x:c r="D18" s="52"/>
      <x:c r="E18" s="52"/>
      <x:c r="F18" s="52"/>
    </x:row>
    <x:row r="19" ht="40" customHeight="1">
      <x:c r="A19" s="63" t="str">
        <x:v>役割変更</x:v>
      </x:c>
      <x:c r="B19" s="65" t="str">
        <x:v>コース、体調、疲労、健康度、年間目標により同じ選手の担当を変更可能</x:v>
      </x:c>
      <x:c r="C19" s="52"/>
      <x:c r="D19" s="52"/>
      <x:c r="E19" s="52"/>
      <x:c r="F19" s="52"/>
    </x:row>
    <x:row r="20" ht="40" customHeight="1">
      <x:c r="A20" s="63" t="str">
        <x:v>適性値</x:v>
      </x:c>
      <x:c r="B20" s="65" t="str">
        <x:v>0〜100。高いほどその任務で能力と固有パッシブを発揮しやすい</x:v>
      </x:c>
      <x:c r="C20" s="52"/>
      <x:c r="D20" s="52"/>
      <x:c r="E20" s="52"/>
      <x:c r="F20" s="52"/>
    </x:row>
    <x:row r="21" ht="40" customHeight="1">
      <x:c r="A21" s="63" t="str">
        <x:v>適性タグ</x:v>
      </x:c>
      <x:c r="B21" s="65" t="str">
        <x:v>第3脚質ではなく局面適性。最大3つ。主副脚質の人数集計には含めない</x:v>
      </x:c>
      <x:c r="C21" s="52"/>
      <x:c r="D21" s="52"/>
      <x:c r="E21" s="52"/>
      <x:c r="F21" s="52"/>
    </x:row>
    <x:row r="22" ht="40" customHeight="1">
      <x:c r="A22" s="63" t="str">
        <x:v>年俸上限</x:v>
      </x:c>
      <x:c r="B22" s="65" t="str">
        <x:v>通常42,000 / 上位45,000 / 最高峰48,000 Cr</x:v>
      </x:c>
      <x:c r="C22" s="52"/>
      <x:c r="D22" s="52"/>
      <x:c r="E22" s="52"/>
      <x:c r="F22" s="52"/>
    </x:row>
    <x:row r="23" ht="40" customHeight="1">
      <x:c r="A23" s="66" t="str">
        <x:v>日本人</x:v>
      </x:c>
      <x:c r="B23" s="68" t="str">
        <x:v>Fumiyuki Beppu / Yukiya Arashiro モチーフ</x:v>
      </x:c>
      <x:c r="C23" s="52"/>
      <x:c r="D23" s="52"/>
      <x:c r="E23" s="52"/>
      <x:c r="F23" s="52"/>
    </x:row>
    <x:row r="24" ht="22" customHeight="1">
      <x:c r="A24" s="52"/>
      <x:c r="B24" s="52"/>
      <x:c r="C24" s="52"/>
      <x:c r="D24" s="52"/>
      <x:c r="E24" s="52"/>
      <x:c r="F24" s="52"/>
    </x:row>
    <x:row r="25" ht="22" customHeight="1">
      <x:c r="A25" s="71" t="str">
        <x:v>参考情報</x:v>
      </x:c>
      <x:c r="B25" s="72"/>
      <x:c r="C25" s="72"/>
      <x:c r="D25" s="72"/>
      <x:c r="E25" s="72"/>
      <x:c r="F25" s="73"/>
    </x:row>
    <x:row r="26" ht="22" customHeight="1">
      <x:c r="A26" s="53" t="str">
        <x:v>項目</x:v>
      </x:c>
      <x:c r="B26" s="54" t="str">
        <x:v>URL</x:v>
      </x:c>
      <x:c r="C26" s="52"/>
      <x:c r="D26" s="52"/>
      <x:c r="E26" s="52"/>
      <x:c r="F26" s="52"/>
    </x:row>
    <x:row r="27" ht="34" customHeight="1">
      <x:c r="A27" s="58" t="str">
        <x:v>UCI 世界選手権史</x:v>
      </x:c>
      <x:c r="B27" s="60" t="str">
        <x:v>https://www.uci.org/article/the-history-and-the-records-of-road-s-rainbow-jersey/3Qvg8Z7qJQeieqj8EYNoCd</x:v>
      </x:c>
      <x:c r="C27" s="52"/>
      <x:c r="D27" s="52"/>
      <x:c r="E27" s="52"/>
      <x:c r="F27" s="52"/>
    </x:row>
    <x:row r="28" ht="34" customHeight="1">
      <x:c r="A28" s="63" t="str">
        <x:v>Tour de France 公式</x:v>
      </x:c>
      <x:c r="B28" s="65" t="str">
        <x:v>https://www.letour.fr/en/</x:v>
      </x:c>
      <x:c r="C28" s="52"/>
      <x:c r="D28" s="52"/>
      <x:c r="E28" s="52"/>
      <x:c r="F28" s="52"/>
    </x:row>
    <x:row r="29" ht="34" customHeight="1">
      <x:c r="A29" s="66" t="str">
        <x:v>Giro d’Italia 公式</x:v>
      </x:c>
      <x:c r="B29" s="68" t="str">
        <x:v>https://www.giroditalia.it/en/</x:v>
      </x:c>
      <x:c r="C29" s="52"/>
      <x:c r="D29" s="52"/>
      <x:c r="E29" s="52"/>
      <x:c r="F29" s="52"/>
    </x:row>
    <x:row r="30" ht="22" customHeight="1">
      <x:c r="A30" s="52"/>
      <x:c r="B30" s="52"/>
      <x:c r="C30" s="52"/>
      <x:c r="D30" s="52"/>
      <x:c r="E30" s="52"/>
      <x:c r="F30" s="52"/>
    </x:row>
    <x:row r="31" ht="22" customHeight="1">
      <x:c r="A31" s="71" t="str">
        <x:v>Credit適正化検証</x:v>
      </x:c>
      <x:c r="B31" s="72"/>
      <x:c r="C31" s="72"/>
      <x:c r="D31" s="72"/>
      <x:c r="E31" s="72"/>
      <x:c r="F31" s="73"/>
    </x:row>
    <x:row r="32" ht="22" customHeight="1">
      <x:c r="A32" s="58" t="str">
        <x:v>最高Credit</x:v>
      </x:c>
      <x:c r="B32" s="74" t="n">
        <x:f>MAX('選手一覧'!$L$5:$L$204)</x:f>
        <x:v>15000</x:v>
      </x:c>
      <x:c r="C32" s="52"/>
      <x:c r="D32" s="53" t="str">
        <x:v>価格帯</x:v>
      </x:c>
      <x:c r="E32" s="55" t="str">
        <x:v>人数</x:v>
      </x:c>
      <x:c r="F32" s="54" t="str">
        <x:v>設計意図</x:v>
      </x:c>
    </x:row>
    <x:row r="33" ht="22" customHeight="1">
      <x:c r="A33" s="63" t="str">
        <x:v>最高額選手</x:v>
      </x:c>
      <x:c r="B33" s="75" t="str">
        <x:f>INDEX('選手一覧'!$B$5:$B$204,MATCH(B32,'選手一覧'!$L$5:$L$204,0))</x:f>
        <x:v>Tadej Pogacar</x:v>
      </x:c>
      <x:c r="C33" s="52"/>
      <x:c r="D33" s="58" t="str">
        <x:v>15,000 Cr</x:v>
      </x:c>
      <x:c r="E33" s="59" t="n">
        <x:f>COUNTIF('選手一覧'!$L$5:$L$204,15000)</x:f>
        <x:v>1</x:v>
      </x:c>
      <x:c r="F33" s="60" t="str">
        <x:v>世代最強級の例外枠</x:v>
      </x:c>
    </x:row>
    <x:row r="34" ht="22" customHeight="1">
      <x:c r="A34" s="63" t="str">
        <x:v>中央値</x:v>
      </x:c>
      <x:c r="B34" s="75" t="n">
        <x:f>MEDIAN('選手一覧'!$L$5:$L$204)</x:f>
        <x:v>6000</x:v>
      </x:c>
      <x:c r="C34" s="52"/>
      <x:c r="D34" s="63" t="str">
        <x:v>12,000–14,999 Cr</x:v>
      </x:c>
      <x:c r="E34" s="64" t="n">
        <x:f>COUNTIFS('選手一覧'!$L$5:$L$204,"&gt;=12000",'選手一覧'!$L$5:$L$204,"&lt;15000")</x:f>
        <x:v>7</x:v>
      </x:c>
      <x:c r="F34" s="65" t="str">
        <x:v>歴代級・最上位エース</x:v>
      </x:c>
    </x:row>
    <x:row r="35" ht="22" customHeight="1">
      <x:c r="A35" s="63" t="str">
        <x:v>通常レース上限</x:v>
      </x:c>
      <x:c r="B35" s="75" t="n">
        <x:f>42000</x:f>
        <x:v>42000</x:v>
      </x:c>
      <x:c r="C35" s="52"/>
      <x:c r="D35" s="63" t="str">
        <x:v>9,000–11,999 Cr</x:v>
      </x:c>
      <x:c r="E35" s="64" t="n">
        <x:f>COUNTIFS('選手一覧'!$L$5:$L$204,"&gt;=9000",'選手一覧'!$L$5:$L$204,"&lt;12000")</x:f>
        <x:v>32</x:v>
      </x:c>
      <x:c r="F35" s="65" t="str">
        <x:v>トップエース</x:v>
      </x:c>
    </x:row>
    <x:row r="36" ht="22" customHeight="1">
      <x:c r="A36" s="63" t="str">
        <x:v>上位レース上限</x:v>
      </x:c>
      <x:c r="B36" s="75" t="n">
        <x:f>45000</x:f>
        <x:v>45000</x:v>
      </x:c>
      <x:c r="C36" s="52"/>
      <x:c r="D36" s="63" t="str">
        <x:v>6,000–8,999 Cr</x:v>
      </x:c>
      <x:c r="E36" s="64" t="n">
        <x:f>COUNTIFS('選手一覧'!$L$5:$L$204,"&gt;=6000",'選手一覧'!$L$5:$L$204,"&lt;9000")</x:f>
        <x:v>61</x:v>
      </x:c>
      <x:c r="F36" s="65" t="str">
        <x:v>主力・専門カード</x:v>
      </x:c>
    </x:row>
    <x:row r="37" ht="22" customHeight="1">
      <x:c r="A37" s="63" t="str">
        <x:v>最高峰レース上限</x:v>
      </x:c>
      <x:c r="B37" s="75" t="n">
        <x:f>48000</x:f>
        <x:v>48000</x:v>
      </x:c>
      <x:c r="C37" s="52"/>
      <x:c r="D37" s="63" t="str">
        <x:v>3,000–5,999 Cr</x:v>
      </x:c>
      <x:c r="E37" s="64" t="n">
        <x:f>COUNTIFS('選手一覧'!$L$5:$L$204,"&gt;=3000",'選手一覧'!$L$5:$L$204,"&lt;6000")</x:f>
        <x:v>99</x:v>
      </x:c>
      <x:c r="F37" s="65" t="str">
        <x:v>中核・アシスト</x:v>
      </x:c>
    </x:row>
    <x:row r="38" ht="22" customHeight="1">
      <x:c r="A38" s="63" t="str">
        <x:v>最高額の通常上限比率</x:v>
      </x:c>
      <x:c r="B38" s="76" t="n">
        <x:f>B32/B35</x:f>
        <x:v>0.35714285714285715</x:v>
      </x:c>
      <x:c r="C38" s="52"/>
      <x:c r="D38" s="66" t="str">
        <x:v>3,000 Cr未満</x:v>
      </x:c>
      <x:c r="E38" s="67" t="n">
        <x:f>COUNTIF('選手一覧'!$L$5:$L$204,"&lt;3000")</x:f>
        <x:v>0</x:v>
      </x:c>
      <x:c r="F38" s="68" t="str">
        <x:v>低コスト編成枠</x:v>
      </x:c>
    </x:row>
    <x:row r="39" ht="22" customHeight="1">
      <x:c r="A39" s="63" t="str">
        <x:v>最高額の最高峰上限比率</x:v>
      </x:c>
      <x:c r="B39" s="76" t="n">
        <x:f>B32/B37</x:f>
        <x:v>0.3125</x:v>
      </x:c>
      <x:c r="C39" s="52"/>
      <x:c r="D39" s="52"/>
      <x:c r="E39" s="52"/>
      <x:c r="F39" s="52"/>
    </x:row>
    <x:row r="40" ht="22" customHeight="1">
      <x:c r="A40" s="63" t="str">
        <x:v>次点との差</x:v>
      </x:c>
      <x:c r="B40" s="75" t="n">
        <x:f>B32-LARGE('選手一覧'!$L$5:$L$204,2)</x:f>
        <x:v>2000</x:v>
      </x:c>
      <x:c r="C40" s="52"/>
      <x:c r="D40" s="52"/>
      <x:c r="E40" s="52"/>
      <x:c r="F40" s="52"/>
    </x:row>
    <x:row r="41" ht="40" customHeight="1">
      <x:c r="A41" s="66" t="str">
        <x:v>検証判定</x:v>
      </x:c>
      <x:c r="B41" s="68" t="str">
        <x:v>最高峰でも残り7枠は33,000 Cr。別格1名と支援選定の両立が必要</x:v>
      </x:c>
      <x:c r="C41" s="52"/>
      <x:c r="D41" s="52"/>
      <x:c r="E41" s="52"/>
      <x:c r="F41" s="52"/>
    </x:row>
  </x:sheetData>
  <x:mergeCells>
    <x:mergeCell ref="A1:F1"/>
    <x:mergeCell ref="A2:F2"/>
    <x:mergeCell ref="A15:F15"/>
    <x:mergeCell ref="A25:F25"/>
    <x:mergeCell ref="A31:F3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4" hidden="0" customWidth="1"/>
    <x:col min="3" max="3" width="14" hidden="0" customWidth="1"/>
    <x:col min="4" max="4" width="11" hidden="0" customWidth="1"/>
    <x:col min="5" max="5" width="17" hidden="0" customWidth="1"/>
    <x:col min="6" max="6" width="17" hidden="0" customWidth="1"/>
    <x:col min="7" max="7" width="12" hidden="0" customWidth="1"/>
    <x:col min="8" max="8" width="14" hidden="0" customWidth="1"/>
    <x:col min="9" max="9" width="28" hidden="0" customWidth="1"/>
    <x:col min="10" max="10" width="20" hidden="0" customWidth="1"/>
    <x:col min="11" max="11" width="30" hidden="0" customWidth="1"/>
    <x:col min="12" max="12" width="13" hidden="0" customWidth="1"/>
    <x:col min="13" max="13" width="48" hidden="0" customWidth="1"/>
    <x:col min="14" max="14" width="62" hidden="0" customWidth="1"/>
  </x:cols>
  <x:sheetData>
    <x:row r="1" ht="34" customHeight="1">
      <x:c r="A1" s="3" t="str">
        <x:v>初期選手200名 — 主脚質・副脚質 × 適性タグ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4" customHeight="1">
      <x:c r="A2" s="6" t="str">
        <x:v>主脚質は最も強く、副脚質は対応範囲を広げ、適性タグは第3脚質にせず局面の得意を最大3つまで表します。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</x:row>
    <x:row r="3" ht="22" customHeight="1"/>
    <x:row r="4" ht="32" customHeight="1">
      <x:c r="A4" s="15" t="str">
        <x:v>No.</x:v>
      </x:c>
      <x:c r="B4" s="20" t="str">
        <x:v>実在選手名</x:v>
      </x:c>
      <x:c r="C4" s="20" t="str">
        <x:v>国・地域</x:v>
      </x:c>
      <x:c r="D4" s="20" t="str">
        <x:v>時代区分</x:v>
      </x:c>
      <x:c r="E4" s="20" t="str">
        <x:v>主脚質</x:v>
      </x:c>
      <x:c r="F4" s="20" t="str">
        <x:v>副脚質</x:v>
      </x:c>
      <x:c r="G4" s="20" t="str">
        <x:v>エース適性</x:v>
      </x:c>
      <x:c r="H4" s="20" t="str">
        <x:v>アシスト適性</x:v>
      </x:c>
      <x:c r="I4" s="20" t="str">
        <x:v>得意役割</x:v>
      </x:c>
      <x:c r="J4" s="20" t="str">
        <x:v>専門役割</x:v>
      </x:c>
      <x:c r="K4" s="20" t="str">
        <x:v>適性タグ</x:v>
      </x:c>
      <x:c r="L4" s="20" t="str">
        <x:v>仮Credit</x:v>
      </x:c>
      <x:c r="M4" s="20" t="str">
        <x:v>主なモチーフ</x:v>
      </x:c>
      <x:c r="N4" s="16" t="str">
        <x:v>人物確認URL</x:v>
      </x:c>
    </x:row>
    <x:row r="5" ht="22" customHeight="1">
      <x:c r="A5" s="81" t="n">
        <x:v>1</x:v>
      </x:c>
      <x:c r="B5" s="81" t="str">
        <x:v>Jan Ullrich</x:v>
      </x:c>
      <x:c r="C5" s="81" t="str">
        <x:v>ドイツ</x:v>
      </x:c>
      <x:c r="D5" s="81" t="str">
        <x:v>近代</x:v>
      </x:c>
      <x:c r="E5" s="81" t="str">
        <x:v>総合型</x:v>
      </x:c>
      <x:c r="F5" s="81" t="str">
        <x:v>クライマー</x:v>
      </x:c>
      <x:c r="G5" s="84" t="n">
        <x:v>96</x:v>
      </x:c>
      <x:c r="H5" s="84" t="n">
        <x:v>70</x:v>
      </x:c>
      <x:c r="I5" s="90" t="str">
        <x:v>当日エース / 副エース</x:v>
      </x:c>
      <x:c r="J5" s="90" t="str"/>
      <x:c r="K5" s="90" t="str">
        <x:v>日別回復 / 登坂力</x:v>
      </x:c>
      <x:c r="L5" s="87" t="n">
        <x:v>12000</x:v>
      </x:c>
      <x:c r="M5" s="90" t="str">
        <x:v>GT総合2勝、3週間の総合、登坂、TT、日ごとの回復</x:v>
      </x:c>
      <x:c r="N5" s="90" t="str">
        <x:v>https://en.wikipedia.org/wiki/Special:Search?search=Jan%20Ullrich%20cyclist</x:v>
      </x:c>
    </x:row>
    <x:row r="6" ht="22" customHeight="1">
      <x:c r="A6" s="82" t="n">
        <x:v>2</x:v>
      </x:c>
      <x:c r="B6" s="82" t="str">
        <x:v>Primoz Roglic</x:v>
      </x:c>
      <x:c r="C6" s="82" t="str">
        <x:v>スロベニア</x:v>
      </x:c>
      <x:c r="D6" s="82" t="str">
        <x:v>現代</x:v>
      </x:c>
      <x:c r="E6" s="82" t="str">
        <x:v>総合型</x:v>
      </x:c>
      <x:c r="F6" s="82" t="str">
        <x:v>パンチャー</x:v>
      </x:c>
      <x:c r="G6" s="85" t="n">
        <x:v>98</x:v>
      </x:c>
      <x:c r="H6" s="85" t="n">
        <x:v>69</x:v>
      </x:c>
      <x:c r="I6" s="91" t="str">
        <x:v>当日エース / 副エース</x:v>
      </x:c>
      <x:c r="J6" s="91" t="str"/>
      <x:c r="K6" s="91" t="str">
        <x:v>日別回復 / 反復加速</x:v>
      </x:c>
      <x:c r="L6" s="88" t="n">
        <x:v>12500</x:v>
      </x:c>
      <x:c r="M6" s="91" t="str">
        <x:v>GT総合5勝、3週間の総合、登坂、TT、日ごとの回復</x:v>
      </x:c>
      <x:c r="N6" s="91" t="str">
        <x:v>https://en.wikipedia.org/wiki/Special:Search?search=Primoz%20Roglic%20cyclist</x:v>
      </x:c>
    </x:row>
    <x:row r="7" ht="22" customHeight="1">
      <x:c r="A7" s="82" t="n">
        <x:v>3</x:v>
      </x:c>
      <x:c r="B7" s="82" t="str">
        <x:v>Miguel Indurain</x:v>
      </x:c>
      <x:c r="C7" s="82" t="str">
        <x:v>スペイン</x:v>
      </x:c>
      <x:c r="D7" s="82" t="str">
        <x:v>近代</x:v>
      </x:c>
      <x:c r="E7" s="82" t="str">
        <x:v>総合型</x:v>
      </x:c>
      <x:c r="F7" s="82" t="str">
        <x:v>クライマー</x:v>
      </x:c>
      <x:c r="G7" s="85" t="n">
        <x:v>98</x:v>
      </x:c>
      <x:c r="H7" s="85" t="n">
        <x:v>68</x:v>
      </x:c>
      <x:c r="I7" s="91" t="str">
        <x:v>当日エース / 副エース</x:v>
      </x:c>
      <x:c r="J7" s="91" t="str"/>
      <x:c r="K7" s="91" t="str">
        <x:v>日別回復 / 登坂力</x:v>
      </x:c>
      <x:c r="L7" s="88" t="n">
        <x:v>13000</x:v>
      </x:c>
      <x:c r="M7" s="91" t="str">
        <x:v>GT総合7勝、3週間の総合、登坂、TT、日ごとの回復</x:v>
      </x:c>
      <x:c r="N7" s="91" t="str">
        <x:v>https://en.wikipedia.org/wiki/Special:Search?search=Miguel%20Indurain%20cyclist</x:v>
      </x:c>
    </x:row>
    <x:row r="8" ht="22" customHeight="1">
      <x:c r="A8" s="82" t="n">
        <x:v>4</x:v>
      </x:c>
      <x:c r="B8" s="82" t="str">
        <x:v>Egan Bernal</x:v>
      </x:c>
      <x:c r="C8" s="82" t="str">
        <x:v>コロンビア</x:v>
      </x:c>
      <x:c r="D8" s="82" t="str">
        <x:v>現代</x:v>
      </x:c>
      <x:c r="E8" s="82" t="str">
        <x:v>総合型</x:v>
      </x:c>
      <x:c r="F8" s="82" t="str">
        <x:v>クライマー</x:v>
      </x:c>
      <x:c r="G8" s="85" t="n">
        <x:v>98</x:v>
      </x:c>
      <x:c r="H8" s="85" t="n">
        <x:v>67</x:v>
      </x:c>
      <x:c r="I8" s="91" t="str">
        <x:v>当日エース / 副エース</x:v>
      </x:c>
      <x:c r="J8" s="91" t="str"/>
      <x:c r="K8" s="91" t="str">
        <x:v>日別回復 / 登坂力</x:v>
      </x:c>
      <x:c r="L8" s="88" t="n">
        <x:v>10800</x:v>
      </x:c>
      <x:c r="M8" s="91" t="str">
        <x:v>GT総合2勝、3週間の総合、登坂、TT、日ごとの回復</x:v>
      </x:c>
      <x:c r="N8" s="91" t="str">
        <x:v>https://en.wikipedia.org/wiki/Special:Search?search=Egan%20Bernal%20cyclist</x:v>
      </x:c>
    </x:row>
    <x:row r="9" ht="22" customHeight="1">
      <x:c r="A9" s="82" t="n">
        <x:v>5</x:v>
      </x:c>
      <x:c r="B9" s="82" t="str">
        <x:v>Remco Evenepoel</x:v>
      </x:c>
      <x:c r="C9" s="82" t="str">
        <x:v>ベルギー</x:v>
      </x:c>
      <x:c r="D9" s="82" t="str">
        <x:v>現代</x:v>
      </x:c>
      <x:c r="E9" s="82" t="str">
        <x:v>総合型</x:v>
      </x:c>
      <x:c r="F9" s="82" t="str">
        <x:v>TT・ルーラー型</x:v>
      </x:c>
      <x:c r="G9" s="85" t="n">
        <x:v>94</x:v>
      </x:c>
      <x:c r="H9" s="85" t="n">
        <x:v>71</x:v>
      </x:c>
      <x:c r="I9" s="91" t="str">
        <x:v>当日エース / 副エース</x:v>
      </x:c>
      <x:c r="J9" s="91" t="str"/>
      <x:c r="K9" s="91" t="str">
        <x:v>日別回復 / TT適性</x:v>
      </x:c>
      <x:c r="L9" s="88" t="n">
        <x:v>9800</x:v>
      </x:c>
      <x:c r="M9" s="91" t="str">
        <x:v>3週間の総合、登坂、TT、日ごとの回復</x:v>
      </x:c>
      <x:c r="N9" s="91" t="str">
        <x:v>https://en.wikipedia.org/wiki/Special:Search?search=Remco%20Evenepoel%20cyclist</x:v>
      </x:c>
    </x:row>
    <x:row r="10" ht="22" customHeight="1">
      <x:c r="A10" s="82" t="n">
        <x:v>6</x:v>
      </x:c>
      <x:c r="B10" s="82" t="str">
        <x:v>Alberto Contador</x:v>
      </x:c>
      <x:c r="C10" s="82" t="str">
        <x:v>スペイン</x:v>
      </x:c>
      <x:c r="D10" s="82" t="str">
        <x:v>近代</x:v>
      </x:c>
      <x:c r="E10" s="82" t="str">
        <x:v>総合型</x:v>
      </x:c>
      <x:c r="F10" s="82" t="str">
        <x:v>クライマー</x:v>
      </x:c>
      <x:c r="G10" s="85" t="n">
        <x:v>98</x:v>
      </x:c>
      <x:c r="H10" s="85" t="n">
        <x:v>70</x:v>
      </x:c>
      <x:c r="I10" s="91" t="str">
        <x:v>当日エース / 副エース</x:v>
      </x:c>
      <x:c r="J10" s="91" t="str"/>
      <x:c r="K10" s="91" t="str">
        <x:v>日別回復 / 登坂力</x:v>
      </x:c>
      <x:c r="L10" s="88" t="n">
        <x:v>13000</x:v>
      </x:c>
      <x:c r="M10" s="91" t="str">
        <x:v>GT総合7勝、3週間の総合、登坂、TT、日ごとの回復</x:v>
      </x:c>
      <x:c r="N10" s="91" t="str">
        <x:v>https://en.wikipedia.org/wiki/Special:Search?search=Alberto%20Contador%20cyclist</x:v>
      </x:c>
    </x:row>
    <x:row r="11" ht="22" customHeight="1">
      <x:c r="A11" s="82" t="n">
        <x:v>7</x:v>
      </x:c>
      <x:c r="B11" s="82" t="str">
        <x:v>Chris Froome</x:v>
      </x:c>
      <x:c r="C11" s="82" t="str">
        <x:v>イギリス</x:v>
      </x:c>
      <x:c r="D11" s="82" t="str">
        <x:v>近代</x:v>
      </x:c>
      <x:c r="E11" s="82" t="str">
        <x:v>総合型</x:v>
      </x:c>
      <x:c r="F11" s="82" t="str">
        <x:v>クライマー</x:v>
      </x:c>
      <x:c r="G11" s="85" t="n">
        <x:v>98</x:v>
      </x:c>
      <x:c r="H11" s="85" t="n">
        <x:v>69</x:v>
      </x:c>
      <x:c r="I11" s="91" t="str">
        <x:v>当日エース / 副エース</x:v>
      </x:c>
      <x:c r="J11" s="91" t="str"/>
      <x:c r="K11" s="91" t="str">
        <x:v>日別回復 / 登坂力</x:v>
      </x:c>
      <x:c r="L11" s="88" t="n">
        <x:v>13000</x:v>
      </x:c>
      <x:c r="M11" s="91" t="str">
        <x:v>GT総合7勝、3週間の総合、登坂、TT、日ごとの回復</x:v>
      </x:c>
      <x:c r="N11" s="91" t="str">
        <x:v>https://en.wikipedia.org/wiki/Special:Search?search=Chris%20Froome%20cyclist</x:v>
      </x:c>
    </x:row>
    <x:row r="12" ht="22" customHeight="1">
      <x:c r="A12" s="82" t="n">
        <x:v>8</x:v>
      </x:c>
      <x:c r="B12" s="82" t="str">
        <x:v>Vincenzo Nibali</x:v>
      </x:c>
      <x:c r="C12" s="82" t="str">
        <x:v>イタリア</x:v>
      </x:c>
      <x:c r="D12" s="82" t="str">
        <x:v>近代</x:v>
      </x:c>
      <x:c r="E12" s="82" t="str">
        <x:v>総合型</x:v>
      </x:c>
      <x:c r="F12" s="82" t="str">
        <x:v>クライマー</x:v>
      </x:c>
      <x:c r="G12" s="85" t="n">
        <x:v>98</x:v>
      </x:c>
      <x:c r="H12" s="85" t="n">
        <x:v>68</x:v>
      </x:c>
      <x:c r="I12" s="91" t="str">
        <x:v>当日エース / 副エース</x:v>
      </x:c>
      <x:c r="J12" s="91" t="str"/>
      <x:c r="K12" s="91" t="str">
        <x:v>日別回復 / 登坂力</x:v>
      </x:c>
      <x:c r="L12" s="88" t="n">
        <x:v>12000</x:v>
      </x:c>
      <x:c r="M12" s="91" t="str">
        <x:v>GT総合4勝、3週間の総合、登坂、TT、日ごとの回復</x:v>
      </x:c>
      <x:c r="N12" s="91" t="str">
        <x:v>https://en.wikipedia.org/wiki/Special:Search?search=Vincenzo%20Nibali%20cyclist</x:v>
      </x:c>
    </x:row>
    <x:row r="13" ht="22" customHeight="1">
      <x:c r="A13" s="82" t="n">
        <x:v>9</x:v>
      </x:c>
      <x:c r="B13" s="82" t="str">
        <x:v>Tadej Pogacar</x:v>
      </x:c>
      <x:c r="C13" s="82" t="str">
        <x:v>スロベニア</x:v>
      </x:c>
      <x:c r="D13" s="82" t="str">
        <x:v>現代</x:v>
      </x:c>
      <x:c r="E13" s="82" t="str">
        <x:v>総合型</x:v>
      </x:c>
      <x:c r="F13" s="82" t="str">
        <x:v>パンチャー</x:v>
      </x:c>
      <x:c r="G13" s="85" t="n">
        <x:v>99</x:v>
      </x:c>
      <x:c r="H13" s="85" t="n">
        <x:v>84</x:v>
      </x:c>
      <x:c r="I13" s="91" t="str">
        <x:v>当日エース / 副エース</x:v>
      </x:c>
      <x:c r="J13" s="91" t="str"/>
      <x:c r="K13" s="91" t="str">
        <x:v>パンチ力 / TT適性 / 日別回復</x:v>
      </x:c>
      <x:c r="L13" s="88" t="n">
        <x:v>15000</x:v>
      </x:c>
      <x:c r="M13" s="91" t="str">
        <x:v>GT総合5勝、別格総合、登坂、TT、パンチ、回復</x:v>
      </x:c>
      <x:c r="N13" s="91" t="str">
        <x:v>https://en.wikipedia.org/wiki/Special:Search?search=Tadej%20Pogacar%20cyclist</x:v>
      </x:c>
    </x:row>
    <x:row r="14" ht="22" customHeight="1">
      <x:c r="A14" s="82" t="n">
        <x:v>10</x:v>
      </x:c>
      <x:c r="B14" s="82" t="str">
        <x:v>Jonas Vingegaard</x:v>
      </x:c>
      <x:c r="C14" s="82" t="str">
        <x:v>デンマーク</x:v>
      </x:c>
      <x:c r="D14" s="82" t="str">
        <x:v>現代</x:v>
      </x:c>
      <x:c r="E14" s="82" t="str">
        <x:v>総合型</x:v>
      </x:c>
      <x:c r="F14" s="82" t="str">
        <x:v>クライマー</x:v>
      </x:c>
      <x:c r="G14" s="85" t="n">
        <x:v>98</x:v>
      </x:c>
      <x:c r="H14" s="85" t="n">
        <x:v>71</x:v>
      </x:c>
      <x:c r="I14" s="91" t="str">
        <x:v>当日エース / 副エース</x:v>
      </x:c>
      <x:c r="J14" s="91" t="str"/>
      <x:c r="K14" s="91" t="str">
        <x:v>日別回復 / 登坂力</x:v>
      </x:c>
      <x:c r="L14" s="88" t="n">
        <x:v>12000</x:v>
      </x:c>
      <x:c r="M14" s="91" t="str">
        <x:v>GT総合4勝、3週間の総合、登坂、TT、日ごとの回復</x:v>
      </x:c>
      <x:c r="N14" s="91" t="str">
        <x:v>https://en.wikipedia.org/wiki/Special:Search?search=Jonas%20Vingegaard%20cyclist</x:v>
      </x:c>
    </x:row>
    <x:row r="15" ht="22" customHeight="1">
      <x:c r="A15" s="82" t="n">
        <x:v>11</x:v>
      </x:c>
      <x:c r="B15" s="82" t="str">
        <x:v>Mark Cavendish</x:v>
      </x:c>
      <x:c r="C15" s="82" t="str">
        <x:v>イギリス</x:v>
      </x:c>
      <x:c r="D15" s="82" t="str">
        <x:v>近代</x:v>
      </x:c>
      <x:c r="E15" s="82" t="str">
        <x:v>スプリンター</x:v>
      </x:c>
      <x:c r="F15" s="82" t="str">
        <x:v>クラシック型</x:v>
      </x:c>
      <x:c r="G15" s="85" t="n">
        <x:v>94</x:v>
      </x:c>
      <x:c r="H15" s="85" t="n">
        <x:v>59</x:v>
      </x:c>
      <x:c r="I15" s="91" t="str">
        <x:v>当日エース / 副エース</x:v>
      </x:c>
      <x:c r="J15" s="91" t="str"/>
      <x:c r="K15" s="91" t="str">
        <x:v>最高速 / 悪路耐性</x:v>
      </x:c>
      <x:c r="L15" s="88" t="n">
        <x:v>10500</x:v>
      </x:c>
      <x:c r="M15" s="91" t="str">
        <x:v>平坦フィニッシュ、位置取り、最高速</x:v>
      </x:c>
      <x:c r="N15" s="91" t="str">
        <x:v>https://en.wikipedia.org/wiki/Special:Search?search=Mark%20Cavendish%20cyclist</x:v>
      </x:c>
    </x:row>
    <x:row r="16" ht="22" customHeight="1">
      <x:c r="A16" s="82" t="n">
        <x:v>12</x:v>
      </x:c>
      <x:c r="B16" s="82" t="str">
        <x:v>Mario Cipollini</x:v>
      </x:c>
      <x:c r="C16" s="82" t="str">
        <x:v>イタリア</x:v>
      </x:c>
      <x:c r="D16" s="82" t="str">
        <x:v>近代</x:v>
      </x:c>
      <x:c r="E16" s="82" t="str">
        <x:v>スプリンター</x:v>
      </x:c>
      <x:c r="F16" s="82" t="str">
        <x:v>クラシック型</x:v>
      </x:c>
      <x:c r="G16" s="85" t="n">
        <x:v>95</x:v>
      </x:c>
      <x:c r="H16" s="85" t="n">
        <x:v>58</x:v>
      </x:c>
      <x:c r="I16" s="91" t="str">
        <x:v>当日エース / 副エース</x:v>
      </x:c>
      <x:c r="J16" s="91" t="str"/>
      <x:c r="K16" s="91" t="str">
        <x:v>最高速 / 悪路耐性</x:v>
      </x:c>
      <x:c r="L16" s="88" t="n">
        <x:v>9800</x:v>
      </x:c>
      <x:c r="M16" s="91" t="str">
        <x:v>平坦フィニッシュ、位置取り、最高速</x:v>
      </x:c>
      <x:c r="N16" s="91" t="str">
        <x:v>https://en.wikipedia.org/wiki/Special:Search?search=Mario%20Cipollini%20cyclist</x:v>
      </x:c>
    </x:row>
    <x:row r="17" ht="22" customHeight="1">
      <x:c r="A17" s="82" t="n">
        <x:v>13</x:v>
      </x:c>
      <x:c r="B17" s="82" t="str">
        <x:v>Alessandro Petacchi</x:v>
      </x:c>
      <x:c r="C17" s="82" t="str">
        <x:v>イタリア</x:v>
      </x:c>
      <x:c r="D17" s="82" t="str">
        <x:v>近代</x:v>
      </x:c>
      <x:c r="E17" s="82" t="str">
        <x:v>スプリンター</x:v>
      </x:c>
      <x:c r="F17" s="82" t="str">
        <x:v>クラシック型</x:v>
      </x:c>
      <x:c r="G17" s="85" t="n">
        <x:v>96</x:v>
      </x:c>
      <x:c r="H17" s="85" t="n">
        <x:v>57</x:v>
      </x:c>
      <x:c r="I17" s="91" t="str">
        <x:v>当日エース / 副エース</x:v>
      </x:c>
      <x:c r="J17" s="91" t="str"/>
      <x:c r="K17" s="91" t="str">
        <x:v>最高速 / 悪路耐性</x:v>
      </x:c>
      <x:c r="L17" s="88" t="n">
        <x:v>9000</x:v>
      </x:c>
      <x:c r="M17" s="91" t="str">
        <x:v>平坦フィニッシュ、位置取り、最高速</x:v>
      </x:c>
      <x:c r="N17" s="91" t="str">
        <x:v>https://en.wikipedia.org/wiki/Special:Search?search=Alessandro%20Petacchi%20cyclist</x:v>
      </x:c>
    </x:row>
    <x:row r="18" ht="22" customHeight="1">
      <x:c r="A18" s="82" t="n">
        <x:v>14</x:v>
      </x:c>
      <x:c r="B18" s="82" t="str">
        <x:v>Andre Greipel</x:v>
      </x:c>
      <x:c r="C18" s="82" t="str">
        <x:v>ドイツ</x:v>
      </x:c>
      <x:c r="D18" s="82" t="str">
        <x:v>近代</x:v>
      </x:c>
      <x:c r="E18" s="82" t="str">
        <x:v>スプリンター</x:v>
      </x:c>
      <x:c r="F18" s="82" t="str">
        <x:v>クラシック型</x:v>
      </x:c>
      <x:c r="G18" s="85" t="n">
        <x:v>97</x:v>
      </x:c>
      <x:c r="H18" s="85" t="n">
        <x:v>56</x:v>
      </x:c>
      <x:c r="I18" s="91" t="str">
        <x:v>当日エース / 副エース</x:v>
      </x:c>
      <x:c r="J18" s="91" t="str"/>
      <x:c r="K18" s="91" t="str">
        <x:v>最高速 / 悪路耐性</x:v>
      </x:c>
      <x:c r="L18" s="88" t="n">
        <x:v>9000</x:v>
      </x:c>
      <x:c r="M18" s="91" t="str">
        <x:v>平坦フィニッシュ、位置取り、最高速</x:v>
      </x:c>
      <x:c r="N18" s="91" t="str">
        <x:v>https://en.wikipedia.org/wiki/Special:Search?search=Andre%20Greipel%20cyclist</x:v>
      </x:c>
    </x:row>
    <x:row r="19" ht="22" customHeight="1">
      <x:c r="A19" s="82" t="n">
        <x:v>15</x:v>
      </x:c>
      <x:c r="B19" s="82" t="str">
        <x:v>Marcel Kittel</x:v>
      </x:c>
      <x:c r="C19" s="82" t="str">
        <x:v>ドイツ</x:v>
      </x:c>
      <x:c r="D19" s="82" t="str">
        <x:v>現代</x:v>
      </x:c>
      <x:c r="E19" s="82" t="str">
        <x:v>スプリンター</x:v>
      </x:c>
      <x:c r="F19" s="82" t="str">
        <x:v>クラシック型</x:v>
      </x:c>
      <x:c r="G19" s="85" t="n">
        <x:v>93</x:v>
      </x:c>
      <x:c r="H19" s="85" t="n">
        <x:v>60</x:v>
      </x:c>
      <x:c r="I19" s="91" t="str">
        <x:v>当日エース / 副エース</x:v>
      </x:c>
      <x:c r="J19" s="91" t="str"/>
      <x:c r="K19" s="91" t="str">
        <x:v>最高速 / 悪路耐性</x:v>
      </x:c>
      <x:c r="L19" s="88" t="n">
        <x:v>8900</x:v>
      </x:c>
      <x:c r="M19" s="91" t="str">
        <x:v>平坦フィニッシュ、位置取り、最高速</x:v>
      </x:c>
      <x:c r="N19" s="91" t="str">
        <x:v>https://en.wikipedia.org/wiki/Special:Search?search=Marcel%20Kittel%20cyclist</x:v>
      </x:c>
    </x:row>
    <x:row r="20" ht="22" customHeight="1">
      <x:c r="A20" s="82" t="n">
        <x:v>16</x:v>
      </x:c>
      <x:c r="B20" s="82" t="str">
        <x:v>Robbie McEwen</x:v>
      </x:c>
      <x:c r="C20" s="82" t="str">
        <x:v>オーストラリア</x:v>
      </x:c>
      <x:c r="D20" s="82" t="str">
        <x:v>近代</x:v>
      </x:c>
      <x:c r="E20" s="82" t="str">
        <x:v>スプリンター</x:v>
      </x:c>
      <x:c r="F20" s="82" t="str">
        <x:v>クラシック型</x:v>
      </x:c>
      <x:c r="G20" s="85" t="n">
        <x:v>94</x:v>
      </x:c>
      <x:c r="H20" s="85" t="n">
        <x:v>59</x:v>
      </x:c>
      <x:c r="I20" s="91" t="str">
        <x:v>当日エース / 副エース</x:v>
      </x:c>
      <x:c r="J20" s="91" t="str"/>
      <x:c r="K20" s="91" t="str">
        <x:v>最高速 / 悪路耐性</x:v>
      </x:c>
      <x:c r="L20" s="88" t="n">
        <x:v>8800</x:v>
      </x:c>
      <x:c r="M20" s="91" t="str">
        <x:v>平坦フィニッシュ、位置取り、最高速</x:v>
      </x:c>
      <x:c r="N20" s="91" t="str">
        <x:v>https://en.wikipedia.org/wiki/Special:Search?search=Robbie%20McEwen%20cyclist</x:v>
      </x:c>
    </x:row>
    <x:row r="21" ht="22" customHeight="1">
      <x:c r="A21" s="82" t="n">
        <x:v>17</x:v>
      </x:c>
      <x:c r="B21" s="82" t="str">
        <x:v>Marco Pantani</x:v>
      </x:c>
      <x:c r="C21" s="82" t="str">
        <x:v>イタリア</x:v>
      </x:c>
      <x:c r="D21" s="82" t="str">
        <x:v>近代</x:v>
      </x:c>
      <x:c r="E21" s="82" t="str">
        <x:v>クライマー</x:v>
      </x:c>
      <x:c r="F21" s="82" t="str">
        <x:v>パンチャー</x:v>
      </x:c>
      <x:c r="G21" s="85" t="n">
        <x:v>96</x:v>
      </x:c>
      <x:c r="H21" s="85" t="n">
        <x:v>66</x:v>
      </x:c>
      <x:c r="I21" s="91" t="str">
        <x:v>当日エース / 副エース</x:v>
      </x:c>
      <x:c r="J21" s="91" t="str"/>
      <x:c r="K21" s="91" t="str">
        <x:v>山岳耐久 / 反復加速</x:v>
      </x:c>
      <x:c r="L21" s="88" t="n">
        <x:v>10800</x:v>
      </x:c>
      <x:c r="M21" s="91" t="str">
        <x:v>GT総合2勝、長い登り、急勾配、山岳アタック</x:v>
      </x:c>
      <x:c r="N21" s="91" t="str">
        <x:v>https://en.wikipedia.org/wiki/Special:Search?search=Marco%20Pantani%20cyclist</x:v>
      </x:c>
    </x:row>
    <x:row r="22" ht="22" customHeight="1">
      <x:c r="A22" s="82" t="n">
        <x:v>18</x:v>
      </x:c>
      <x:c r="B22" s="82" t="str">
        <x:v>Nairo Quintana</x:v>
      </x:c>
      <x:c r="C22" s="82" t="str">
        <x:v>コロンビア</x:v>
      </x:c>
      <x:c r="D22" s="82" t="str">
        <x:v>現代</x:v>
      </x:c>
      <x:c r="E22" s="82" t="str">
        <x:v>クライマー</x:v>
      </x:c>
      <x:c r="F22" s="82" t="str">
        <x:v>パンチャー</x:v>
      </x:c>
      <x:c r="G22" s="85" t="n">
        <x:v>96</x:v>
      </x:c>
      <x:c r="H22" s="85" t="n">
        <x:v>65</x:v>
      </x:c>
      <x:c r="I22" s="91" t="str">
        <x:v>当日エース / 副エース</x:v>
      </x:c>
      <x:c r="J22" s="91" t="str"/>
      <x:c r="K22" s="91" t="str">
        <x:v>山岳耐久 / 反復加速</x:v>
      </x:c>
      <x:c r="L22" s="88" t="n">
        <x:v>10800</x:v>
      </x:c>
      <x:c r="M22" s="91" t="str">
        <x:v>GT総合2勝、長い登り、急勾配、山岳アタック</x:v>
      </x:c>
      <x:c r="N22" s="91" t="str">
        <x:v>https://en.wikipedia.org/wiki/Special:Search?search=Nairo%20Quintana%20cyclist</x:v>
      </x:c>
    </x:row>
    <x:row r="23" ht="22" customHeight="1">
      <x:c r="A23" s="82" t="n">
        <x:v>19</x:v>
      </x:c>
      <x:c r="B23" s="82" t="str">
        <x:v>Andy Schleck</x:v>
      </x:c>
      <x:c r="C23" s="82" t="str">
        <x:v>ルクセンブルク</x:v>
      </x:c>
      <x:c r="D23" s="82" t="str">
        <x:v>近代</x:v>
      </x:c>
      <x:c r="E23" s="82" t="str">
        <x:v>クライマー</x:v>
      </x:c>
      <x:c r="F23" s="82" t="str">
        <x:v>パンチャー</x:v>
      </x:c>
      <x:c r="G23" s="85" t="n">
        <x:v>94</x:v>
      </x:c>
      <x:c r="H23" s="85" t="n">
        <x:v>64</x:v>
      </x:c>
      <x:c r="I23" s="91" t="str">
        <x:v>当日エース / 副エース</x:v>
      </x:c>
      <x:c r="J23" s="91" t="str"/>
      <x:c r="K23" s="91" t="str">
        <x:v>山岳耐久 / 反復加速</x:v>
      </x:c>
      <x:c r="L23" s="88" t="n">
        <x:v>8800</x:v>
      </x:c>
      <x:c r="M23" s="91" t="str">
        <x:v>長い登り、急勾配、山岳アタック</x:v>
      </x:c>
      <x:c r="N23" s="91" t="str">
        <x:v>https://en.wikipedia.org/wiki/Special:Search?search=Andy%20Schleck%20cyclist</x:v>
      </x:c>
    </x:row>
    <x:row r="24" ht="22" customHeight="1">
      <x:c r="A24" s="82" t="n">
        <x:v>20</x:v>
      </x:c>
      <x:c r="B24" s="82" t="str">
        <x:v>Thibaut Pinot</x:v>
      </x:c>
      <x:c r="C24" s="82" t="str">
        <x:v>フランス</x:v>
      </x:c>
      <x:c r="D24" s="82" t="str">
        <x:v>近代</x:v>
      </x:c>
      <x:c r="E24" s="82" t="str">
        <x:v>クライマー</x:v>
      </x:c>
      <x:c r="F24" s="82" t="str">
        <x:v>パンチャー</x:v>
      </x:c>
      <x:c r="G24" s="85" t="n">
        <x:v>90</x:v>
      </x:c>
      <x:c r="H24" s="85" t="n">
        <x:v>68</x:v>
      </x:c>
      <x:c r="I24" s="91" t="str">
        <x:v>当日エース / 副エース</x:v>
      </x:c>
      <x:c r="J24" s="91" t="str">
        <x:v>ステージハンター</x:v>
      </x:c>
      <x:c r="K24" s="91" t="str">
        <x:v>山岳耐久 / 反復加速 / ステージハンター</x:v>
      </x:c>
      <x:c r="L24" s="88" t="n">
        <x:v>8200</x:v>
      </x:c>
      <x:c r="M24" s="91" t="str">
        <x:v>長い登り、急勾配、山岳アタック</x:v>
      </x:c>
      <x:c r="N24" s="91" t="str">
        <x:v>https://en.wikipedia.org/wiki/Special:Search?search=Thibaut%20Pinot%20cyclist</x:v>
      </x:c>
    </x:row>
    <x:row r="25" ht="22" customHeight="1">
      <x:c r="A25" s="82" t="n">
        <x:v>21</x:v>
      </x:c>
      <x:c r="B25" s="82" t="str">
        <x:v>Romain Bardet</x:v>
      </x:c>
      <x:c r="C25" s="82" t="str">
        <x:v>フランス</x:v>
      </x:c>
      <x:c r="D25" s="82" t="str">
        <x:v>現代</x:v>
      </x:c>
      <x:c r="E25" s="82" t="str">
        <x:v>クライマー</x:v>
      </x:c>
      <x:c r="F25" s="82" t="str">
        <x:v>パンチャー</x:v>
      </x:c>
      <x:c r="G25" s="85" t="n">
        <x:v>91</x:v>
      </x:c>
      <x:c r="H25" s="85" t="n">
        <x:v>67</x:v>
      </x:c>
      <x:c r="I25" s="91" t="str">
        <x:v>当日エース / 副エース</x:v>
      </x:c>
      <x:c r="J25" s="91" t="str">
        <x:v>ステージハンター</x:v>
      </x:c>
      <x:c r="K25" s="91" t="str">
        <x:v>山岳耐久 / 反復加速 / ステージハンター</x:v>
      </x:c>
      <x:c r="L25" s="88" t="n">
        <x:v>9000</x:v>
      </x:c>
      <x:c r="M25" s="91" t="str">
        <x:v>長い登り、急勾配、山岳アタック</x:v>
      </x:c>
      <x:c r="N25" s="91" t="str">
        <x:v>https://en.wikipedia.org/wiki/Special:Search?search=Romain%20Bardet%20cyclist</x:v>
      </x:c>
    </x:row>
    <x:row r="26" ht="22" customHeight="1">
      <x:c r="A26" s="82" t="n">
        <x:v>22</x:v>
      </x:c>
      <x:c r="B26" s="82" t="str">
        <x:v>Carlos Sastre</x:v>
      </x:c>
      <x:c r="C26" s="82" t="str">
        <x:v>スペイン</x:v>
      </x:c>
      <x:c r="D26" s="82" t="str">
        <x:v>近代</x:v>
      </x:c>
      <x:c r="E26" s="82" t="str">
        <x:v>クライマー</x:v>
      </x:c>
      <x:c r="F26" s="82" t="str">
        <x:v>パンチャー</x:v>
      </x:c>
      <x:c r="G26" s="85" t="n">
        <x:v>92</x:v>
      </x:c>
      <x:c r="H26" s="85" t="n">
        <x:v>66</x:v>
      </x:c>
      <x:c r="I26" s="91" t="str">
        <x:v>当日エース / 副エース</x:v>
      </x:c>
      <x:c r="J26" s="91" t="str"/>
      <x:c r="K26" s="91" t="str">
        <x:v>山岳耐久 / 反復加速</x:v>
      </x:c>
      <x:c r="L26" s="88" t="n">
        <x:v>8500</x:v>
      </x:c>
      <x:c r="M26" s="91" t="str">
        <x:v>長い登り、急勾配、山岳アタック</x:v>
      </x:c>
      <x:c r="N26" s="91" t="str">
        <x:v>https://en.wikipedia.org/wiki/Special:Search?search=Carlos%20Sastre%20cyclist</x:v>
      </x:c>
    </x:row>
    <x:row r="27" ht="22" customHeight="1">
      <x:c r="A27" s="82" t="n">
        <x:v>23</x:v>
      </x:c>
      <x:c r="B27" s="82" t="str">
        <x:v>Cadel Evans</x:v>
      </x:c>
      <x:c r="C27" s="82" t="str">
        <x:v>オーストラリア</x:v>
      </x:c>
      <x:c r="D27" s="82" t="str">
        <x:v>近代</x:v>
      </x:c>
      <x:c r="E27" s="82" t="str">
        <x:v>パンチャー</x:v>
      </x:c>
      <x:c r="F27" s="82" t="str">
        <x:v>クライマー</x:v>
      </x:c>
      <x:c r="G27" s="85" t="n">
        <x:v>92</x:v>
      </x:c>
      <x:c r="H27" s="85" t="n">
        <x:v>63</x:v>
      </x:c>
      <x:c r="I27" s="91" t="str">
        <x:v>当日エース / 副エース</x:v>
      </x:c>
      <x:c r="J27" s="91" t="str"/>
      <x:c r="K27" s="91" t="str">
        <x:v>パンチ力 / 登坂力</x:v>
      </x:c>
      <x:c r="L27" s="88" t="n">
        <x:v>10000</x:v>
      </x:c>
      <x:c r="M27" s="91" t="str">
        <x:v>短坂、丘陵、反復加速</x:v>
      </x:c>
      <x:c r="N27" s="91" t="str">
        <x:v>https://en.wikipedia.org/wiki/Special:Search?search=Cadel%20Evans%20cyclist</x:v>
      </x:c>
    </x:row>
    <x:row r="28" ht="22" customHeight="1">
      <x:c r="A28" s="82" t="n">
        <x:v>24</x:v>
      </x:c>
      <x:c r="B28" s="82" t="str">
        <x:v>Joaquim Rodriguez</x:v>
      </x:c>
      <x:c r="C28" s="82" t="str">
        <x:v>スペイン</x:v>
      </x:c>
      <x:c r="D28" s="82" t="str">
        <x:v>近代</x:v>
      </x:c>
      <x:c r="E28" s="82" t="str">
        <x:v>パンチャー</x:v>
      </x:c>
      <x:c r="F28" s="82" t="str">
        <x:v>クライマー</x:v>
      </x:c>
      <x:c r="G28" s="85" t="n">
        <x:v>93</x:v>
      </x:c>
      <x:c r="H28" s="85" t="n">
        <x:v>62</x:v>
      </x:c>
      <x:c r="I28" s="91" t="str">
        <x:v>当日エース / 副エース</x:v>
      </x:c>
      <x:c r="J28" s="91" t="str"/>
      <x:c r="K28" s="91" t="str">
        <x:v>パンチ力 / 登坂力</x:v>
      </x:c>
      <x:c r="L28" s="88" t="n">
        <x:v>9800</x:v>
      </x:c>
      <x:c r="M28" s="91" t="str">
        <x:v>短坂、丘陵、反復加速</x:v>
      </x:c>
      <x:c r="N28" s="91" t="str">
        <x:v>https://en.wikipedia.org/wiki/Special:Search?search=Joaquim%20Rodriguez%20cyclist</x:v>
      </x:c>
    </x:row>
    <x:row r="29" ht="22" customHeight="1">
      <x:c r="A29" s="82" t="n">
        <x:v>25</x:v>
      </x:c>
      <x:c r="B29" s="82" t="str">
        <x:v>Philippe Gilbert</x:v>
      </x:c>
      <x:c r="C29" s="82" t="str">
        <x:v>ベルギー</x:v>
      </x:c>
      <x:c r="D29" s="82" t="str">
        <x:v>近代</x:v>
      </x:c>
      <x:c r="E29" s="82" t="str">
        <x:v>パンチャー</x:v>
      </x:c>
      <x:c r="F29" s="82" t="str">
        <x:v>クライマー</x:v>
      </x:c>
      <x:c r="G29" s="85" t="n">
        <x:v>89</x:v>
      </x:c>
      <x:c r="H29" s="85" t="n">
        <x:v>66</x:v>
      </x:c>
      <x:c r="I29" s="91" t="str">
        <x:v>当日エース / 副エース</x:v>
      </x:c>
      <x:c r="J29" s="91" t="str"/>
      <x:c r="K29" s="91" t="str">
        <x:v>パンチ力 / 登坂力</x:v>
      </x:c>
      <x:c r="L29" s="88" t="n">
        <x:v>9000</x:v>
      </x:c>
      <x:c r="M29" s="91" t="str">
        <x:v>短坂、丘陵、反復加速</x:v>
      </x:c>
      <x:c r="N29" s="91" t="str">
        <x:v>https://en.wikipedia.org/wiki/Special:Search?search=Philippe%20Gilbert%20cyclist</x:v>
      </x:c>
    </x:row>
    <x:row r="30" ht="22" customHeight="1">
      <x:c r="A30" s="82" t="n">
        <x:v>26</x:v>
      </x:c>
      <x:c r="B30" s="82" t="str">
        <x:v>Alejandro Valverde</x:v>
      </x:c>
      <x:c r="C30" s="82" t="str">
        <x:v>スペイン</x:v>
      </x:c>
      <x:c r="D30" s="82" t="str">
        <x:v>近代</x:v>
      </x:c>
      <x:c r="E30" s="82" t="str">
        <x:v>パンチャー</x:v>
      </x:c>
      <x:c r="F30" s="82" t="str">
        <x:v>クライマー</x:v>
      </x:c>
      <x:c r="G30" s="85" t="n">
        <x:v>90</x:v>
      </x:c>
      <x:c r="H30" s="85" t="n">
        <x:v>65</x:v>
      </x:c>
      <x:c r="I30" s="91" t="str">
        <x:v>当日エース / 副エース</x:v>
      </x:c>
      <x:c r="J30" s="91" t="str"/>
      <x:c r="K30" s="91" t="str">
        <x:v>パンチ力 / 登坂力</x:v>
      </x:c>
      <x:c r="L30" s="88" t="n">
        <x:v>9200</x:v>
      </x:c>
      <x:c r="M30" s="91" t="str">
        <x:v>短坂、丘陵、反復加速</x:v>
      </x:c>
      <x:c r="N30" s="91" t="str">
        <x:v>https://en.wikipedia.org/wiki/Special:Search?search=Alejandro%20Valverde%20cyclist</x:v>
      </x:c>
    </x:row>
    <x:row r="31" ht="22" customHeight="1">
      <x:c r="A31" s="82" t="n">
        <x:v>27</x:v>
      </x:c>
      <x:c r="B31" s="82" t="str">
        <x:v>Paolo Bettini</x:v>
      </x:c>
      <x:c r="C31" s="82" t="str">
        <x:v>イタリア</x:v>
      </x:c>
      <x:c r="D31" s="82" t="str">
        <x:v>近代</x:v>
      </x:c>
      <x:c r="E31" s="82" t="str">
        <x:v>パンチャー</x:v>
      </x:c>
      <x:c r="F31" s="82" t="str">
        <x:v>クライマー</x:v>
      </x:c>
      <x:c r="G31" s="85" t="n">
        <x:v>91</x:v>
      </x:c>
      <x:c r="H31" s="85" t="n">
        <x:v>64</x:v>
      </x:c>
      <x:c r="I31" s="91" t="str">
        <x:v>当日エース / 副エース</x:v>
      </x:c>
      <x:c r="J31" s="91" t="str"/>
      <x:c r="K31" s="91" t="str">
        <x:v>パンチ力 / 登坂力</x:v>
      </x:c>
      <x:c r="L31" s="88" t="n">
        <x:v>9000</x:v>
      </x:c>
      <x:c r="M31" s="91" t="str">
        <x:v>短坂、丘陵、反復加速</x:v>
      </x:c>
      <x:c r="N31" s="91" t="str">
        <x:v>https://en.wikipedia.org/wiki/Special:Search?search=Paolo%20Bettini%20cyclist</x:v>
      </x:c>
    </x:row>
    <x:row r="32" ht="22" customHeight="1">
      <x:c r="A32" s="82" t="n">
        <x:v>28</x:v>
      </x:c>
      <x:c r="B32" s="82" t="str">
        <x:v>Julian Alaphilippe</x:v>
      </x:c>
      <x:c r="C32" s="82" t="str">
        <x:v>フランス</x:v>
      </x:c>
      <x:c r="D32" s="82" t="str">
        <x:v>現代</x:v>
      </x:c>
      <x:c r="E32" s="82" t="str">
        <x:v>パンチャー</x:v>
      </x:c>
      <x:c r="F32" s="82" t="str">
        <x:v>クライマー</x:v>
      </x:c>
      <x:c r="G32" s="85" t="n">
        <x:v>92</x:v>
      </x:c>
      <x:c r="H32" s="85" t="n">
        <x:v>63</x:v>
      </x:c>
      <x:c r="I32" s="91" t="str">
        <x:v>当日エース / 副エース</x:v>
      </x:c>
      <x:c r="J32" s="91" t="str">
        <x:v>ステージハンター</x:v>
      </x:c>
      <x:c r="K32" s="91" t="str">
        <x:v>パンチ力 / 登坂力 / ステージハンター</x:v>
      </x:c>
      <x:c r="L32" s="88" t="n">
        <x:v>8200</x:v>
      </x:c>
      <x:c r="M32" s="91" t="str">
        <x:v>短坂、丘陵、反復加速</x:v>
      </x:c>
      <x:c r="N32" s="91" t="str">
        <x:v>https://en.wikipedia.org/wiki/Special:Search?search=Julian%20Alaphilippe%20cyclist</x:v>
      </x:c>
    </x:row>
    <x:row r="33" ht="22" customHeight="1">
      <x:c r="A33" s="82" t="n">
        <x:v>29</x:v>
      </x:c>
      <x:c r="B33" s="82" t="str">
        <x:v>Michele Bartoli</x:v>
      </x:c>
      <x:c r="C33" s="82" t="str">
        <x:v>イタリア</x:v>
      </x:c>
      <x:c r="D33" s="82" t="str">
        <x:v>近代</x:v>
      </x:c>
      <x:c r="E33" s="82" t="str">
        <x:v>パンチャー</x:v>
      </x:c>
      <x:c r="F33" s="82" t="str">
        <x:v>クライマー</x:v>
      </x:c>
      <x:c r="G33" s="85" t="n">
        <x:v>93</x:v>
      </x:c>
      <x:c r="H33" s="85" t="n">
        <x:v>62</x:v>
      </x:c>
      <x:c r="I33" s="91" t="str">
        <x:v>当日エース / 副エース</x:v>
      </x:c>
      <x:c r="J33" s="91" t="str"/>
      <x:c r="K33" s="91" t="str">
        <x:v>パンチ力 / 登坂力</x:v>
      </x:c>
      <x:c r="L33" s="88" t="n">
        <x:v>8500</x:v>
      </x:c>
      <x:c r="M33" s="91" t="str">
        <x:v>短坂、丘陵、反復加速</x:v>
      </x:c>
      <x:c r="N33" s="91" t="str">
        <x:v>https://en.wikipedia.org/wiki/Special:Search?search=Michele%20Bartoli%20cyclist</x:v>
      </x:c>
    </x:row>
    <x:row r="34" ht="22" customHeight="1">
      <x:c r="A34" s="82" t="n">
        <x:v>30</x:v>
      </x:c>
      <x:c r="B34" s="82" t="str">
        <x:v>Davide Rebellin</x:v>
      </x:c>
      <x:c r="C34" s="82" t="str">
        <x:v>イタリア</x:v>
      </x:c>
      <x:c r="D34" s="82" t="str">
        <x:v>近代</x:v>
      </x:c>
      <x:c r="E34" s="82" t="str">
        <x:v>パンチャー</x:v>
      </x:c>
      <x:c r="F34" s="82" t="str">
        <x:v>クライマー</x:v>
      </x:c>
      <x:c r="G34" s="85" t="n">
        <x:v>89</x:v>
      </x:c>
      <x:c r="H34" s="85" t="n">
        <x:v>66</x:v>
      </x:c>
      <x:c r="I34" s="91" t="str">
        <x:v>当日エース / 副エース</x:v>
      </x:c>
      <x:c r="J34" s="91" t="str"/>
      <x:c r="K34" s="91" t="str">
        <x:v>パンチ力 / 登坂力</x:v>
      </x:c>
      <x:c r="L34" s="88" t="n">
        <x:v>8000</x:v>
      </x:c>
      <x:c r="M34" s="91" t="str">
        <x:v>短坂、丘陵、反復加速</x:v>
      </x:c>
      <x:c r="N34" s="91" t="str">
        <x:v>https://en.wikipedia.org/wiki/Special:Search?search=Davide%20Rebellin%20cyclist</x:v>
      </x:c>
    </x:row>
    <x:row r="35" ht="22" customHeight="1">
      <x:c r="A35" s="82" t="n">
        <x:v>31</x:v>
      </x:c>
      <x:c r="B35" s="82" t="str">
        <x:v>Maurizio Fondriest</x:v>
      </x:c>
      <x:c r="C35" s="82" t="str">
        <x:v>イタリア</x:v>
      </x:c>
      <x:c r="D35" s="82" t="str">
        <x:v>近代</x:v>
      </x:c>
      <x:c r="E35" s="82" t="str">
        <x:v>パンチャー</x:v>
      </x:c>
      <x:c r="F35" s="82" t="str">
        <x:v>クライマー</x:v>
      </x:c>
      <x:c r="G35" s="85" t="n">
        <x:v>90</x:v>
      </x:c>
      <x:c r="H35" s="85" t="n">
        <x:v>65</x:v>
      </x:c>
      <x:c r="I35" s="91" t="str">
        <x:v>当日エース / 副エース</x:v>
      </x:c>
      <x:c r="J35" s="91" t="str"/>
      <x:c r="K35" s="91" t="str">
        <x:v>パンチ力 / 登坂力</x:v>
      </x:c>
      <x:c r="L35" s="88" t="n">
        <x:v>9300</x:v>
      </x:c>
      <x:c r="M35" s="91" t="str">
        <x:v>短坂、丘陵、反復加速</x:v>
      </x:c>
      <x:c r="N35" s="91" t="str">
        <x:v>https://en.wikipedia.org/wiki/Special:Search?search=Maurizio%20Fondriest%20cyclist</x:v>
      </x:c>
    </x:row>
    <x:row r="36" ht="22" customHeight="1">
      <x:c r="A36" s="82" t="n">
        <x:v>32</x:v>
      </x:c>
      <x:c r="B36" s="82" t="str">
        <x:v>Simon Gerrans</x:v>
      </x:c>
      <x:c r="C36" s="82" t="str">
        <x:v>オーストラリア</x:v>
      </x:c>
      <x:c r="D36" s="82" t="str">
        <x:v>近代</x:v>
      </x:c>
      <x:c r="E36" s="82" t="str">
        <x:v>パンチャー</x:v>
      </x:c>
      <x:c r="F36" s="82" t="str">
        <x:v>クライマー</x:v>
      </x:c>
      <x:c r="G36" s="85" t="n">
        <x:v>91</x:v>
      </x:c>
      <x:c r="H36" s="85" t="n">
        <x:v>64</x:v>
      </x:c>
      <x:c r="I36" s="91" t="str">
        <x:v>当日エース / 副エース</x:v>
      </x:c>
      <x:c r="J36" s="91" t="str">
        <x:v>ステージハンター</x:v>
      </x:c>
      <x:c r="K36" s="91" t="str">
        <x:v>パンチ力 / 登坂力 / ステージハンター</x:v>
      </x:c>
      <x:c r="L36" s="88" t="n">
        <x:v>9100</x:v>
      </x:c>
      <x:c r="M36" s="91" t="str">
        <x:v>短坂、丘陵、反復加速</x:v>
      </x:c>
      <x:c r="N36" s="91" t="str">
        <x:v>https://en.wikipedia.org/wiki/Special:Search?search=Simon%20Gerrans%20cyclist</x:v>
      </x:c>
    </x:row>
    <x:row r="37" ht="22" customHeight="1">
      <x:c r="A37" s="82" t="n">
        <x:v>33</x:v>
      </x:c>
      <x:c r="B37" s="82" t="str">
        <x:v>Erik Zabel</x:v>
      </x:c>
      <x:c r="C37" s="82" t="str">
        <x:v>ドイツ</x:v>
      </x:c>
      <x:c r="D37" s="82" t="str">
        <x:v>近代</x:v>
      </x:c>
      <x:c r="E37" s="82" t="str">
        <x:v>クラシック型</x:v>
      </x:c>
      <x:c r="F37" s="82" t="str">
        <x:v>パンチャー</x:v>
      </x:c>
      <x:c r="G37" s="85" t="n">
        <x:v>92</x:v>
      </x:c>
      <x:c r="H37" s="85" t="n">
        <x:v>71</x:v>
      </x:c>
      <x:c r="I37" s="91" t="str">
        <x:v>当日エース / 副エース</x:v>
      </x:c>
      <x:c r="J37" s="91" t="str"/>
      <x:c r="K37" s="91" t="str">
        <x:v>バイクコントロール / 反復加速</x:v>
      </x:c>
      <x:c r="L37" s="88" t="n">
        <x:v>9500</x:v>
      </x:c>
      <x:c r="M37" s="91" t="str">
        <x:v>石畳、横風、悪天候、バイクコントロール</x:v>
      </x:c>
      <x:c r="N37" s="91" t="str">
        <x:v>https://en.wikipedia.org/wiki/Special:Search?search=Erik%20Zabel%20cyclist</x:v>
      </x:c>
    </x:row>
    <x:row r="38" ht="22" customHeight="1">
      <x:c r="A38" s="82" t="n">
        <x:v>34</x:v>
      </x:c>
      <x:c r="B38" s="82" t="str">
        <x:v>Peter Sagan</x:v>
      </x:c>
      <x:c r="C38" s="82" t="str">
        <x:v>スロバキア</x:v>
      </x:c>
      <x:c r="D38" s="82" t="str">
        <x:v>現代</x:v>
      </x:c>
      <x:c r="E38" s="82" t="str">
        <x:v>クラシック型</x:v>
      </x:c>
      <x:c r="F38" s="82" t="str">
        <x:v>スプリンター</x:v>
      </x:c>
      <x:c r="G38" s="85" t="n">
        <x:v>93</x:v>
      </x:c>
      <x:c r="H38" s="85" t="n">
        <x:v>70</x:v>
      </x:c>
      <x:c r="I38" s="91" t="str">
        <x:v>当日エース / 副エース</x:v>
      </x:c>
      <x:c r="J38" s="91" t="str">
        <x:v>ステージハンター</x:v>
      </x:c>
      <x:c r="K38" s="91" t="str">
        <x:v>パンチ力 / ステージハンター / 逃げ屋</x:v>
      </x:c>
      <x:c r="L38" s="88" t="n">
        <x:v>9800</x:v>
      </x:c>
      <x:c r="M38" s="91" t="str">
        <x:v>石畳、横風、悪天候、バイクコントロール</x:v>
      </x:c>
      <x:c r="N38" s="91" t="str">
        <x:v>https://en.wikipedia.org/wiki/Special:Search?search=Peter%20Sagan%20cyclist</x:v>
      </x:c>
    </x:row>
    <x:row r="39" ht="22" customHeight="1">
      <x:c r="A39" s="82" t="n">
        <x:v>35</x:v>
      </x:c>
      <x:c r="B39" s="82" t="str">
        <x:v>Johan Museeuw</x:v>
      </x:c>
      <x:c r="C39" s="82" t="str">
        <x:v>ベルギー</x:v>
      </x:c>
      <x:c r="D39" s="82" t="str">
        <x:v>近代</x:v>
      </x:c>
      <x:c r="E39" s="82" t="str">
        <x:v>クラシック型</x:v>
      </x:c>
      <x:c r="F39" s="82" t="str">
        <x:v>パンチャー</x:v>
      </x:c>
      <x:c r="G39" s="85" t="n">
        <x:v>89</x:v>
      </x:c>
      <x:c r="H39" s="85" t="n">
        <x:v>74</x:v>
      </x:c>
      <x:c r="I39" s="91" t="str">
        <x:v>当日エース / 副エース</x:v>
      </x:c>
      <x:c r="J39" s="91" t="str"/>
      <x:c r="K39" s="91" t="str">
        <x:v>バイクコントロール / 反復加速</x:v>
      </x:c>
      <x:c r="L39" s="88" t="n">
        <x:v>10000</x:v>
      </x:c>
      <x:c r="M39" s="91" t="str">
        <x:v>石畳、横風、悪天候、バイクコントロール</x:v>
      </x:c>
      <x:c r="N39" s="91" t="str">
        <x:v>https://en.wikipedia.org/wiki/Special:Search?search=Johan%20Museeuw%20cyclist</x:v>
      </x:c>
    </x:row>
    <x:row r="40" ht="22" customHeight="1">
      <x:c r="A40" s="82" t="n">
        <x:v>36</x:v>
      </x:c>
      <x:c r="B40" s="82" t="str">
        <x:v>Tom Boonen</x:v>
      </x:c>
      <x:c r="C40" s="82" t="str">
        <x:v>ベルギー</x:v>
      </x:c>
      <x:c r="D40" s="82" t="str">
        <x:v>近代</x:v>
      </x:c>
      <x:c r="E40" s="82" t="str">
        <x:v>クラシック型</x:v>
      </x:c>
      <x:c r="F40" s="82" t="str">
        <x:v>パンチャー</x:v>
      </x:c>
      <x:c r="G40" s="85" t="n">
        <x:v>90</x:v>
      </x:c>
      <x:c r="H40" s="85" t="n">
        <x:v>73</x:v>
      </x:c>
      <x:c r="I40" s="91" t="str">
        <x:v>当日エース / 副エース</x:v>
      </x:c>
      <x:c r="J40" s="91" t="str"/>
      <x:c r="K40" s="91" t="str">
        <x:v>バイクコントロール / 反復加速</x:v>
      </x:c>
      <x:c r="L40" s="88" t="n">
        <x:v>9800</x:v>
      </x:c>
      <x:c r="M40" s="91" t="str">
        <x:v>石畳、横風、悪天候、バイクコントロール</x:v>
      </x:c>
      <x:c r="N40" s="91" t="str">
        <x:v>https://en.wikipedia.org/wiki/Special:Search?search=Tom%20Boonen%20cyclist</x:v>
      </x:c>
    </x:row>
    <x:row r="41" ht="22" customHeight="1">
      <x:c r="A41" s="82" t="n">
        <x:v>37</x:v>
      </x:c>
      <x:c r="B41" s="82" t="str">
        <x:v>John Degenkolb</x:v>
      </x:c>
      <x:c r="C41" s="82" t="str">
        <x:v>ドイツ</x:v>
      </x:c>
      <x:c r="D41" s="82" t="str">
        <x:v>現代</x:v>
      </x:c>
      <x:c r="E41" s="82" t="str">
        <x:v>クラシック型</x:v>
      </x:c>
      <x:c r="F41" s="82" t="str">
        <x:v>パンチャー</x:v>
      </x:c>
      <x:c r="G41" s="85" t="n">
        <x:v>91</x:v>
      </x:c>
      <x:c r="H41" s="85" t="n">
        <x:v>72</x:v>
      </x:c>
      <x:c r="I41" s="91" t="str">
        <x:v>当日エース / 副エース</x:v>
      </x:c>
      <x:c r="J41" s="91" t="str"/>
      <x:c r="K41" s="91" t="str">
        <x:v>バイクコントロール / 反復加速</x:v>
      </x:c>
      <x:c r="L41" s="88" t="n">
        <x:v>10000</x:v>
      </x:c>
      <x:c r="M41" s="91" t="str">
        <x:v>石畳、横風、悪天候、バイクコントロール</x:v>
      </x:c>
      <x:c r="N41" s="91" t="str">
        <x:v>https://en.wikipedia.org/wiki/Special:Search?search=John%20Degenkolb%20cyclist</x:v>
      </x:c>
    </x:row>
    <x:row r="42" ht="22" customHeight="1">
      <x:c r="A42" s="82" t="n">
        <x:v>38</x:v>
      </x:c>
      <x:c r="B42" s="82" t="str">
        <x:v>Mathieu van der Poel</x:v>
      </x:c>
      <x:c r="C42" s="82" t="str">
        <x:v>オランダ</x:v>
      </x:c>
      <x:c r="D42" s="82" t="str">
        <x:v>現代</x:v>
      </x:c>
      <x:c r="E42" s="82" t="str">
        <x:v>クラシック型</x:v>
      </x:c>
      <x:c r="F42" s="82" t="str">
        <x:v>パンチャー</x:v>
      </x:c>
      <x:c r="G42" s="85" t="n">
        <x:v>92</x:v>
      </x:c>
      <x:c r="H42" s="85" t="n">
        <x:v>71</x:v>
      </x:c>
      <x:c r="I42" s="91" t="str">
        <x:v>当日エース / 副エース</x:v>
      </x:c>
      <x:c r="J42" s="91" t="str"/>
      <x:c r="K42" s="91" t="str">
        <x:v>バイクコントロール / 反復加速</x:v>
      </x:c>
      <x:c r="L42" s="88" t="n">
        <x:v>9700</x:v>
      </x:c>
      <x:c r="M42" s="91" t="str">
        <x:v>石畳、横風、悪天候、バイクコントロール</x:v>
      </x:c>
      <x:c r="N42" s="91" t="str">
        <x:v>https://en.wikipedia.org/wiki/Special:Search?search=Mathieu%20van%20der%20Poel%20cyclist</x:v>
      </x:c>
    </x:row>
    <x:row r="43" ht="22" customHeight="1">
      <x:c r="A43" s="82" t="n">
        <x:v>39</x:v>
      </x:c>
      <x:c r="B43" s="82" t="str">
        <x:v>Fabian Cancellara</x:v>
      </x:c>
      <x:c r="C43" s="82" t="str">
        <x:v>スイス</x:v>
      </x:c>
      <x:c r="D43" s="82" t="str">
        <x:v>近代</x:v>
      </x:c>
      <x:c r="E43" s="82" t="str">
        <x:v>クラシック型</x:v>
      </x:c>
      <x:c r="F43" s="82" t="str">
        <x:v>TT・ルーラー型</x:v>
      </x:c>
      <x:c r="G43" s="85" t="n">
        <x:v>93</x:v>
      </x:c>
      <x:c r="H43" s="85" t="n">
        <x:v>70</x:v>
      </x:c>
      <x:c r="I43" s="91" t="str">
        <x:v>当日エース / 副エース</x:v>
      </x:c>
      <x:c r="J43" s="91" t="str"/>
      <x:c r="K43" s="91" t="str">
        <x:v>バイクコントロール / TT適性</x:v>
      </x:c>
      <x:c r="L43" s="88" t="n">
        <x:v>9000</x:v>
      </x:c>
      <x:c r="M43" s="91" t="str">
        <x:v>石畳、横風、悪天候、バイクコントロール</x:v>
      </x:c>
      <x:c r="N43" s="91" t="str">
        <x:v>https://en.wikipedia.org/wiki/Special:Search?search=Fabian%20Cancellara%20cyclist</x:v>
      </x:c>
    </x:row>
    <x:row r="44" ht="22" customHeight="1">
      <x:c r="A44" s="82" t="n">
        <x:v>40</x:v>
      </x:c>
      <x:c r="B44" s="82" t="str">
        <x:v>Laurent Jalabert</x:v>
      </x:c>
      <x:c r="C44" s="82" t="str">
        <x:v>フランス</x:v>
      </x:c>
      <x:c r="D44" s="82" t="str">
        <x:v>近代</x:v>
      </x:c>
      <x:c r="E44" s="82" t="str">
        <x:v>クラシック型</x:v>
      </x:c>
      <x:c r="F44" s="82" t="str">
        <x:v>パンチャー</x:v>
      </x:c>
      <x:c r="G44" s="85" t="n">
        <x:v>89</x:v>
      </x:c>
      <x:c r="H44" s="85" t="n">
        <x:v>74</x:v>
      </x:c>
      <x:c r="I44" s="91" t="str">
        <x:v>当日エース / 副エース</x:v>
      </x:c>
      <x:c r="J44" s="91" t="str"/>
      <x:c r="K44" s="91" t="str">
        <x:v>バイクコントロール / 反復加速</x:v>
      </x:c>
      <x:c r="L44" s="88" t="n">
        <x:v>8800</x:v>
      </x:c>
      <x:c r="M44" s="91" t="str">
        <x:v>石畳、横風、悪天候、バイクコントロール</x:v>
      </x:c>
      <x:c r="N44" s="91" t="str">
        <x:v>https://en.wikipedia.org/wiki/Special:Search?search=Laurent%20Jalabert%20cyclist</x:v>
      </x:c>
    </x:row>
    <x:row r="45" ht="22" customHeight="1">
      <x:c r="A45" s="82" t="n">
        <x:v>41</x:v>
      </x:c>
      <x:c r="B45" s="82" t="str">
        <x:v>Bradley Wiggins</x:v>
      </x:c>
      <x:c r="C45" s="82" t="str">
        <x:v>イギリス</x:v>
      </x:c>
      <x:c r="D45" s="82" t="str">
        <x:v>近代</x:v>
      </x:c>
      <x:c r="E45" s="82" t="str">
        <x:v>TT・ルーラー型</x:v>
      </x:c>
      <x:c r="F45" s="82" t="str">
        <x:v>総合型</x:v>
      </x:c>
      <x:c r="G45" s="85" t="n">
        <x:v>87</x:v>
      </x:c>
      <x:c r="H45" s="85" t="n">
        <x:v>80</x:v>
      </x:c>
      <x:c r="I45" s="91" t="str">
        <x:v>当日エース / 副エース</x:v>
      </x:c>
      <x:c r="J45" s="91" t="str"/>
      <x:c r="K45" s="91" t="str">
        <x:v>巡航力 / 総合安定</x:v>
      </x:c>
      <x:c r="L45" s="88" t="n">
        <x:v>9000</x:v>
      </x:c>
      <x:c r="M45" s="91" t="str">
        <x:v>単独巡航、ペース配分、空力姿勢</x:v>
      </x:c>
      <x:c r="N45" s="91" t="str">
        <x:v>https://en.wikipedia.org/wiki/Special:Search?search=Bradley%20Wiggins%20cyclist</x:v>
      </x:c>
    </x:row>
    <x:row r="46" ht="22" customHeight="1">
      <x:c r="A46" s="82" t="n">
        <x:v>42</x:v>
      </x:c>
      <x:c r="B46" s="82" t="str">
        <x:v>Tony Martin</x:v>
      </x:c>
      <x:c r="C46" s="82" t="str">
        <x:v>ドイツ</x:v>
      </x:c>
      <x:c r="D46" s="82" t="str">
        <x:v>近代</x:v>
      </x:c>
      <x:c r="E46" s="82" t="str">
        <x:v>TT・ルーラー型</x:v>
      </x:c>
      <x:c r="F46" s="82" t="str">
        <x:v>クラシック型</x:v>
      </x:c>
      <x:c r="G46" s="85" t="n">
        <x:v>88</x:v>
      </x:c>
      <x:c r="H46" s="85" t="n">
        <x:v>79</x:v>
      </x:c>
      <x:c r="I46" s="91" t="str">
        <x:v>当日エース / 副エース</x:v>
      </x:c>
      <x:c r="J46" s="91" t="str"/>
      <x:c r="K46" s="91" t="str">
        <x:v>巡航力 / 悪路耐性</x:v>
      </x:c>
      <x:c r="L46" s="88" t="n">
        <x:v>8800</x:v>
      </x:c>
      <x:c r="M46" s="91" t="str">
        <x:v>単独巡航、ペース配分、空力姿勢</x:v>
      </x:c>
      <x:c r="N46" s="91" t="str">
        <x:v>https://en.wikipedia.org/wiki/Special:Search?search=Tony%20Martin%20cyclist</x:v>
      </x:c>
    </x:row>
    <x:row r="47" ht="22" customHeight="1">
      <x:c r="A47" s="82" t="n">
        <x:v>43</x:v>
      </x:c>
      <x:c r="B47" s="82" t="str">
        <x:v>Filippo Ganna</x:v>
      </x:c>
      <x:c r="C47" s="82" t="str">
        <x:v>イタリア</x:v>
      </x:c>
      <x:c r="D47" s="82" t="str">
        <x:v>現代</x:v>
      </x:c>
      <x:c r="E47" s="82" t="str">
        <x:v>TT・ルーラー型</x:v>
      </x:c>
      <x:c r="F47" s="82" t="str">
        <x:v>クラシック型</x:v>
      </x:c>
      <x:c r="G47" s="85" t="n">
        <x:v>89</x:v>
      </x:c>
      <x:c r="H47" s="85" t="n">
        <x:v>78</x:v>
      </x:c>
      <x:c r="I47" s="91" t="str">
        <x:v>当日エース / 副エース</x:v>
      </x:c>
      <x:c r="J47" s="91" t="str"/>
      <x:c r="K47" s="91" t="str">
        <x:v>巡航力 / 悪路耐性</x:v>
      </x:c>
      <x:c r="L47" s="88" t="n">
        <x:v>8500</x:v>
      </x:c>
      <x:c r="M47" s="91" t="str">
        <x:v>単独巡航、ペース配分、空力姿勢</x:v>
      </x:c>
      <x:c r="N47" s="91" t="str">
        <x:v>https://en.wikipedia.org/wiki/Special:Search?search=Filippo%20Ganna%20cyclist</x:v>
      </x:c>
    </x:row>
    <x:row r="48" ht="22" customHeight="1">
      <x:c r="A48" s="82" t="n">
        <x:v>44</x:v>
      </x:c>
      <x:c r="B48" s="82" t="str">
        <x:v>Chris Boardman</x:v>
      </x:c>
      <x:c r="C48" s="82" t="str">
        <x:v>イギリス</x:v>
      </x:c>
      <x:c r="D48" s="82" t="str">
        <x:v>近代</x:v>
      </x:c>
      <x:c r="E48" s="82" t="str">
        <x:v>TT・ルーラー型</x:v>
      </x:c>
      <x:c r="F48" s="82" t="str">
        <x:v>クラシック型</x:v>
      </x:c>
      <x:c r="G48" s="85" t="n">
        <x:v>90</x:v>
      </x:c>
      <x:c r="H48" s="85" t="n">
        <x:v>77</x:v>
      </x:c>
      <x:c r="I48" s="91" t="str">
        <x:v>当日エース / 副エース</x:v>
      </x:c>
      <x:c r="J48" s="91" t="str"/>
      <x:c r="K48" s="91" t="str">
        <x:v>巡航力 / 悪路耐性</x:v>
      </x:c>
      <x:c r="L48" s="88" t="n">
        <x:v>8200</x:v>
      </x:c>
      <x:c r="M48" s="91" t="str">
        <x:v>単独巡航、ペース配分、空力姿勢</x:v>
      </x:c>
      <x:c r="N48" s="91" t="str">
        <x:v>https://en.wikipedia.org/wiki/Special:Search?search=Chris%20Boardman%20cyclist</x:v>
      </x:c>
    </x:row>
    <x:row r="49" ht="22" customHeight="1">
      <x:c r="A49" s="82" t="n">
        <x:v>45</x:v>
      </x:c>
      <x:c r="B49" s="82" t="str">
        <x:v>Rohan Dennis</x:v>
      </x:c>
      <x:c r="C49" s="82" t="str">
        <x:v>オーストラリア</x:v>
      </x:c>
      <x:c r="D49" s="82" t="str">
        <x:v>現代</x:v>
      </x:c>
      <x:c r="E49" s="82" t="str">
        <x:v>TT・ルーラー型</x:v>
      </x:c>
      <x:c r="F49" s="82" t="str">
        <x:v>総合型</x:v>
      </x:c>
      <x:c r="G49" s="85" t="n">
        <x:v>86</x:v>
      </x:c>
      <x:c r="H49" s="85" t="n">
        <x:v>81</x:v>
      </x:c>
      <x:c r="I49" s="91" t="str">
        <x:v>当日エース / 副エース</x:v>
      </x:c>
      <x:c r="J49" s="91" t="str">
        <x:v>ステージハンター</x:v>
      </x:c>
      <x:c r="K49" s="91" t="str">
        <x:v>巡航力 / 総合安定 / ステージハンター</x:v>
      </x:c>
      <x:c r="L49" s="88" t="n">
        <x:v>9400</x:v>
      </x:c>
      <x:c r="M49" s="91" t="str">
        <x:v>単独巡航、ペース配分、空力姿勢</x:v>
      </x:c>
      <x:c r="N49" s="91" t="str">
        <x:v>https://en.wikipedia.org/wiki/Special:Search?search=Rohan%20Dennis%20cyclist</x:v>
      </x:c>
    </x:row>
    <x:row r="50" ht="22" customHeight="1">
      <x:c r="A50" s="82" t="n">
        <x:v>46</x:v>
      </x:c>
      <x:c r="B50" s="82" t="str">
        <x:v>Luis Leon Sanchez</x:v>
      </x:c>
      <x:c r="C50" s="82" t="str">
        <x:v>スペイン</x:v>
      </x:c>
      <x:c r="D50" s="82" t="str">
        <x:v>近代</x:v>
      </x:c>
      <x:c r="E50" s="82" t="str">
        <x:v>TT・ルーラー型</x:v>
      </x:c>
      <x:c r="F50" s="82" t="str">
        <x:v>クラシック型</x:v>
      </x:c>
      <x:c r="G50" s="85" t="n">
        <x:v>87</x:v>
      </x:c>
      <x:c r="H50" s="85" t="n">
        <x:v>80</x:v>
      </x:c>
      <x:c r="I50" s="91" t="str">
        <x:v>当日エース / 副エース</x:v>
      </x:c>
      <x:c r="J50" s="91" t="str"/>
      <x:c r="K50" s="91" t="str">
        <x:v>巡航力 / 悪路耐性</x:v>
      </x:c>
      <x:c r="L50" s="88" t="n">
        <x:v>8700</x:v>
      </x:c>
      <x:c r="M50" s="91" t="str">
        <x:v>単独巡航、ペース配分、空力姿勢</x:v>
      </x:c>
      <x:c r="N50" s="91" t="str">
        <x:v>https://en.wikipedia.org/wiki/Special:Search?search=Luis%20Leon%20Sanchez%20cyclist</x:v>
      </x:c>
    </x:row>
    <x:row r="51" ht="22" customHeight="1">
      <x:c r="A51" s="82" t="n">
        <x:v>47</x:v>
      </x:c>
      <x:c r="B51" s="82" t="str">
        <x:v>Richard Virenque</x:v>
      </x:c>
      <x:c r="C51" s="82" t="str">
        <x:v>フランス</x:v>
      </x:c>
      <x:c r="D51" s="82" t="str">
        <x:v>近代</x:v>
      </x:c>
      <x:c r="E51" s="82" t="str">
        <x:v>クライマー</x:v>
      </x:c>
      <x:c r="F51" s="82" t="str">
        <x:v>パンチャー</x:v>
      </x:c>
      <x:c r="G51" s="85" t="n">
        <x:v>85</x:v>
      </x:c>
      <x:c r="H51" s="85" t="n">
        <x:v>72</x:v>
      </x:c>
      <x:c r="I51" s="91" t="str">
        <x:v>当日エース / 副エース</x:v>
      </x:c>
      <x:c r="J51" s="91" t="str">
        <x:v>ステージハンター</x:v>
      </x:c>
      <x:c r="K51" s="91" t="str">
        <x:v>山岳耐久 / 反復加速 / ステージハンター</x:v>
      </x:c>
      <x:c r="L51" s="88" t="n">
        <x:v>7500</x:v>
      </x:c>
      <x:c r="M51" s="91" t="str">
        <x:v>逃げ、奇襲、日替わりの勝負勘</x:v>
      </x:c>
      <x:c r="N51" s="91" t="str">
        <x:v>https://en.wikipedia.org/wiki/Special:Search?search=Richard%20Virenque%20cyclist</x:v>
      </x:c>
    </x:row>
    <x:row r="52" ht="22" customHeight="1">
      <x:c r="A52" s="82" t="n">
        <x:v>48</x:v>
      </x:c>
      <x:c r="B52" s="82" t="str">
        <x:v>Thomas De Gendt</x:v>
      </x:c>
      <x:c r="C52" s="82" t="str">
        <x:v>ベルギー</x:v>
      </x:c>
      <x:c r="D52" s="82" t="str">
        <x:v>現代</x:v>
      </x:c>
      <x:c r="E52" s="82" t="str">
        <x:v>TT・ルーラー型</x:v>
      </x:c>
      <x:c r="F52" s="82" t="str">
        <x:v>クラシック型</x:v>
      </x:c>
      <x:c r="G52" s="85" t="n">
        <x:v>86</x:v>
      </x:c>
      <x:c r="H52" s="85" t="n">
        <x:v>71</x:v>
      </x:c>
      <x:c r="I52" s="91" t="str">
        <x:v>当日エース / 副エース</x:v>
      </x:c>
      <x:c r="J52" s="91" t="str">
        <x:v>ステージハンター</x:v>
      </x:c>
      <x:c r="K52" s="91" t="str">
        <x:v>巡航力 / 悪路耐性 / ステージハンター</x:v>
      </x:c>
      <x:c r="L52" s="88" t="n">
        <x:v>7200</x:v>
      </x:c>
      <x:c r="M52" s="91" t="str">
        <x:v>逃げ、奇襲、日替わりの勝負勘</x:v>
      </x:c>
      <x:c r="N52" s="91" t="str">
        <x:v>https://en.wikipedia.org/wiki/Special:Search?search=Thomas%20De%20Gendt%20cyclist</x:v>
      </x:c>
    </x:row>
    <x:row r="53" ht="22" customHeight="1">
      <x:c r="A53" s="82" t="n">
        <x:v>49</x:v>
      </x:c>
      <x:c r="B53" s="82" t="str">
        <x:v>Claudio Chiappucci</x:v>
      </x:c>
      <x:c r="C53" s="82" t="str">
        <x:v>イタリア</x:v>
      </x:c>
      <x:c r="D53" s="82" t="str">
        <x:v>近代</x:v>
      </x:c>
      <x:c r="E53" s="82" t="str">
        <x:v>クライマー</x:v>
      </x:c>
      <x:c r="F53" s="82" t="str">
        <x:v>パンチャー</x:v>
      </x:c>
      <x:c r="G53" s="85" t="n">
        <x:v>87</x:v>
      </x:c>
      <x:c r="H53" s="85" t="n">
        <x:v>70</x:v>
      </x:c>
      <x:c r="I53" s="91" t="str">
        <x:v>当日エース / 副エース</x:v>
      </x:c>
      <x:c r="J53" s="91" t="str">
        <x:v>ステージハンター</x:v>
      </x:c>
      <x:c r="K53" s="91" t="str">
        <x:v>山岳耐久 / 反復加速 / ステージハンター</x:v>
      </x:c>
      <x:c r="L53" s="88" t="n">
        <x:v>7200</x:v>
      </x:c>
      <x:c r="M53" s="91" t="str">
        <x:v>逃げ、奇襲、日替わりの勝負勘</x:v>
      </x:c>
      <x:c r="N53" s="91" t="str">
        <x:v>https://en.wikipedia.org/wiki/Special:Search?search=Claudio%20Chiappucci%20cyclist</x:v>
      </x:c>
    </x:row>
    <x:row r="54" ht="22" customHeight="1">
      <x:c r="A54" s="82" t="n">
        <x:v>50</x:v>
      </x:c>
      <x:c r="B54" s="82" t="str">
        <x:v>Richard Carapaz</x:v>
      </x:c>
      <x:c r="C54" s="82" t="str">
        <x:v>エクアドル</x:v>
      </x:c>
      <x:c r="D54" s="82" t="str">
        <x:v>現代</x:v>
      </x:c>
      <x:c r="E54" s="82" t="str">
        <x:v>総合型</x:v>
      </x:c>
      <x:c r="F54" s="82" t="str">
        <x:v>クライマー</x:v>
      </x:c>
      <x:c r="G54" s="85" t="n">
        <x:v>83</x:v>
      </x:c>
      <x:c r="H54" s="85" t="n">
        <x:v>74</x:v>
      </x:c>
      <x:c r="I54" s="91" t="str">
        <x:v>当日エース / 副エース</x:v>
      </x:c>
      <x:c r="J54" s="91" t="str">
        <x:v>ステージハンター</x:v>
      </x:c>
      <x:c r="K54" s="91" t="str">
        <x:v>日別回復 / 登坂力 / ステージハンター</x:v>
      </x:c>
      <x:c r="L54" s="88" t="n">
        <x:v>7000</x:v>
      </x:c>
      <x:c r="M54" s="91" t="str">
        <x:v>逃げ、奇襲、日替わりの勝負勘</x:v>
      </x:c>
      <x:c r="N54" s="91" t="str">
        <x:v>https://en.wikipedia.org/wiki/Special:Search?search=Richard%20Carapaz%20cyclist</x:v>
      </x:c>
    </x:row>
    <x:row r="55" ht="22" customHeight="1">
      <x:c r="A55" s="82" t="n">
        <x:v>51</x:v>
      </x:c>
      <x:c r="B55" s="82" t="str">
        <x:v>Sepp Kuss</x:v>
      </x:c>
      <x:c r="C55" s="82" t="str">
        <x:v>アメリカ</x:v>
      </x:c>
      <x:c r="D55" s="82" t="str">
        <x:v>現代</x:v>
      </x:c>
      <x:c r="E55" s="82" t="str">
        <x:v>クライマー</x:v>
      </x:c>
      <x:c r="F55" s="82" t="str">
        <x:v>総合型</x:v>
      </x:c>
      <x:c r="G55" s="85" t="n">
        <x:v>78</x:v>
      </x:c>
      <x:c r="H55" s="85" t="n">
        <x:v>92</x:v>
      </x:c>
      <x:c r="I55" s="91" t="str">
        <x:v>アシスト / 副エース</x:v>
      </x:c>
      <x:c r="J55" s="91" t="str"/>
      <x:c r="K55" s="91" t="str">
        <x:v>山岳耐久 / 総合安定</x:v>
      </x:c>
      <x:c r="L55" s="88" t="n">
        <x:v>7200</x:v>
      </x:c>
      <x:c r="M55" s="91" t="str">
        <x:v>山岳列車、登りの牽引、エース保護</x:v>
      </x:c>
      <x:c r="N55" s="91" t="str">
        <x:v>https://en.wikipedia.org/wiki/Special:Search?search=Sepp%20Kuss%20cyclist</x:v>
      </x:c>
    </x:row>
    <x:row r="56" ht="22" customHeight="1">
      <x:c r="A56" s="82" t="n">
        <x:v>52</x:v>
      </x:c>
      <x:c r="B56" s="82" t="str">
        <x:v>Wout Poels</x:v>
      </x:c>
      <x:c r="C56" s="82" t="str">
        <x:v>オランダ</x:v>
      </x:c>
      <x:c r="D56" s="82" t="str">
        <x:v>現代</x:v>
      </x:c>
      <x:c r="E56" s="82" t="str">
        <x:v>クライマー</x:v>
      </x:c>
      <x:c r="F56" s="82" t="str">
        <x:v>総合型</x:v>
      </x:c>
      <x:c r="G56" s="85" t="n">
        <x:v>79</x:v>
      </x:c>
      <x:c r="H56" s="85" t="n">
        <x:v>91</x:v>
      </x:c>
      <x:c r="I56" s="91" t="str">
        <x:v>アシスト / 副エース</x:v>
      </x:c>
      <x:c r="J56" s="91" t="str"/>
      <x:c r="K56" s="91" t="str">
        <x:v>山岳耐久 / 総合安定</x:v>
      </x:c>
      <x:c r="L56" s="88" t="n">
        <x:v>6700</x:v>
      </x:c>
      <x:c r="M56" s="91" t="str">
        <x:v>山岳列車、登りの牽引、エース保護</x:v>
      </x:c>
      <x:c r="N56" s="91" t="str">
        <x:v>https://en.wikipedia.org/wiki/Special:Search?search=Wout%20Poels%20cyclist</x:v>
      </x:c>
    </x:row>
    <x:row r="57" ht="22" customHeight="1">
      <x:c r="A57" s="82" t="n">
        <x:v>53</x:v>
      </x:c>
      <x:c r="B57" s="82" t="str">
        <x:v>Michal Kwiatkowski</x:v>
      </x:c>
      <x:c r="C57" s="82" t="str">
        <x:v>ポーランド</x:v>
      </x:c>
      <x:c r="D57" s="82" t="str">
        <x:v>現代</x:v>
      </x:c>
      <x:c r="E57" s="82" t="str">
        <x:v>クライマー</x:v>
      </x:c>
      <x:c r="F57" s="82" t="str">
        <x:v>総合型</x:v>
      </x:c>
      <x:c r="G57" s="85" t="n">
        <x:v>77</x:v>
      </x:c>
      <x:c r="H57" s="85" t="n">
        <x:v>90</x:v>
      </x:c>
      <x:c r="I57" s="91" t="str">
        <x:v>アシスト / 副エース</x:v>
      </x:c>
      <x:c r="J57" s="91" t="str"/>
      <x:c r="K57" s="91" t="str">
        <x:v>山岳耐久 / 総合安定</x:v>
      </x:c>
      <x:c r="L57" s="88" t="n">
        <x:v>6200</x:v>
      </x:c>
      <x:c r="M57" s="91" t="str">
        <x:v>山岳列車、登りの牽引、エース保護</x:v>
      </x:c>
      <x:c r="N57" s="91" t="str">
        <x:v>https://en.wikipedia.org/wiki/Special:Search?search=Michal%20Kwiatkowski%20cyclist</x:v>
      </x:c>
    </x:row>
    <x:row r="58" ht="22" customHeight="1">
      <x:c r="A58" s="82" t="n">
        <x:v>54</x:v>
      </x:c>
      <x:c r="B58" s="82" t="str">
        <x:v>Richie Porte</x:v>
      </x:c>
      <x:c r="C58" s="82" t="str">
        <x:v>オーストラリア</x:v>
      </x:c>
      <x:c r="D58" s="82" t="str">
        <x:v>近代</x:v>
      </x:c>
      <x:c r="E58" s="82" t="str">
        <x:v>クライマー</x:v>
      </x:c>
      <x:c r="F58" s="82" t="str">
        <x:v>総合型</x:v>
      </x:c>
      <x:c r="G58" s="85" t="n">
        <x:v>78</x:v>
      </x:c>
      <x:c r="H58" s="85" t="n">
        <x:v>89</x:v>
      </x:c>
      <x:c r="I58" s="91" t="str">
        <x:v>アシスト / 副エース</x:v>
      </x:c>
      <x:c r="J58" s="91" t="str"/>
      <x:c r="K58" s="91" t="str">
        <x:v>山岳耐久 / 総合安定</x:v>
      </x:c>
      <x:c r="L58" s="88" t="n">
        <x:v>5700</x:v>
      </x:c>
      <x:c r="M58" s="91" t="str">
        <x:v>山岳列車、登りの牽引、エース保護</x:v>
      </x:c>
      <x:c r="N58" s="91" t="str">
        <x:v>https://en.wikipedia.org/wiki/Special:Search?search=Richie%20Porte%20cyclist</x:v>
      </x:c>
    </x:row>
    <x:row r="59" ht="22" customHeight="1">
      <x:c r="A59" s="82" t="n">
        <x:v>55</x:v>
      </x:c>
      <x:c r="B59" s="82" t="str">
        <x:v>Mikel Nieve</x:v>
      </x:c>
      <x:c r="C59" s="82" t="str">
        <x:v>スペイン</x:v>
      </x:c>
      <x:c r="D59" s="82" t="str">
        <x:v>近代</x:v>
      </x:c>
      <x:c r="E59" s="82" t="str">
        <x:v>クライマー</x:v>
      </x:c>
      <x:c r="F59" s="82" t="str">
        <x:v>総合型</x:v>
      </x:c>
      <x:c r="G59" s="85" t="n">
        <x:v>57</x:v>
      </x:c>
      <x:c r="H59" s="85" t="n">
        <x:v>93</x:v>
      </x:c>
      <x:c r="I59" s="91" t="str">
        <x:v>アシスト</x:v>
      </x:c>
      <x:c r="J59" s="91" t="str"/>
      <x:c r="K59" s="91" t="str">
        <x:v>山岳耐久 / 総合安定</x:v>
      </x:c>
      <x:c r="L59" s="88" t="n">
        <x:v>5200</x:v>
      </x:c>
      <x:c r="M59" s="91" t="str">
        <x:v>山岳列車、登りの牽引、エース保護</x:v>
      </x:c>
      <x:c r="N59" s="91" t="str">
        <x:v>https://en.wikipedia.org/wiki/Special:Search?search=Mikel%20Nieve%20cyclist</x:v>
      </x:c>
    </x:row>
    <x:row r="60" ht="22" customHeight="1">
      <x:c r="A60" s="82" t="n">
        <x:v>56</x:v>
      </x:c>
      <x:c r="B60" s="82" t="str">
        <x:v>Andrey Amador</x:v>
      </x:c>
      <x:c r="C60" s="82" t="str">
        <x:v>コスタリカ</x:v>
      </x:c>
      <x:c r="D60" s="82" t="str">
        <x:v>近代</x:v>
      </x:c>
      <x:c r="E60" s="82" t="str">
        <x:v>クライマー</x:v>
      </x:c>
      <x:c r="F60" s="82" t="str">
        <x:v>総合型</x:v>
      </x:c>
      <x:c r="G60" s="85" t="n">
        <x:v>58</x:v>
      </x:c>
      <x:c r="H60" s="85" t="n">
        <x:v>92</x:v>
      </x:c>
      <x:c r="I60" s="91" t="str">
        <x:v>アシスト</x:v>
      </x:c>
      <x:c r="J60" s="91" t="str"/>
      <x:c r="K60" s="91" t="str">
        <x:v>山岳耐久 / 総合安定</x:v>
      </x:c>
      <x:c r="L60" s="88" t="n">
        <x:v>4700</x:v>
      </x:c>
      <x:c r="M60" s="91" t="str">
        <x:v>山岳列車、登りの牽引、エース保護</x:v>
      </x:c>
      <x:c r="N60" s="91" t="str">
        <x:v>https://en.wikipedia.org/wiki/Special:Search?search=Andrey%20Amador%20cyclist</x:v>
      </x:c>
    </x:row>
    <x:row r="61" ht="22" customHeight="1">
      <x:c r="A61" s="82" t="n">
        <x:v>57</x:v>
      </x:c>
      <x:c r="B61" s="82" t="str">
        <x:v>Winner Anacona</x:v>
      </x:c>
      <x:c r="C61" s="82" t="str">
        <x:v>コロンビア</x:v>
      </x:c>
      <x:c r="D61" s="82" t="str">
        <x:v>現代</x:v>
      </x:c>
      <x:c r="E61" s="82" t="str">
        <x:v>クライマー</x:v>
      </x:c>
      <x:c r="F61" s="82" t="str">
        <x:v>総合型</x:v>
      </x:c>
      <x:c r="G61" s="85" t="n">
        <x:v>59</x:v>
      </x:c>
      <x:c r="H61" s="85" t="n">
        <x:v>91</x:v>
      </x:c>
      <x:c r="I61" s="91" t="str">
        <x:v>アシスト</x:v>
      </x:c>
      <x:c r="J61" s="91" t="str"/>
      <x:c r="K61" s="91" t="str">
        <x:v>山岳耐久 / 総合安定</x:v>
      </x:c>
      <x:c r="L61" s="88" t="n">
        <x:v>4200</x:v>
      </x:c>
      <x:c r="M61" s="91" t="str">
        <x:v>山岳列車、登りの牽引、エース保護</x:v>
      </x:c>
      <x:c r="N61" s="91" t="str">
        <x:v>https://en.wikipedia.org/wiki/Special:Search?search=Winner%20Anacona%20cyclist</x:v>
      </x:c>
    </x:row>
    <x:row r="62" ht="22" customHeight="1">
      <x:c r="A62" s="82" t="n">
        <x:v>58</x:v>
      </x:c>
      <x:c r="B62" s="82" t="str">
        <x:v>Robert Gesink</x:v>
      </x:c>
      <x:c r="C62" s="82" t="str">
        <x:v>オランダ</x:v>
      </x:c>
      <x:c r="D62" s="82" t="str">
        <x:v>近代</x:v>
      </x:c>
      <x:c r="E62" s="82" t="str">
        <x:v>クライマー</x:v>
      </x:c>
      <x:c r="F62" s="82" t="str">
        <x:v>総合型</x:v>
      </x:c>
      <x:c r="G62" s="85" t="n">
        <x:v>58</x:v>
      </x:c>
      <x:c r="H62" s="85" t="n">
        <x:v>90</x:v>
      </x:c>
      <x:c r="I62" s="91" t="str">
        <x:v>アシスト</x:v>
      </x:c>
      <x:c r="J62" s="91" t="str"/>
      <x:c r="K62" s="91" t="str">
        <x:v>山岳耐久 / 総合安定</x:v>
      </x:c>
      <x:c r="L62" s="88" t="n">
        <x:v>3700</x:v>
      </x:c>
      <x:c r="M62" s="91" t="str">
        <x:v>山岳列車、登りの牽引、エース保護</x:v>
      </x:c>
      <x:c r="N62" s="91" t="str">
        <x:v>https://en.wikipedia.org/wiki/Special:Search?search=Robert%20Gesink%20cyclist</x:v>
      </x:c>
    </x:row>
    <x:row r="63" ht="22" customHeight="1">
      <x:c r="A63" s="82" t="n">
        <x:v>59</x:v>
      </x:c>
      <x:c r="B63" s="82" t="str">
        <x:v>Laurens De Plus</x:v>
      </x:c>
      <x:c r="C63" s="82" t="str">
        <x:v>ベルギー</x:v>
      </x:c>
      <x:c r="D63" s="82" t="str">
        <x:v>現代</x:v>
      </x:c>
      <x:c r="E63" s="82" t="str">
        <x:v>クライマー</x:v>
      </x:c>
      <x:c r="F63" s="82" t="str">
        <x:v>総合型</x:v>
      </x:c>
      <x:c r="G63" s="85" t="n">
        <x:v>64</x:v>
      </x:c>
      <x:c r="H63" s="85" t="n">
        <x:v>89</x:v>
      </x:c>
      <x:c r="I63" s="91" t="str">
        <x:v>アシスト</x:v>
      </x:c>
      <x:c r="J63" s="91" t="str"/>
      <x:c r="K63" s="91" t="str">
        <x:v>山岳耐久 / 総合安定</x:v>
      </x:c>
      <x:c r="L63" s="88" t="n">
        <x:v>7200</x:v>
      </x:c>
      <x:c r="M63" s="91" t="str">
        <x:v>山岳列車、登りの牽引、エース保護</x:v>
      </x:c>
      <x:c r="N63" s="91" t="str">
        <x:v>https://en.wikipedia.org/wiki/Special:Search?search=Laurens%20De%20Plus%20cyclist</x:v>
      </x:c>
    </x:row>
    <x:row r="64" ht="22" customHeight="1">
      <x:c r="A64" s="82" t="n">
        <x:v>60</x:v>
      </x:c>
      <x:c r="B64" s="82" t="str">
        <x:v>Wilco Kelderman</x:v>
      </x:c>
      <x:c r="C64" s="82" t="str">
        <x:v>オランダ</x:v>
      </x:c>
      <x:c r="D64" s="82" t="str">
        <x:v>現代</x:v>
      </x:c>
      <x:c r="E64" s="82" t="str">
        <x:v>クライマー</x:v>
      </x:c>
      <x:c r="F64" s="82" t="str">
        <x:v>総合型</x:v>
      </x:c>
      <x:c r="G64" s="85" t="n">
        <x:v>60</x:v>
      </x:c>
      <x:c r="H64" s="85" t="n">
        <x:v>93</x:v>
      </x:c>
      <x:c r="I64" s="91" t="str">
        <x:v>アシスト</x:v>
      </x:c>
      <x:c r="J64" s="91" t="str"/>
      <x:c r="K64" s="91" t="str">
        <x:v>山岳耐久 / 総合安定</x:v>
      </x:c>
      <x:c r="L64" s="88" t="n">
        <x:v>6700</x:v>
      </x:c>
      <x:c r="M64" s="91" t="str">
        <x:v>山岳列車、登りの牽引、エース保護</x:v>
      </x:c>
      <x:c r="N64" s="91" t="str">
        <x:v>https://en.wikipedia.org/wiki/Special:Search?search=Wilco%20Kelderman%20cyclist</x:v>
      </x:c>
    </x:row>
    <x:row r="65" ht="22" customHeight="1">
      <x:c r="A65" s="82" t="n">
        <x:v>61</x:v>
      </x:c>
      <x:c r="B65" s="82" t="str">
        <x:v>Tao Geoghegan Hart</x:v>
      </x:c>
      <x:c r="C65" s="82" t="str">
        <x:v>イギリス</x:v>
      </x:c>
      <x:c r="D65" s="82" t="str">
        <x:v>現代</x:v>
      </x:c>
      <x:c r="E65" s="82" t="str">
        <x:v>クライマー</x:v>
      </x:c>
      <x:c r="F65" s="82" t="str">
        <x:v>総合型</x:v>
      </x:c>
      <x:c r="G65" s="85" t="n">
        <x:v>58</x:v>
      </x:c>
      <x:c r="H65" s="85" t="n">
        <x:v>92</x:v>
      </x:c>
      <x:c r="I65" s="91" t="str">
        <x:v>アシスト</x:v>
      </x:c>
      <x:c r="J65" s="91" t="str"/>
      <x:c r="K65" s="91" t="str">
        <x:v>山岳耐久 / 総合安定</x:v>
      </x:c>
      <x:c r="L65" s="88" t="n">
        <x:v>6200</x:v>
      </x:c>
      <x:c r="M65" s="91" t="str">
        <x:v>山岳列車、登りの牽引、エース保護</x:v>
      </x:c>
      <x:c r="N65" s="91" t="str">
        <x:v>https://en.wikipedia.org/wiki/Special:Search?search=Tao%20Geoghegan%20Hart%20cyclist</x:v>
      </x:c>
    </x:row>
    <x:row r="66" ht="22" customHeight="1">
      <x:c r="A66" s="82" t="n">
        <x:v>62</x:v>
      </x:c>
      <x:c r="B66" s="82" t="str">
        <x:v>Jose Luis Rubiera</x:v>
      </x:c>
      <x:c r="C66" s="82" t="str">
        <x:v>スペイン</x:v>
      </x:c>
      <x:c r="D66" s="82" t="str">
        <x:v>近代</x:v>
      </x:c>
      <x:c r="E66" s="82" t="str">
        <x:v>クライマー</x:v>
      </x:c>
      <x:c r="F66" s="82" t="str">
        <x:v>総合型</x:v>
      </x:c>
      <x:c r="G66" s="85" t="n">
        <x:v>59</x:v>
      </x:c>
      <x:c r="H66" s="85" t="n">
        <x:v>91</x:v>
      </x:c>
      <x:c r="I66" s="91" t="str">
        <x:v>アシスト</x:v>
      </x:c>
      <x:c r="J66" s="91" t="str"/>
      <x:c r="K66" s="91" t="str">
        <x:v>山岳耐久 / 総合安定</x:v>
      </x:c>
      <x:c r="L66" s="88" t="n">
        <x:v>5700</x:v>
      </x:c>
      <x:c r="M66" s="91" t="str">
        <x:v>山岳列車、登りの牽引、エース保護</x:v>
      </x:c>
      <x:c r="N66" s="91" t="str">
        <x:v>https://en.wikipedia.org/wiki/Special:Search?search=Jose%20Luis%20Rubiera%20cyclist</x:v>
      </x:c>
    </x:row>
    <x:row r="67" ht="22" customHeight="1">
      <x:c r="A67" s="82" t="n">
        <x:v>63</x:v>
      </x:c>
      <x:c r="B67" s="82" t="str">
        <x:v>Daniel Navarro</x:v>
      </x:c>
      <x:c r="C67" s="82" t="str">
        <x:v>スペイン</x:v>
      </x:c>
      <x:c r="D67" s="82" t="str">
        <x:v>近代</x:v>
      </x:c>
      <x:c r="E67" s="82" t="str">
        <x:v>クライマー</x:v>
      </x:c>
      <x:c r="F67" s="82" t="str">
        <x:v>総合型</x:v>
      </x:c>
      <x:c r="G67" s="85" t="n">
        <x:v>60</x:v>
      </x:c>
      <x:c r="H67" s="85" t="n">
        <x:v>90</x:v>
      </x:c>
      <x:c r="I67" s="91" t="str">
        <x:v>アシスト</x:v>
      </x:c>
      <x:c r="J67" s="91" t="str"/>
      <x:c r="K67" s="91" t="str">
        <x:v>山岳耐久 / 総合安定</x:v>
      </x:c>
      <x:c r="L67" s="88" t="n">
        <x:v>5200</x:v>
      </x:c>
      <x:c r="M67" s="91" t="str">
        <x:v>山岳列車、登りの牽引、エース保護</x:v>
      </x:c>
      <x:c r="N67" s="91" t="str">
        <x:v>https://en.wikipedia.org/wiki/Special:Search?search=Daniel%20Navarro%20cyclist</x:v>
      </x:c>
    </x:row>
    <x:row r="68" ht="22" customHeight="1">
      <x:c r="A68" s="82" t="n">
        <x:v>64</x:v>
      </x:c>
      <x:c r="B68" s="82" t="str">
        <x:v>Sergio Henao</x:v>
      </x:c>
      <x:c r="C68" s="82" t="str">
        <x:v>コロンビア</x:v>
      </x:c>
      <x:c r="D68" s="82" t="str">
        <x:v>近代</x:v>
      </x:c>
      <x:c r="E68" s="82" t="str">
        <x:v>クライマー</x:v>
      </x:c>
      <x:c r="F68" s="82" t="str">
        <x:v>総合型</x:v>
      </x:c>
      <x:c r="G68" s="85" t="n">
        <x:v>61</x:v>
      </x:c>
      <x:c r="H68" s="85" t="n">
        <x:v>89</x:v>
      </x:c>
      <x:c r="I68" s="91" t="str">
        <x:v>アシスト</x:v>
      </x:c>
      <x:c r="J68" s="91" t="str"/>
      <x:c r="K68" s="91" t="str">
        <x:v>山岳耐久 / 総合安定</x:v>
      </x:c>
      <x:c r="L68" s="88" t="n">
        <x:v>4700</x:v>
      </x:c>
      <x:c r="M68" s="91" t="str">
        <x:v>山岳列車、登りの牽引、エース保護</x:v>
      </x:c>
      <x:c r="N68" s="91" t="str">
        <x:v>https://en.wikipedia.org/wiki/Special:Search?search=Sergio%20Henao%20cyclist</x:v>
      </x:c>
    </x:row>
    <x:row r="69" ht="22" customHeight="1">
      <x:c r="A69" s="82" t="n">
        <x:v>65</x:v>
      </x:c>
      <x:c r="B69" s="82" t="str">
        <x:v>Tanel Kangert</x:v>
      </x:c>
      <x:c r="C69" s="82" t="str">
        <x:v>エストニア</x:v>
      </x:c>
      <x:c r="D69" s="82" t="str">
        <x:v>近代</x:v>
      </x:c>
      <x:c r="E69" s="82" t="str">
        <x:v>クライマー</x:v>
      </x:c>
      <x:c r="F69" s="82" t="str">
        <x:v>総合型</x:v>
      </x:c>
      <x:c r="G69" s="85" t="n">
        <x:v>57</x:v>
      </x:c>
      <x:c r="H69" s="85" t="n">
        <x:v>93</x:v>
      </x:c>
      <x:c r="I69" s="91" t="str">
        <x:v>アシスト</x:v>
      </x:c>
      <x:c r="J69" s="91" t="str"/>
      <x:c r="K69" s="91" t="str">
        <x:v>山岳耐久 / 総合安定</x:v>
      </x:c>
      <x:c r="L69" s="88" t="n">
        <x:v>4200</x:v>
      </x:c>
      <x:c r="M69" s="91" t="str">
        <x:v>山岳列車、登りの牽引、エース保護</x:v>
      </x:c>
      <x:c r="N69" s="91" t="str">
        <x:v>https://en.wikipedia.org/wiki/Special:Search?search=Tanel%20Kangert%20cyclist</x:v>
      </x:c>
    </x:row>
    <x:row r="70" ht="22" customHeight="1">
      <x:c r="A70" s="82" t="n">
        <x:v>66</x:v>
      </x:c>
      <x:c r="B70" s="82" t="str">
        <x:v>Mikel Landa</x:v>
      </x:c>
      <x:c r="C70" s="82" t="str">
        <x:v>スペイン</x:v>
      </x:c>
      <x:c r="D70" s="82" t="str">
        <x:v>現代</x:v>
      </x:c>
      <x:c r="E70" s="82" t="str">
        <x:v>クライマー</x:v>
      </x:c>
      <x:c r="F70" s="82" t="str">
        <x:v>総合型</x:v>
      </x:c>
      <x:c r="G70" s="85" t="n">
        <x:v>56</x:v>
      </x:c>
      <x:c r="H70" s="85" t="n">
        <x:v>92</x:v>
      </x:c>
      <x:c r="I70" s="91" t="str">
        <x:v>アシスト</x:v>
      </x:c>
      <x:c r="J70" s="91" t="str"/>
      <x:c r="K70" s="91" t="str">
        <x:v>山岳耐久 / 総合安定</x:v>
      </x:c>
      <x:c r="L70" s="88" t="n">
        <x:v>3700</x:v>
      </x:c>
      <x:c r="M70" s="91" t="str">
        <x:v>山岳列車、登りの牽引、エース保護</x:v>
      </x:c>
      <x:c r="N70" s="91" t="str">
        <x:v>https://en.wikipedia.org/wiki/Special:Search?search=Mikel%20Landa%20cyclist</x:v>
      </x:c>
    </x:row>
    <x:row r="71" ht="22" customHeight="1">
      <x:c r="A71" s="82" t="n">
        <x:v>67</x:v>
      </x:c>
      <x:c r="B71" s="82" t="str">
        <x:v>Adam Yates</x:v>
      </x:c>
      <x:c r="C71" s="82" t="str">
        <x:v>イギリス</x:v>
      </x:c>
      <x:c r="D71" s="82" t="str">
        <x:v>現代</x:v>
      </x:c>
      <x:c r="E71" s="82" t="str">
        <x:v>クライマー</x:v>
      </x:c>
      <x:c r="F71" s="82" t="str">
        <x:v>総合型</x:v>
      </x:c>
      <x:c r="G71" s="85" t="n">
        <x:v>62</x:v>
      </x:c>
      <x:c r="H71" s="85" t="n">
        <x:v>91</x:v>
      </x:c>
      <x:c r="I71" s="91" t="str">
        <x:v>アシスト</x:v>
      </x:c>
      <x:c r="J71" s="91" t="str"/>
      <x:c r="K71" s="91" t="str">
        <x:v>山岳耐久 / 総合安定</x:v>
      </x:c>
      <x:c r="L71" s="88" t="n">
        <x:v>7200</x:v>
      </x:c>
      <x:c r="M71" s="91" t="str">
        <x:v>山岳列車、登りの牽引、エース保護</x:v>
      </x:c>
      <x:c r="N71" s="91" t="str">
        <x:v>https://en.wikipedia.org/wiki/Special:Search?search=Adam%20Yates%20cyclist</x:v>
      </x:c>
    </x:row>
    <x:row r="72" ht="22" customHeight="1">
      <x:c r="A72" s="82" t="n">
        <x:v>68</x:v>
      </x:c>
      <x:c r="B72" s="82" t="str">
        <x:v>Rafal Majka</x:v>
      </x:c>
      <x:c r="C72" s="82" t="str">
        <x:v>ポーランド</x:v>
      </x:c>
      <x:c r="D72" s="82" t="str">
        <x:v>現代</x:v>
      </x:c>
      <x:c r="E72" s="82" t="str">
        <x:v>クライマー</x:v>
      </x:c>
      <x:c r="F72" s="82" t="str">
        <x:v>総合型</x:v>
      </x:c>
      <x:c r="G72" s="85" t="n">
        <x:v>63</x:v>
      </x:c>
      <x:c r="H72" s="85" t="n">
        <x:v>90</x:v>
      </x:c>
      <x:c r="I72" s="91" t="str">
        <x:v>アシスト</x:v>
      </x:c>
      <x:c r="J72" s="91" t="str"/>
      <x:c r="K72" s="91" t="str">
        <x:v>山岳耐久 / 総合安定</x:v>
      </x:c>
      <x:c r="L72" s="88" t="n">
        <x:v>6700</x:v>
      </x:c>
      <x:c r="M72" s="91" t="str">
        <x:v>山岳列車、登りの牽引、エース保護</x:v>
      </x:c>
      <x:c r="N72" s="91" t="str">
        <x:v>https://en.wikipedia.org/wiki/Special:Search?search=Rafal%20Majka%20cyclist</x:v>
      </x:c>
    </x:row>
    <x:row r="73" ht="22" customHeight="1">
      <x:c r="A73" s="82" t="n">
        <x:v>69</x:v>
      </x:c>
      <x:c r="B73" s="82" t="str">
        <x:v>Carlos Verona</x:v>
      </x:c>
      <x:c r="C73" s="82" t="str">
        <x:v>スペイン</x:v>
      </x:c>
      <x:c r="D73" s="82" t="str">
        <x:v>現代</x:v>
      </x:c>
      <x:c r="E73" s="82" t="str">
        <x:v>クライマー</x:v>
      </x:c>
      <x:c r="F73" s="82" t="str">
        <x:v>総合型</x:v>
      </x:c>
      <x:c r="G73" s="85" t="n">
        <x:v>61</x:v>
      </x:c>
      <x:c r="H73" s="85" t="n">
        <x:v>89</x:v>
      </x:c>
      <x:c r="I73" s="91" t="str">
        <x:v>アシスト</x:v>
      </x:c>
      <x:c r="J73" s="91" t="str"/>
      <x:c r="K73" s="91" t="str">
        <x:v>山岳耐久 / 総合安定</x:v>
      </x:c>
      <x:c r="L73" s="88" t="n">
        <x:v>6200</x:v>
      </x:c>
      <x:c r="M73" s="91" t="str">
        <x:v>山岳列車、登りの牽引、エース保護</x:v>
      </x:c>
      <x:c r="N73" s="91" t="str">
        <x:v>https://en.wikipedia.org/wiki/Special:Search?search=Carlos%20Verona%20cyclist</x:v>
      </x:c>
    </x:row>
    <x:row r="74" ht="22" customHeight="1">
      <x:c r="A74" s="82" t="n">
        <x:v>70</x:v>
      </x:c>
      <x:c r="B74" s="82" t="str">
        <x:v>Marc Soler</x:v>
      </x:c>
      <x:c r="C74" s="82" t="str">
        <x:v>スペイン</x:v>
      </x:c>
      <x:c r="D74" s="82" t="str">
        <x:v>現代</x:v>
      </x:c>
      <x:c r="E74" s="82" t="str">
        <x:v>クライマー</x:v>
      </x:c>
      <x:c r="F74" s="82" t="str">
        <x:v>総合型</x:v>
      </x:c>
      <x:c r="G74" s="85" t="n">
        <x:v>57</x:v>
      </x:c>
      <x:c r="H74" s="85" t="n">
        <x:v>93</x:v>
      </x:c>
      <x:c r="I74" s="91" t="str">
        <x:v>アシスト</x:v>
      </x:c>
      <x:c r="J74" s="91" t="str"/>
      <x:c r="K74" s="91" t="str">
        <x:v>山岳耐久 / 総合安定</x:v>
      </x:c>
      <x:c r="L74" s="88" t="n">
        <x:v>5700</x:v>
      </x:c>
      <x:c r="M74" s="91" t="str">
        <x:v>山岳列車、登りの牽引、エース保護</x:v>
      </x:c>
      <x:c r="N74" s="91" t="str">
        <x:v>https://en.wikipedia.org/wiki/Special:Search?search=Marc%20Soler%20cyclist</x:v>
      </x:c>
    </x:row>
    <x:row r="75" ht="22" customHeight="1">
      <x:c r="A75" s="82" t="n">
        <x:v>71</x:v>
      </x:c>
      <x:c r="B75" s="82" t="str">
        <x:v>Brandon McNulty</x:v>
      </x:c>
      <x:c r="C75" s="82" t="str">
        <x:v>アメリカ</x:v>
      </x:c>
      <x:c r="D75" s="82" t="str">
        <x:v>現代</x:v>
      </x:c>
      <x:c r="E75" s="82" t="str">
        <x:v>クライマー</x:v>
      </x:c>
      <x:c r="F75" s="82" t="str">
        <x:v>総合型</x:v>
      </x:c>
      <x:c r="G75" s="85" t="n">
        <x:v>58</x:v>
      </x:c>
      <x:c r="H75" s="85" t="n">
        <x:v>92</x:v>
      </x:c>
      <x:c r="I75" s="91" t="str">
        <x:v>アシスト</x:v>
      </x:c>
      <x:c r="J75" s="91" t="str"/>
      <x:c r="K75" s="91" t="str">
        <x:v>山岳耐久 / 総合安定</x:v>
      </x:c>
      <x:c r="L75" s="88" t="n">
        <x:v>5200</x:v>
      </x:c>
      <x:c r="M75" s="91" t="str">
        <x:v>山岳列車、登りの牽引、エース保護</x:v>
      </x:c>
      <x:c r="N75" s="91" t="str">
        <x:v>https://en.wikipedia.org/wiki/Special:Search?search=Brandon%20McNulty%20cyclist</x:v>
      </x:c>
    </x:row>
    <x:row r="76" ht="22" customHeight="1">
      <x:c r="A76" s="82" t="n">
        <x:v>72</x:v>
      </x:c>
      <x:c r="B76" s="82" t="str">
        <x:v>Pavel Sivakov</x:v>
      </x:c>
      <x:c r="C76" s="82" t="str">
        <x:v>フランス</x:v>
      </x:c>
      <x:c r="D76" s="82" t="str">
        <x:v>現代</x:v>
      </x:c>
      <x:c r="E76" s="82" t="str">
        <x:v>クライマー</x:v>
      </x:c>
      <x:c r="F76" s="82" t="str">
        <x:v>総合型</x:v>
      </x:c>
      <x:c r="G76" s="85" t="n">
        <x:v>59</x:v>
      </x:c>
      <x:c r="H76" s="85" t="n">
        <x:v>91</x:v>
      </x:c>
      <x:c r="I76" s="91" t="str">
        <x:v>アシスト</x:v>
      </x:c>
      <x:c r="J76" s="91" t="str"/>
      <x:c r="K76" s="91" t="str">
        <x:v>山岳耐久 / 総合安定</x:v>
      </x:c>
      <x:c r="L76" s="88" t="n">
        <x:v>4700</x:v>
      </x:c>
      <x:c r="M76" s="91" t="str">
        <x:v>山岳列車、登りの牽引、エース保護</x:v>
      </x:c>
      <x:c r="N76" s="91" t="str">
        <x:v>https://en.wikipedia.org/wiki/Special:Search?search=Pavel%20Sivakov%20cyclist</x:v>
      </x:c>
    </x:row>
    <x:row r="77" ht="22" customHeight="1">
      <x:c r="A77" s="82" t="n">
        <x:v>73</x:v>
      </x:c>
      <x:c r="B77" s="82" t="str">
        <x:v>Thymen Arensman</x:v>
      </x:c>
      <x:c r="C77" s="82" t="str">
        <x:v>オランダ</x:v>
      </x:c>
      <x:c r="D77" s="82" t="str">
        <x:v>現代</x:v>
      </x:c>
      <x:c r="E77" s="82" t="str">
        <x:v>クライマー</x:v>
      </x:c>
      <x:c r="F77" s="82" t="str">
        <x:v>総合型</x:v>
      </x:c>
      <x:c r="G77" s="85" t="n">
        <x:v>60</x:v>
      </x:c>
      <x:c r="H77" s="85" t="n">
        <x:v>90</x:v>
      </x:c>
      <x:c r="I77" s="91" t="str">
        <x:v>アシスト</x:v>
      </x:c>
      <x:c r="J77" s="91" t="str"/>
      <x:c r="K77" s="91" t="str">
        <x:v>山岳耐久 / 総合安定</x:v>
      </x:c>
      <x:c r="L77" s="88" t="n">
        <x:v>4200</x:v>
      </x:c>
      <x:c r="M77" s="91" t="str">
        <x:v>山岳列車、登りの牽引、エース保護</x:v>
      </x:c>
      <x:c r="N77" s="91" t="str">
        <x:v>https://en.wikipedia.org/wiki/Special:Search?search=Thymen%20Arensman%20cyclist</x:v>
      </x:c>
    </x:row>
    <x:row r="78" ht="22" customHeight="1">
      <x:c r="A78" s="82" t="n">
        <x:v>74</x:v>
      </x:c>
      <x:c r="B78" s="82" t="str">
        <x:v>Ben O'Connor</x:v>
      </x:c>
      <x:c r="C78" s="82" t="str">
        <x:v>オーストラリア</x:v>
      </x:c>
      <x:c r="D78" s="82" t="str">
        <x:v>現代</x:v>
      </x:c>
      <x:c r="E78" s="82" t="str">
        <x:v>クライマー</x:v>
      </x:c>
      <x:c r="F78" s="82" t="str">
        <x:v>総合型</x:v>
      </x:c>
      <x:c r="G78" s="85" t="n">
        <x:v>59</x:v>
      </x:c>
      <x:c r="H78" s="85" t="n">
        <x:v>89</x:v>
      </x:c>
      <x:c r="I78" s="91" t="str">
        <x:v>アシスト</x:v>
      </x:c>
      <x:c r="J78" s="91" t="str"/>
      <x:c r="K78" s="91" t="str">
        <x:v>山岳耐久 / 総合安定</x:v>
      </x:c>
      <x:c r="L78" s="88" t="n">
        <x:v>3700</x:v>
      </x:c>
      <x:c r="M78" s="91" t="str">
        <x:v>山岳列車、登りの牽引、エース保護</x:v>
      </x:c>
      <x:c r="N78" s="91" t="str">
        <x:v>https://en.wikipedia.org/wiki/Special:Search?search=Ben%20O'Connor%20cyclist</x:v>
      </x:c>
    </x:row>
    <x:row r="79" ht="22" customHeight="1">
      <x:c r="A79" s="82" t="n">
        <x:v>75</x:v>
      </x:c>
      <x:c r="B79" s="82" t="str">
        <x:v>Santiago Buitrago</x:v>
      </x:c>
      <x:c r="C79" s="82" t="str">
        <x:v>コロンビア</x:v>
      </x:c>
      <x:c r="D79" s="82" t="str">
        <x:v>現代</x:v>
      </x:c>
      <x:c r="E79" s="82" t="str">
        <x:v>クライマー</x:v>
      </x:c>
      <x:c r="F79" s="82" t="str">
        <x:v>総合型</x:v>
      </x:c>
      <x:c r="G79" s="85" t="n">
        <x:v>60</x:v>
      </x:c>
      <x:c r="H79" s="85" t="n">
        <x:v>93</x:v>
      </x:c>
      <x:c r="I79" s="91" t="str">
        <x:v>アシスト</x:v>
      </x:c>
      <x:c r="J79" s="91" t="str"/>
      <x:c r="K79" s="91" t="str">
        <x:v>山岳耐久 / 総合安定</x:v>
      </x:c>
      <x:c r="L79" s="88" t="n">
        <x:v>7200</x:v>
      </x:c>
      <x:c r="M79" s="91" t="str">
        <x:v>山岳列車、登りの牽引、エース保護</x:v>
      </x:c>
      <x:c r="N79" s="91" t="str">
        <x:v>https://en.wikipedia.org/wiki/Special:Search?search=Santiago%20Buitrago%20cyclist</x:v>
      </x:c>
    </x:row>
    <x:row r="80" ht="22" customHeight="1">
      <x:c r="A80" s="82" t="n">
        <x:v>76</x:v>
      </x:c>
      <x:c r="B80" s="82" t="str">
        <x:v>Damiano Caruso</x:v>
      </x:c>
      <x:c r="C80" s="82" t="str">
        <x:v>イタリア</x:v>
      </x:c>
      <x:c r="D80" s="82" t="str">
        <x:v>現代</x:v>
      </x:c>
      <x:c r="E80" s="82" t="str">
        <x:v>クライマー</x:v>
      </x:c>
      <x:c r="F80" s="82" t="str">
        <x:v>総合型</x:v>
      </x:c>
      <x:c r="G80" s="85" t="n">
        <x:v>61</x:v>
      </x:c>
      <x:c r="H80" s="85" t="n">
        <x:v>92</x:v>
      </x:c>
      <x:c r="I80" s="91" t="str">
        <x:v>アシスト</x:v>
      </x:c>
      <x:c r="J80" s="91" t="str"/>
      <x:c r="K80" s="91" t="str">
        <x:v>山岳耐久 / 総合安定</x:v>
      </x:c>
      <x:c r="L80" s="88" t="n">
        <x:v>6700</x:v>
      </x:c>
      <x:c r="M80" s="91" t="str">
        <x:v>山岳列車、登りの牽引、エース保護</x:v>
      </x:c>
      <x:c r="N80" s="91" t="str">
        <x:v>https://en.wikipedia.org/wiki/Special:Search?search=Damiano%20Caruso%20cyclist</x:v>
      </x:c>
    </x:row>
    <x:row r="81" ht="22" customHeight="1">
      <x:c r="A81" s="82" t="n">
        <x:v>77</x:v>
      </x:c>
      <x:c r="B81" s="82" t="str">
        <x:v>Domenico Pozzovivo</x:v>
      </x:c>
      <x:c r="C81" s="82" t="str">
        <x:v>イタリア</x:v>
      </x:c>
      <x:c r="D81" s="82" t="str">
        <x:v>近代</x:v>
      </x:c>
      <x:c r="E81" s="82" t="str">
        <x:v>クライマー</x:v>
      </x:c>
      <x:c r="F81" s="82" t="str">
        <x:v>総合型</x:v>
      </x:c>
      <x:c r="G81" s="85" t="n">
        <x:v>59</x:v>
      </x:c>
      <x:c r="H81" s="85" t="n">
        <x:v>91</x:v>
      </x:c>
      <x:c r="I81" s="91" t="str">
        <x:v>アシスト</x:v>
      </x:c>
      <x:c r="J81" s="91" t="str"/>
      <x:c r="K81" s="91" t="str">
        <x:v>山岳耐久 / 総合安定</x:v>
      </x:c>
      <x:c r="L81" s="88" t="n">
        <x:v>6200</x:v>
      </x:c>
      <x:c r="M81" s="91" t="str">
        <x:v>山岳列車、登りの牽引、エース保護</x:v>
      </x:c>
      <x:c r="N81" s="91" t="str">
        <x:v>https://en.wikipedia.org/wiki/Special:Search?search=Domenico%20Pozzovivo%20cyclist</x:v>
      </x:c>
    </x:row>
    <x:row r="82" ht="22" customHeight="1">
      <x:c r="A82" s="82" t="n">
        <x:v>78</x:v>
      </x:c>
      <x:c r="B82" s="82" t="str">
        <x:v>Roman Kreuziger</x:v>
      </x:c>
      <x:c r="C82" s="82" t="str">
        <x:v>チェコ</x:v>
      </x:c>
      <x:c r="D82" s="82" t="str">
        <x:v>近代</x:v>
      </x:c>
      <x:c r="E82" s="82" t="str">
        <x:v>クライマー</x:v>
      </x:c>
      <x:c r="F82" s="82" t="str">
        <x:v>総合型</x:v>
      </x:c>
      <x:c r="G82" s="85" t="n">
        <x:v>60</x:v>
      </x:c>
      <x:c r="H82" s="85" t="n">
        <x:v>90</x:v>
      </x:c>
      <x:c r="I82" s="91" t="str">
        <x:v>アシスト</x:v>
      </x:c>
      <x:c r="J82" s="91" t="str"/>
      <x:c r="K82" s="91" t="str">
        <x:v>山岳耐久 / 総合安定</x:v>
      </x:c>
      <x:c r="L82" s="88" t="n">
        <x:v>5700</x:v>
      </x:c>
      <x:c r="M82" s="91" t="str">
        <x:v>山岳列車、登りの牽引、エース保護</x:v>
      </x:c>
      <x:c r="N82" s="91" t="str">
        <x:v>https://en.wikipedia.org/wiki/Special:Search?search=Roman%20Kreuziger%20cyclist</x:v>
      </x:c>
    </x:row>
    <x:row r="83" ht="22" customHeight="1">
      <x:c r="A83" s="82" t="n">
        <x:v>79</x:v>
      </x:c>
      <x:c r="B83" s="82" t="str">
        <x:v>Haimar Zubeldia</x:v>
      </x:c>
      <x:c r="C83" s="82" t="str">
        <x:v>スペイン</x:v>
      </x:c>
      <x:c r="D83" s="82" t="str">
        <x:v>近代</x:v>
      </x:c>
      <x:c r="E83" s="82" t="str">
        <x:v>クライマー</x:v>
      </x:c>
      <x:c r="F83" s="82" t="str">
        <x:v>総合型</x:v>
      </x:c>
      <x:c r="G83" s="85" t="n">
        <x:v>61</x:v>
      </x:c>
      <x:c r="H83" s="85" t="n">
        <x:v>89</x:v>
      </x:c>
      <x:c r="I83" s="91" t="str">
        <x:v>アシスト</x:v>
      </x:c>
      <x:c r="J83" s="91" t="str"/>
      <x:c r="K83" s="91" t="str">
        <x:v>山岳耐久 / 総合安定</x:v>
      </x:c>
      <x:c r="L83" s="88" t="n">
        <x:v>5200</x:v>
      </x:c>
      <x:c r="M83" s="91" t="str">
        <x:v>山岳列車、登りの牽引、エース保護</x:v>
      </x:c>
      <x:c r="N83" s="91" t="str">
        <x:v>https://en.wikipedia.org/wiki/Special:Search?search=Haimar%20Zubeldia%20cyclist</x:v>
      </x:c>
    </x:row>
    <x:row r="84" ht="22" customHeight="1">
      <x:c r="A84" s="82" t="n">
        <x:v>80</x:v>
      </x:c>
      <x:c r="B84" s="82" t="str">
        <x:v>Igor Anton</x:v>
      </x:c>
      <x:c r="C84" s="82" t="str">
        <x:v>スペイン</x:v>
      </x:c>
      <x:c r="D84" s="82" t="str">
        <x:v>近代</x:v>
      </x:c>
      <x:c r="E84" s="82" t="str">
        <x:v>クライマー</x:v>
      </x:c>
      <x:c r="F84" s="82" t="str">
        <x:v>総合型</x:v>
      </x:c>
      <x:c r="G84" s="85" t="n">
        <x:v>57</x:v>
      </x:c>
      <x:c r="H84" s="85" t="n">
        <x:v>93</x:v>
      </x:c>
      <x:c r="I84" s="91" t="str">
        <x:v>アシスト</x:v>
      </x:c>
      <x:c r="J84" s="91" t="str"/>
      <x:c r="K84" s="91" t="str">
        <x:v>山岳耐久 / 総合安定</x:v>
      </x:c>
      <x:c r="L84" s="88" t="n">
        <x:v>4700</x:v>
      </x:c>
      <x:c r="M84" s="91" t="str">
        <x:v>山岳列車、登りの牽引、エース保護</x:v>
      </x:c>
      <x:c r="N84" s="91" t="str">
        <x:v>https://en.wikipedia.org/wiki/Special:Search?search=Igor%20Anton%20cyclist</x:v>
      </x:c>
    </x:row>
    <x:row r="85" ht="22" customHeight="1">
      <x:c r="A85" s="82" t="n">
        <x:v>81</x:v>
      </x:c>
      <x:c r="B85" s="82" t="str">
        <x:v>Pierre Rolland</x:v>
      </x:c>
      <x:c r="C85" s="82" t="str">
        <x:v>フランス</x:v>
      </x:c>
      <x:c r="D85" s="82" t="str">
        <x:v>近代</x:v>
      </x:c>
      <x:c r="E85" s="82" t="str">
        <x:v>クライマー</x:v>
      </x:c>
      <x:c r="F85" s="82" t="str">
        <x:v>総合型</x:v>
      </x:c>
      <x:c r="G85" s="85" t="n">
        <x:v>58</x:v>
      </x:c>
      <x:c r="H85" s="85" t="n">
        <x:v>92</x:v>
      </x:c>
      <x:c r="I85" s="91" t="str">
        <x:v>アシスト</x:v>
      </x:c>
      <x:c r="J85" s="91" t="str">
        <x:v>逃げ屋</x:v>
      </x:c>
      <x:c r="K85" s="91" t="str">
        <x:v>山岳耐久 / 総合安定 / 逃げ屋</x:v>
      </x:c>
      <x:c r="L85" s="88" t="n">
        <x:v>4200</x:v>
      </x:c>
      <x:c r="M85" s="91" t="str">
        <x:v>山岳列車、登りの牽引、エース保護</x:v>
      </x:c>
      <x:c r="N85" s="91" t="str">
        <x:v>https://en.wikipedia.org/wiki/Special:Search?search=Pierre%20Rolland%20cyclist</x:v>
      </x:c>
    </x:row>
    <x:row r="86" ht="22" customHeight="1">
      <x:c r="A86" s="82" t="n">
        <x:v>82</x:v>
      </x:c>
      <x:c r="B86" s="82" t="str">
        <x:v>Rein Taaramae</x:v>
      </x:c>
      <x:c r="C86" s="82" t="str">
        <x:v>エストニア</x:v>
      </x:c>
      <x:c r="D86" s="82" t="str">
        <x:v>近代</x:v>
      </x:c>
      <x:c r="E86" s="82" t="str">
        <x:v>クライマー</x:v>
      </x:c>
      <x:c r="F86" s="82" t="str">
        <x:v>総合型</x:v>
      </x:c>
      <x:c r="G86" s="85" t="n">
        <x:v>57</x:v>
      </x:c>
      <x:c r="H86" s="85" t="n">
        <x:v>91</x:v>
      </x:c>
      <x:c r="I86" s="91" t="str">
        <x:v>アシスト</x:v>
      </x:c>
      <x:c r="J86" s="91" t="str"/>
      <x:c r="K86" s="91" t="str">
        <x:v>山岳耐久 / 総合安定</x:v>
      </x:c>
      <x:c r="L86" s="88" t="n">
        <x:v>3700</x:v>
      </x:c>
      <x:c r="M86" s="91" t="str">
        <x:v>山岳列車、登りの牽引、エース保護</x:v>
      </x:c>
      <x:c r="N86" s="91" t="str">
        <x:v>https://en.wikipedia.org/wiki/Special:Search?search=Rein%20Taaramae%20cyclist</x:v>
      </x:c>
    </x:row>
    <x:row r="87" ht="22" customHeight="1">
      <x:c r="A87" s="82" t="n">
        <x:v>83</x:v>
      </x:c>
      <x:c r="B87" s="82" t="str">
        <x:v>Tim Declercq</x:v>
      </x:c>
      <x:c r="C87" s="82" t="str">
        <x:v>ベルギー</x:v>
      </x:c>
      <x:c r="D87" s="82" t="str">
        <x:v>現代</x:v>
      </x:c>
      <x:c r="E87" s="82" t="str">
        <x:v>TT・ルーラー型</x:v>
      </x:c>
      <x:c r="F87" s="82" t="str">
        <x:v>クラシック型</x:v>
      </x:c>
      <x:c r="G87" s="85" t="n">
        <x:v>56</x:v>
      </x:c>
      <x:c r="H87" s="85" t="n">
        <x:v>93</x:v>
      </x:c>
      <x:c r="I87" s="91" t="str">
        <x:v>アシスト</x:v>
      </x:c>
      <x:c r="J87" s="91" t="str"/>
      <x:c r="K87" s="91" t="str">
        <x:v>巡航力 / 悪路耐性</x:v>
      </x:c>
      <x:c r="L87" s="88" t="n">
        <x:v>6200</x:v>
      </x:c>
      <x:c r="M87" s="91" t="str">
        <x:v>集団牽引、横風、逃げの巡航</x:v>
      </x:c>
      <x:c r="N87" s="91" t="str">
        <x:v>https://en.wikipedia.org/wiki/Special:Search?search=Tim%20Declercq%20cyclist</x:v>
      </x:c>
    </x:row>
    <x:row r="88" ht="22" customHeight="1">
      <x:c r="A88" s="82" t="n">
        <x:v>84</x:v>
      </x:c>
      <x:c r="B88" s="82" t="str">
        <x:v>Nils Politt</x:v>
      </x:c>
      <x:c r="C88" s="82" t="str">
        <x:v>ドイツ</x:v>
      </x:c>
      <x:c r="D88" s="82" t="str">
        <x:v>現代</x:v>
      </x:c>
      <x:c r="E88" s="82" t="str">
        <x:v>TT・ルーラー型</x:v>
      </x:c>
      <x:c r="F88" s="82" t="str">
        <x:v>クラシック型</x:v>
      </x:c>
      <x:c r="G88" s="85" t="n">
        <x:v>57</x:v>
      </x:c>
      <x:c r="H88" s="85" t="n">
        <x:v>92</x:v>
      </x:c>
      <x:c r="I88" s="91" t="str">
        <x:v>アシスト</x:v>
      </x:c>
      <x:c r="J88" s="91" t="str"/>
      <x:c r="K88" s="91" t="str">
        <x:v>巡航力 / 悪路耐性</x:v>
      </x:c>
      <x:c r="L88" s="88" t="n">
        <x:v>5750</x:v>
      </x:c>
      <x:c r="M88" s="91" t="str">
        <x:v>集団牽引、横風、逃げの巡航</x:v>
      </x:c>
      <x:c r="N88" s="91" t="str">
        <x:v>https://en.wikipedia.org/wiki/Special:Search?search=Nils%20Politt%20cyclist</x:v>
      </x:c>
    </x:row>
    <x:row r="89" ht="22" customHeight="1">
      <x:c r="A89" s="82" t="n">
        <x:v>85</x:v>
      </x:c>
      <x:c r="B89" s="82" t="str">
        <x:v>Luke Durbridge</x:v>
      </x:c>
      <x:c r="C89" s="82" t="str">
        <x:v>オーストラリア</x:v>
      </x:c>
      <x:c r="D89" s="82" t="str">
        <x:v>現代</x:v>
      </x:c>
      <x:c r="E89" s="82" t="str">
        <x:v>TT・ルーラー型</x:v>
      </x:c>
      <x:c r="F89" s="82" t="str">
        <x:v>クラシック型</x:v>
      </x:c>
      <x:c r="G89" s="85" t="n">
        <x:v>53</x:v>
      </x:c>
      <x:c r="H89" s="85" t="n">
        <x:v>96</x:v>
      </x:c>
      <x:c r="I89" s="91" t="str">
        <x:v>アシスト</x:v>
      </x:c>
      <x:c r="J89" s="91" t="str"/>
      <x:c r="K89" s="91" t="str">
        <x:v>巡航力 / 悪路耐性</x:v>
      </x:c>
      <x:c r="L89" s="88" t="n">
        <x:v>5300</x:v>
      </x:c>
      <x:c r="M89" s="91" t="str">
        <x:v>集団牽引、横風、逃げの巡航</x:v>
      </x:c>
      <x:c r="N89" s="91" t="str">
        <x:v>https://en.wikipedia.org/wiki/Special:Search?search=Luke%20Durbridge%20cyclist</x:v>
      </x:c>
    </x:row>
    <x:row r="90" ht="22" customHeight="1">
      <x:c r="A90" s="82" t="n">
        <x:v>86</x:v>
      </x:c>
      <x:c r="B90" s="82" t="str">
        <x:v>Mads Pedersen</x:v>
      </x:c>
      <x:c r="C90" s="82" t="str">
        <x:v>デンマーク</x:v>
      </x:c>
      <x:c r="D90" s="82" t="str">
        <x:v>現代</x:v>
      </x:c>
      <x:c r="E90" s="82" t="str">
        <x:v>クラシック型</x:v>
      </x:c>
      <x:c r="F90" s="82" t="str">
        <x:v>スプリンター</x:v>
      </x:c>
      <x:c r="G90" s="85" t="n">
        <x:v>94</x:v>
      </x:c>
      <x:c r="H90" s="85" t="n">
        <x:v>85</x:v>
      </x:c>
      <x:c r="I90" s="91" t="str">
        <x:v>当日エース / 副エース</x:v>
      </x:c>
      <x:c r="J90" s="91" t="str"/>
      <x:c r="K90" s="91" t="str">
        <x:v>最高速 / 石畳 / ステージハンター</x:v>
      </x:c>
      <x:c r="L90" s="88" t="n">
        <x:v>10000</x:v>
      </x:c>
      <x:c r="M90" s="91" t="str">
        <x:v>石畳、最高速、長距離耐久、反復スプリント</x:v>
      </x:c>
      <x:c r="N90" s="91" t="str">
        <x:v>https://en.wikipedia.org/wiki/Special:Search?search=Mads%20Pedersen%20cyclist</x:v>
      </x:c>
    </x:row>
    <x:row r="91" ht="22" customHeight="1">
      <x:c r="A91" s="82" t="n">
        <x:v>87</x:v>
      </x:c>
      <x:c r="B91" s="82" t="str">
        <x:v>Michael Hepburn</x:v>
      </x:c>
      <x:c r="C91" s="82" t="str">
        <x:v>オーストラリア</x:v>
      </x:c>
      <x:c r="D91" s="82" t="str">
        <x:v>現代</x:v>
      </x:c>
      <x:c r="E91" s="82" t="str">
        <x:v>TT・ルーラー型</x:v>
      </x:c>
      <x:c r="F91" s="82" t="str">
        <x:v>クラシック型</x:v>
      </x:c>
      <x:c r="G91" s="85" t="n">
        <x:v>55</x:v>
      </x:c>
      <x:c r="H91" s="85" t="n">
        <x:v>94</x:v>
      </x:c>
      <x:c r="I91" s="91" t="str">
        <x:v>アシスト</x:v>
      </x:c>
      <x:c r="J91" s="91" t="str"/>
      <x:c r="K91" s="91" t="str">
        <x:v>巡航力 / 悪路耐性</x:v>
      </x:c>
      <x:c r="L91" s="88" t="n">
        <x:v>4400</x:v>
      </x:c>
      <x:c r="M91" s="91" t="str">
        <x:v>集団牽引、横風、逃げの巡航</x:v>
      </x:c>
      <x:c r="N91" s="91" t="str">
        <x:v>https://en.wikipedia.org/wiki/Special:Search?search=Michael%20Hepburn%20cyclist</x:v>
      </x:c>
    </x:row>
    <x:row r="92" ht="22" customHeight="1">
      <x:c r="A92" s="82" t="n">
        <x:v>88</x:v>
      </x:c>
      <x:c r="B92" s="82" t="str">
        <x:v>Viatcheslav Ekimov</x:v>
      </x:c>
      <x:c r="C92" s="82" t="str">
        <x:v>ロシア</x:v>
      </x:c>
      <x:c r="D92" s="82" t="str">
        <x:v>近代</x:v>
      </x:c>
      <x:c r="E92" s="82" t="str">
        <x:v>TT・ルーラー型</x:v>
      </x:c>
      <x:c r="F92" s="82" t="str">
        <x:v>クラシック型</x:v>
      </x:c>
      <x:c r="G92" s="85" t="n">
        <x:v>56</x:v>
      </x:c>
      <x:c r="H92" s="85" t="n">
        <x:v>93</x:v>
      </x:c>
      <x:c r="I92" s="91" t="str">
        <x:v>アシスト</x:v>
      </x:c>
      <x:c r="J92" s="91" t="str"/>
      <x:c r="K92" s="91" t="str">
        <x:v>巡航力 / 悪路耐性</x:v>
      </x:c>
      <x:c r="L92" s="88" t="n">
        <x:v>3950</x:v>
      </x:c>
      <x:c r="M92" s="91" t="str">
        <x:v>集団牽引、横風、逃げの巡航</x:v>
      </x:c>
      <x:c r="N92" s="91" t="str">
        <x:v>https://en.wikipedia.org/wiki/Special:Search?search=Viatcheslav%20Ekimov%20cyclist</x:v>
      </x:c>
    </x:row>
    <x:row r="93" ht="22" customHeight="1">
      <x:c r="A93" s="82" t="n">
        <x:v>89</x:v>
      </x:c>
      <x:c r="B93" s="82" t="str">
        <x:v>Jasper Philipsen</x:v>
      </x:c>
      <x:c r="C93" s="82" t="str">
        <x:v>ベルギー</x:v>
      </x:c>
      <x:c r="D93" s="82" t="str">
        <x:v>現代</x:v>
      </x:c>
      <x:c r="E93" s="82" t="str">
        <x:v>スプリンター</x:v>
      </x:c>
      <x:c r="F93" s="82" t="str">
        <x:v>クラシック型</x:v>
      </x:c>
      <x:c r="G93" s="85" t="n">
        <x:v>96</x:v>
      </x:c>
      <x:c r="H93" s="85" t="n">
        <x:v>68</x:v>
      </x:c>
      <x:c r="I93" s="91" t="str">
        <x:v>当日エース / 副エース</x:v>
      </x:c>
      <x:c r="J93" s="91" t="str"/>
      <x:c r="K93" s="91" t="str">
        <x:v>最高速 / 位置取り / クラシックスプリント</x:v>
      </x:c>
      <x:c r="L93" s="88" t="n">
        <x:v>9800</x:v>
      </x:c>
      <x:c r="M93" s="91" t="str">
        <x:v>最高速、位置取り、クラシックスプリント</x:v>
      </x:c>
      <x:c r="N93" s="91" t="str">
        <x:v>https://en.wikipedia.org/wiki/Special:Search?search=Jasper%20Philipsen%20cyclist</x:v>
      </x:c>
    </x:row>
    <x:row r="94" ht="22" customHeight="1">
      <x:c r="A94" s="82" t="n">
        <x:v>90</x:v>
      </x:c>
      <x:c r="B94" s="82" t="str">
        <x:v>Matteo Tosatto</x:v>
      </x:c>
      <x:c r="C94" s="82" t="str">
        <x:v>イタリア</x:v>
      </x:c>
      <x:c r="D94" s="82" t="str">
        <x:v>近代</x:v>
      </x:c>
      <x:c r="E94" s="82" t="str">
        <x:v>TT・ルーラー型</x:v>
      </x:c>
      <x:c r="F94" s="82" t="str">
        <x:v>クラシック型</x:v>
      </x:c>
      <x:c r="G94" s="85" t="n">
        <x:v>51</x:v>
      </x:c>
      <x:c r="H94" s="85" t="n">
        <x:v>96</x:v>
      </x:c>
      <x:c r="I94" s="91" t="str">
        <x:v>アシスト</x:v>
      </x:c>
      <x:c r="J94" s="91" t="str"/>
      <x:c r="K94" s="91" t="str">
        <x:v>巡航力 / 悪路耐性</x:v>
      </x:c>
      <x:c r="L94" s="88" t="n">
        <x:v>3050</x:v>
      </x:c>
      <x:c r="M94" s="91" t="str">
        <x:v>集団牽引、横風、逃げの巡航</x:v>
      </x:c>
      <x:c r="N94" s="91" t="str">
        <x:v>https://en.wikipedia.org/wiki/Special:Search?search=Matteo%20Tosatto%20cyclist</x:v>
      </x:c>
    </x:row>
    <x:row r="95" ht="22" customHeight="1">
      <x:c r="A95" s="82" t="n">
        <x:v>91</x:v>
      </x:c>
      <x:c r="B95" s="82" t="str">
        <x:v>Nathan Van Hooydonck</x:v>
      </x:c>
      <x:c r="C95" s="82" t="str">
        <x:v>ベルギー</x:v>
      </x:c>
      <x:c r="D95" s="82" t="str">
        <x:v>現代</x:v>
      </x:c>
      <x:c r="E95" s="82" t="str">
        <x:v>TT・ルーラー型</x:v>
      </x:c>
      <x:c r="F95" s="82" t="str">
        <x:v>クラシック型</x:v>
      </x:c>
      <x:c r="G95" s="85" t="n">
        <x:v>54</x:v>
      </x:c>
      <x:c r="H95" s="85" t="n">
        <x:v>95</x:v>
      </x:c>
      <x:c r="I95" s="91" t="str">
        <x:v>アシスト</x:v>
      </x:c>
      <x:c r="J95" s="91" t="str"/>
      <x:c r="K95" s="91" t="str">
        <x:v>巡航力 / 悪路耐性</x:v>
      </x:c>
      <x:c r="L95" s="88" t="n">
        <x:v>6200</x:v>
      </x:c>
      <x:c r="M95" s="91" t="str">
        <x:v>集団牽引、横風、逃げの巡航</x:v>
      </x:c>
      <x:c r="N95" s="91" t="str">
        <x:v>https://en.wikipedia.org/wiki/Special:Search?search=Nathan%20Van%20Hooydonck%20cyclist</x:v>
      </x:c>
    </x:row>
    <x:row r="96" ht="22" customHeight="1">
      <x:c r="A96" s="82" t="n">
        <x:v>92</x:v>
      </x:c>
      <x:c r="B96" s="82" t="str">
        <x:v>Dylan van Baarle</x:v>
      </x:c>
      <x:c r="C96" s="82" t="str">
        <x:v>オランダ</x:v>
      </x:c>
      <x:c r="D96" s="82" t="str">
        <x:v>現代</x:v>
      </x:c>
      <x:c r="E96" s="82" t="str">
        <x:v>TT・ルーラー型</x:v>
      </x:c>
      <x:c r="F96" s="82" t="str">
        <x:v>クラシック型</x:v>
      </x:c>
      <x:c r="G96" s="85" t="n">
        <x:v>55</x:v>
      </x:c>
      <x:c r="H96" s="85" t="n">
        <x:v>94</x:v>
      </x:c>
      <x:c r="I96" s="91" t="str">
        <x:v>アシスト</x:v>
      </x:c>
      <x:c r="J96" s="91" t="str"/>
      <x:c r="K96" s="91" t="str">
        <x:v>巡航力 / 悪路耐性</x:v>
      </x:c>
      <x:c r="L96" s="88" t="n">
        <x:v>5750</x:v>
      </x:c>
      <x:c r="M96" s="91" t="str">
        <x:v>集団牽引、横風、逃げの巡航</x:v>
      </x:c>
      <x:c r="N96" s="91" t="str">
        <x:v>https://en.wikipedia.org/wiki/Special:Search?search=Dylan%20van%20Baarle%20cyclist</x:v>
      </x:c>
    </x:row>
    <x:row r="97" ht="22" customHeight="1">
      <x:c r="A97" s="82" t="n">
        <x:v>93</x:v>
      </x:c>
      <x:c r="B97" s="82" t="str">
        <x:v>Stefan Kung</x:v>
      </x:c>
      <x:c r="C97" s="82" t="str">
        <x:v>スイス</x:v>
      </x:c>
      <x:c r="D97" s="82" t="str">
        <x:v>現代</x:v>
      </x:c>
      <x:c r="E97" s="82" t="str">
        <x:v>TT・ルーラー型</x:v>
      </x:c>
      <x:c r="F97" s="82" t="str">
        <x:v>クラシック型</x:v>
      </x:c>
      <x:c r="G97" s="85" t="n">
        <x:v>56</x:v>
      </x:c>
      <x:c r="H97" s="85" t="n">
        <x:v>93</x:v>
      </x:c>
      <x:c r="I97" s="91" t="str">
        <x:v>アシスト</x:v>
      </x:c>
      <x:c r="J97" s="91" t="str"/>
      <x:c r="K97" s="91" t="str">
        <x:v>巡航力 / 悪路耐性</x:v>
      </x:c>
      <x:c r="L97" s="88" t="n">
        <x:v>5300</x:v>
      </x:c>
      <x:c r="M97" s="91" t="str">
        <x:v>集団牽引、横風、逃げの巡航</x:v>
      </x:c>
      <x:c r="N97" s="91" t="str">
        <x:v>https://en.wikipedia.org/wiki/Special:Search?search=Stefan%20Kung%20cyclist</x:v>
      </x:c>
    </x:row>
    <x:row r="98" ht="22" customHeight="1">
      <x:c r="A98" s="82" t="n">
        <x:v>94</x:v>
      </x:c>
      <x:c r="B98" s="82" t="str">
        <x:v>Yves Lampaert</x:v>
      </x:c>
      <x:c r="C98" s="82" t="str">
        <x:v>ベルギー</x:v>
      </x:c>
      <x:c r="D98" s="82" t="str">
        <x:v>現代</x:v>
      </x:c>
      <x:c r="E98" s="82" t="str">
        <x:v>TT・ルーラー型</x:v>
      </x:c>
      <x:c r="F98" s="82" t="str">
        <x:v>クラシック型</x:v>
      </x:c>
      <x:c r="G98" s="85" t="n">
        <x:v>57</x:v>
      </x:c>
      <x:c r="H98" s="85" t="n">
        <x:v>92</x:v>
      </x:c>
      <x:c r="I98" s="91" t="str">
        <x:v>アシスト</x:v>
      </x:c>
      <x:c r="J98" s="91" t="str"/>
      <x:c r="K98" s="91" t="str">
        <x:v>巡航力 / 悪路耐性</x:v>
      </x:c>
      <x:c r="L98" s="88" t="n">
        <x:v>4850</x:v>
      </x:c>
      <x:c r="M98" s="91" t="str">
        <x:v>集団牽引、横風、逃げの巡航</x:v>
      </x:c>
      <x:c r="N98" s="91" t="str">
        <x:v>https://en.wikipedia.org/wiki/Special:Search?search=Yves%20Lampaert%20cyclist</x:v>
      </x:c>
    </x:row>
    <x:row r="99" ht="22" customHeight="1">
      <x:c r="A99" s="82" t="n">
        <x:v>95</x:v>
      </x:c>
      <x:c r="B99" s="82" t="str">
        <x:v>Kasper Asgreen</x:v>
      </x:c>
      <x:c r="C99" s="82" t="str">
        <x:v>デンマーク</x:v>
      </x:c>
      <x:c r="D99" s="82" t="str">
        <x:v>現代</x:v>
      </x:c>
      <x:c r="E99" s="82" t="str">
        <x:v>TT・ルーラー型</x:v>
      </x:c>
      <x:c r="F99" s="82" t="str">
        <x:v>クラシック型</x:v>
      </x:c>
      <x:c r="G99" s="85" t="n">
        <x:v>53</x:v>
      </x:c>
      <x:c r="H99" s="85" t="n">
        <x:v>96</x:v>
      </x:c>
      <x:c r="I99" s="91" t="str">
        <x:v>アシスト</x:v>
      </x:c>
      <x:c r="J99" s="91" t="str"/>
      <x:c r="K99" s="91" t="str">
        <x:v>巡航力 / 悪路耐性</x:v>
      </x:c>
      <x:c r="L99" s="88" t="n">
        <x:v>4400</x:v>
      </x:c>
      <x:c r="M99" s="91" t="str">
        <x:v>集団牽引、横風、逃げの巡航</x:v>
      </x:c>
      <x:c r="N99" s="91" t="str">
        <x:v>https://en.wikipedia.org/wiki/Special:Search?search=Kasper%20Asgreen%20cyclist</x:v>
      </x:c>
    </x:row>
    <x:row r="100" ht="22" customHeight="1">
      <x:c r="A100" s="82" t="n">
        <x:v>96</x:v>
      </x:c>
      <x:c r="B100" s="82" t="str">
        <x:v>Matteo Trentin</x:v>
      </x:c>
      <x:c r="C100" s="82" t="str">
        <x:v>イタリア</x:v>
      </x:c>
      <x:c r="D100" s="82" t="str">
        <x:v>現代</x:v>
      </x:c>
      <x:c r="E100" s="82" t="str">
        <x:v>TT・ルーラー型</x:v>
      </x:c>
      <x:c r="F100" s="82" t="str">
        <x:v>クラシック型</x:v>
      </x:c>
      <x:c r="G100" s="85" t="n">
        <x:v>54</x:v>
      </x:c>
      <x:c r="H100" s="85" t="n">
        <x:v>95</x:v>
      </x:c>
      <x:c r="I100" s="91" t="str">
        <x:v>アシスト</x:v>
      </x:c>
      <x:c r="J100" s="91" t="str"/>
      <x:c r="K100" s="91" t="str">
        <x:v>巡航力 / 悪路耐性</x:v>
      </x:c>
      <x:c r="L100" s="88" t="n">
        <x:v>3950</x:v>
      </x:c>
      <x:c r="M100" s="91" t="str">
        <x:v>集団牽引、横風、逃げの巡航</x:v>
      </x:c>
      <x:c r="N100" s="91" t="str">
        <x:v>https://en.wikipedia.org/wiki/Special:Search?search=Matteo%20Trentin%20cyclist</x:v>
      </x:c>
    </x:row>
    <x:row r="101" ht="22" customHeight="1">
      <x:c r="A101" s="82" t="n">
        <x:v>97</x:v>
      </x:c>
      <x:c r="B101" s="82" t="str">
        <x:v>Marcus Burghardt</x:v>
      </x:c>
      <x:c r="C101" s="82" t="str">
        <x:v>ドイツ</x:v>
      </x:c>
      <x:c r="D101" s="82" t="str">
        <x:v>近代</x:v>
      </x:c>
      <x:c r="E101" s="82" t="str">
        <x:v>TT・ルーラー型</x:v>
      </x:c>
      <x:c r="F101" s="82" t="str">
        <x:v>クラシック型</x:v>
      </x:c>
      <x:c r="G101" s="85" t="n">
        <x:v>53</x:v>
      </x:c>
      <x:c r="H101" s="85" t="n">
        <x:v>94</x:v>
      </x:c>
      <x:c r="I101" s="91" t="str">
        <x:v>アシスト</x:v>
      </x:c>
      <x:c r="J101" s="91" t="str"/>
      <x:c r="K101" s="91" t="str">
        <x:v>巡航力 / 悪路耐性</x:v>
      </x:c>
      <x:c r="L101" s="88" t="n">
        <x:v>3500</x:v>
      </x:c>
      <x:c r="M101" s="91" t="str">
        <x:v>集団牽引、横風、逃げの巡航</x:v>
      </x:c>
      <x:c r="N101" s="91" t="str">
        <x:v>https://en.wikipedia.org/wiki/Special:Search?search=Marcus%20Burghardt%20cyclist</x:v>
      </x:c>
    </x:row>
    <x:row r="102" ht="22" customHeight="1">
      <x:c r="A102" s="82" t="n">
        <x:v>98</x:v>
      </x:c>
      <x:c r="B102" s="82" t="str">
        <x:v>Ian Stannard</x:v>
      </x:c>
      <x:c r="C102" s="82" t="str">
        <x:v>イギリス</x:v>
      </x:c>
      <x:c r="D102" s="82" t="str">
        <x:v>近代</x:v>
      </x:c>
      <x:c r="E102" s="82" t="str">
        <x:v>TT・ルーラー型</x:v>
      </x:c>
      <x:c r="F102" s="82" t="str">
        <x:v>クラシック型</x:v>
      </x:c>
      <x:c r="G102" s="85" t="n">
        <x:v>54</x:v>
      </x:c>
      <x:c r="H102" s="85" t="n">
        <x:v>93</x:v>
      </x:c>
      <x:c r="I102" s="91" t="str">
        <x:v>アシスト</x:v>
      </x:c>
      <x:c r="J102" s="91" t="str"/>
      <x:c r="K102" s="91" t="str">
        <x:v>巡航力 / 悪路耐性</x:v>
      </x:c>
      <x:c r="L102" s="88" t="n">
        <x:v>3050</x:v>
      </x:c>
      <x:c r="M102" s="91" t="str">
        <x:v>集団牽引、横風、逃げの巡航</x:v>
      </x:c>
      <x:c r="N102" s="91" t="str">
        <x:v>https://en.wikipedia.org/wiki/Special:Search?search=Ian%20Stannard%20cyclist</x:v>
      </x:c>
    </x:row>
    <x:row r="103" ht="22" customHeight="1">
      <x:c r="A103" s="82" t="n">
        <x:v>99</x:v>
      </x:c>
      <x:c r="B103" s="82" t="str">
        <x:v>Eros Poli</x:v>
      </x:c>
      <x:c r="C103" s="82" t="str">
        <x:v>イタリア</x:v>
      </x:c>
      <x:c r="D103" s="82" t="str">
        <x:v>近代</x:v>
      </x:c>
      <x:c r="E103" s="82" t="str">
        <x:v>TT・ルーラー型</x:v>
      </x:c>
      <x:c r="F103" s="82" t="str">
        <x:v>クラシック型</x:v>
      </x:c>
      <x:c r="G103" s="85" t="n">
        <x:v>57</x:v>
      </x:c>
      <x:c r="H103" s="85" t="n">
        <x:v>92</x:v>
      </x:c>
      <x:c r="I103" s="91" t="str">
        <x:v>アシスト</x:v>
      </x:c>
      <x:c r="J103" s="91" t="str">
        <x:v>逃げ屋</x:v>
      </x:c>
      <x:c r="K103" s="91" t="str">
        <x:v>巡航力 / 悪路耐性 / 逃げ屋</x:v>
      </x:c>
      <x:c r="L103" s="88" t="n">
        <x:v>6200</x:v>
      </x:c>
      <x:c r="M103" s="91" t="str">
        <x:v>集団牽引、横風、逃げの巡航</x:v>
      </x:c>
      <x:c r="N103" s="91" t="str">
        <x:v>https://en.wikipedia.org/wiki/Special:Search?search=Eros%20Poli%20cyclist</x:v>
      </x:c>
    </x:row>
    <x:row r="104" ht="22" customHeight="1">
      <x:c r="A104" s="82" t="n">
        <x:v>100</x:v>
      </x:c>
      <x:c r="B104" s="82" t="str">
        <x:v>Jens Voigt</x:v>
      </x:c>
      <x:c r="C104" s="82" t="str">
        <x:v>ドイツ</x:v>
      </x:c>
      <x:c r="D104" s="82" t="str">
        <x:v>近代</x:v>
      </x:c>
      <x:c r="E104" s="82" t="str">
        <x:v>TT・ルーラー型</x:v>
      </x:c>
      <x:c r="F104" s="82" t="str">
        <x:v>クラシック型</x:v>
      </x:c>
      <x:c r="G104" s="85" t="n">
        <x:v>53</x:v>
      </x:c>
      <x:c r="H104" s="85" t="n">
        <x:v>96</x:v>
      </x:c>
      <x:c r="I104" s="91" t="str">
        <x:v>アシスト</x:v>
      </x:c>
      <x:c r="J104" s="91" t="str">
        <x:v>逃げ屋</x:v>
      </x:c>
      <x:c r="K104" s="91" t="str">
        <x:v>巡航力 / 悪路耐性 / 逃げ屋</x:v>
      </x:c>
      <x:c r="L104" s="88" t="n">
        <x:v>5750</x:v>
      </x:c>
      <x:c r="M104" s="91" t="str">
        <x:v>集団牽引、横風、逃げの巡航</x:v>
      </x:c>
      <x:c r="N104" s="91" t="str">
        <x:v>https://en.wikipedia.org/wiki/Special:Search?search=Jens%20Voigt%20cyclist</x:v>
      </x:c>
    </x:row>
    <x:row r="105" ht="22" customHeight="1">
      <x:c r="A105" s="82" t="n">
        <x:v>101</x:v>
      </x:c>
      <x:c r="B105" s="82" t="str">
        <x:v>Stuart O'Grady</x:v>
      </x:c>
      <x:c r="C105" s="82" t="str">
        <x:v>オーストラリア</x:v>
      </x:c>
      <x:c r="D105" s="82" t="str">
        <x:v>近代</x:v>
      </x:c>
      <x:c r="E105" s="82" t="str">
        <x:v>TT・ルーラー型</x:v>
      </x:c>
      <x:c r="F105" s="82" t="str">
        <x:v>クラシック型</x:v>
      </x:c>
      <x:c r="G105" s="85" t="n">
        <x:v>54</x:v>
      </x:c>
      <x:c r="H105" s="85" t="n">
        <x:v>95</x:v>
      </x:c>
      <x:c r="I105" s="91" t="str">
        <x:v>アシスト</x:v>
      </x:c>
      <x:c r="J105" s="91" t="str"/>
      <x:c r="K105" s="91" t="str">
        <x:v>巡航力 / 悪路耐性</x:v>
      </x:c>
      <x:c r="L105" s="88" t="n">
        <x:v>5300</x:v>
      </x:c>
      <x:c r="M105" s="91" t="str">
        <x:v>集団牽引、横風、逃げの巡航</x:v>
      </x:c>
      <x:c r="N105" s="91" t="str">
        <x:v>https://en.wikipedia.org/wiki/Special:Search?search=Stuart%20O'Grady%20cyclist</x:v>
      </x:c>
    </x:row>
    <x:row r="106" ht="22" customHeight="1">
      <x:c r="A106" s="82" t="n">
        <x:v>102</x:v>
      </x:c>
      <x:c r="B106" s="82" t="str">
        <x:v>Jack Bauer</x:v>
      </x:c>
      <x:c r="C106" s="82" t="str">
        <x:v>ニュージーランド</x:v>
      </x:c>
      <x:c r="D106" s="82" t="str">
        <x:v>現代</x:v>
      </x:c>
      <x:c r="E106" s="82" t="str">
        <x:v>TT・ルーラー型</x:v>
      </x:c>
      <x:c r="F106" s="82" t="str">
        <x:v>クラシック型</x:v>
      </x:c>
      <x:c r="G106" s="85" t="n">
        <x:v>55</x:v>
      </x:c>
      <x:c r="H106" s="85" t="n">
        <x:v>94</x:v>
      </x:c>
      <x:c r="I106" s="91" t="str">
        <x:v>アシスト</x:v>
      </x:c>
      <x:c r="J106" s="91" t="str">
        <x:v>逃げ屋</x:v>
      </x:c>
      <x:c r="K106" s="91" t="str">
        <x:v>巡航力 / 悪路耐性 / 逃げ屋</x:v>
      </x:c>
      <x:c r="L106" s="88" t="n">
        <x:v>4850</x:v>
      </x:c>
      <x:c r="M106" s="91" t="str">
        <x:v>集団牽引、横風、逃げの巡航</x:v>
      </x:c>
      <x:c r="N106" s="91" t="str">
        <x:v>https://en.wikipedia.org/wiki/Special:Search?search=Jack%20Bauer%20cyclist</x:v>
      </x:c>
    </x:row>
    <x:row r="107" ht="22" customHeight="1">
      <x:c r="A107" s="82" t="n">
        <x:v>103</x:v>
      </x:c>
      <x:c r="B107" s="82" t="str">
        <x:v>Salvatore Puccio</x:v>
      </x:c>
      <x:c r="C107" s="82" t="str">
        <x:v>イタリア</x:v>
      </x:c>
      <x:c r="D107" s="82" t="str">
        <x:v>現代</x:v>
      </x:c>
      <x:c r="E107" s="82" t="str">
        <x:v>TT・ルーラー型</x:v>
      </x:c>
      <x:c r="F107" s="82" t="str">
        <x:v>クラシック型</x:v>
      </x:c>
      <x:c r="G107" s="85" t="n">
        <x:v>56</x:v>
      </x:c>
      <x:c r="H107" s="85" t="n">
        <x:v>93</x:v>
      </x:c>
      <x:c r="I107" s="91" t="str">
        <x:v>アシスト</x:v>
      </x:c>
      <x:c r="J107" s="91" t="str"/>
      <x:c r="K107" s="91" t="str">
        <x:v>巡航力 / 悪路耐性</x:v>
      </x:c>
      <x:c r="L107" s="88" t="n">
        <x:v>4400</x:v>
      </x:c>
      <x:c r="M107" s="91" t="str">
        <x:v>集団牽引、横風、逃げの巡航</x:v>
      </x:c>
      <x:c r="N107" s="91" t="str">
        <x:v>https://en.wikipedia.org/wiki/Special:Search?search=Salvatore%20Puccio%20cyclist</x:v>
      </x:c>
    </x:row>
    <x:row r="108" ht="22" customHeight="1">
      <x:c r="A108" s="82" t="n">
        <x:v>104</x:v>
      </x:c>
      <x:c r="B108" s="82" t="str">
        <x:v>Biniam Girmay</x:v>
      </x:c>
      <x:c r="C108" s="82" t="str">
        <x:v>エリトリア</x:v>
      </x:c>
      <x:c r="D108" s="82" t="str">
        <x:v>現代</x:v>
      </x:c>
      <x:c r="E108" s="82" t="str">
        <x:v>スプリンター</x:v>
      </x:c>
      <x:c r="F108" s="82" t="str">
        <x:v>パンチャー</x:v>
      </x:c>
      <x:c r="G108" s="85" t="n">
        <x:v>93</x:v>
      </x:c>
      <x:c r="H108" s="85" t="n">
        <x:v>80</x:v>
      </x:c>
      <x:c r="I108" s="91" t="str">
        <x:v>当日エース / 副エース</x:v>
      </x:c>
      <x:c r="J108" s="91" t="str"/>
      <x:c r="K108" s="91" t="str">
        <x:v>最高速 / パンチ力 / 石畳</x:v>
      </x:c>
      <x:c r="L108" s="88" t="n">
        <x:v>9000</x:v>
      </x:c>
      <x:c r="M108" s="91" t="str">
        <x:v>登りスプリント、石畳、位置取り、勝負強さ</x:v>
      </x:c>
      <x:c r="N108" s="91" t="str">
        <x:v>https://en.wikipedia.org/wiki/Special:Search?search=Biniam%20Girmay%20cyclist</x:v>
      </x:c>
    </x:row>
    <x:row r="109" ht="22" customHeight="1">
      <x:c r="A109" s="82" t="n">
        <x:v>105</x:v>
      </x:c>
      <x:c r="B109" s="82" t="str">
        <x:v>Tom Pidcock</x:v>
      </x:c>
      <x:c r="C109" s="82" t="str">
        <x:v>イギリス</x:v>
      </x:c>
      <x:c r="D109" s="82" t="str">
        <x:v>現代</x:v>
      </x:c>
      <x:c r="E109" s="82" t="str">
        <x:v>クラシック型</x:v>
      </x:c>
      <x:c r="F109" s="82" t="str">
        <x:v>パンチャー</x:v>
      </x:c>
      <x:c r="G109" s="85" t="n">
        <x:v>91</x:v>
      </x:c>
      <x:c r="H109" s="85" t="n">
        <x:v>78</x:v>
      </x:c>
      <x:c r="I109" s="91" t="str">
        <x:v>当日エース / 副エース</x:v>
      </x:c>
      <x:c r="J109" s="91" t="str"/>
      <x:c r="K109" s="91" t="str">
        <x:v>パンチ力 / バイクコントロール / 下り</x:v>
      </x:c>
      <x:c r="L109" s="88" t="n">
        <x:v>9000</x:v>
      </x:c>
      <x:c r="M109" s="91" t="str">
        <x:v>パンチ力、下り、バイクコントロール、複合競技</x:v>
      </x:c>
      <x:c r="N109" s="91" t="str">
        <x:v>https://en.wikipedia.org/wiki/Special:Search?search=Tom%20Pidcock%20cyclist</x:v>
      </x:c>
    </x:row>
    <x:row r="110" ht="22" customHeight="1">
      <x:c r="A110" s="82" t="n">
        <x:v>106</x:v>
      </x:c>
      <x:c r="B110" s="82" t="str">
        <x:v>Joao Almeida</x:v>
      </x:c>
      <x:c r="C110" s="82" t="str">
        <x:v>ポルトガル</x:v>
      </x:c>
      <x:c r="D110" s="82" t="str">
        <x:v>現代</x:v>
      </x:c>
      <x:c r="E110" s="82" t="str">
        <x:v>総合型</x:v>
      </x:c>
      <x:c r="F110" s="82" t="str">
        <x:v>TT・ルーラー型</x:v>
      </x:c>
      <x:c r="G110" s="85" t="n">
        <x:v>93</x:v>
      </x:c>
      <x:c r="H110" s="85" t="n">
        <x:v>82</x:v>
      </x:c>
      <x:c r="I110" s="91" t="str">
        <x:v>当日エース / 副エース</x:v>
      </x:c>
      <x:c r="J110" s="91" t="str"/>
      <x:c r="K110" s="91" t="str">
        <x:v>日別回復 / TT適性 / 登坂力</x:v>
      </x:c>
      <x:c r="L110" s="88" t="n">
        <x:v>9500</x:v>
      </x:c>
      <x:c r="M110" s="91" t="str">
        <x:v>粘る登坂、TT、長期総合、日ごとの回復</x:v>
      </x:c>
      <x:c r="N110" s="91" t="str">
        <x:v>https://en.wikipedia.org/wiki/Special:Search?search=Joao%20Almeida%20cyclist</x:v>
      </x:c>
    </x:row>
    <x:row r="111" ht="22" customHeight="1">
      <x:c r="A111" s="82" t="n">
        <x:v>107</x:v>
      </x:c>
      <x:c r="B111" s="82" t="str">
        <x:v>Maciej Bodnar</x:v>
      </x:c>
      <x:c r="C111" s="82" t="str">
        <x:v>ポーランド</x:v>
      </x:c>
      <x:c r="D111" s="82" t="str">
        <x:v>近代</x:v>
      </x:c>
      <x:c r="E111" s="82" t="str">
        <x:v>TT・ルーラー型</x:v>
      </x:c>
      <x:c r="F111" s="82" t="str">
        <x:v>クラシック型</x:v>
      </x:c>
      <x:c r="G111" s="85" t="n">
        <x:v>55</x:v>
      </x:c>
      <x:c r="H111" s="85" t="n">
        <x:v>94</x:v>
      </x:c>
      <x:c r="I111" s="91" t="str">
        <x:v>アシスト</x:v>
      </x:c>
      <x:c r="J111" s="91" t="str"/>
      <x:c r="K111" s="91" t="str">
        <x:v>巡航力 / 悪路耐性</x:v>
      </x:c>
      <x:c r="L111" s="88" t="n">
        <x:v>6200</x:v>
      </x:c>
      <x:c r="M111" s="91" t="str">
        <x:v>集団牽引、横風、逃げの巡航</x:v>
      </x:c>
      <x:c r="N111" s="91" t="str">
        <x:v>https://en.wikipedia.org/wiki/Special:Search?search=Maciej%20Bodnar%20cyclist</x:v>
      </x:c>
    </x:row>
    <x:row r="112" ht="22" customHeight="1">
      <x:c r="A112" s="82" t="n">
        <x:v>108</x:v>
      </x:c>
      <x:c r="B112" s="82" t="str">
        <x:v>Jos van Emden</x:v>
      </x:c>
      <x:c r="C112" s="82" t="str">
        <x:v>オランダ</x:v>
      </x:c>
      <x:c r="D112" s="82" t="str">
        <x:v>近代</x:v>
      </x:c>
      <x:c r="E112" s="82" t="str">
        <x:v>TT・ルーラー型</x:v>
      </x:c>
      <x:c r="F112" s="82" t="str">
        <x:v>クラシック型</x:v>
      </x:c>
      <x:c r="G112" s="85" t="n">
        <x:v>56</x:v>
      </x:c>
      <x:c r="H112" s="85" t="n">
        <x:v>93</x:v>
      </x:c>
      <x:c r="I112" s="91" t="str">
        <x:v>アシスト</x:v>
      </x:c>
      <x:c r="J112" s="91" t="str"/>
      <x:c r="K112" s="91" t="str">
        <x:v>巡航力 / 悪路耐性</x:v>
      </x:c>
      <x:c r="L112" s="88" t="n">
        <x:v>5750</x:v>
      </x:c>
      <x:c r="M112" s="91" t="str">
        <x:v>集団牽引、横風、逃げの巡航</x:v>
      </x:c>
      <x:c r="N112" s="91" t="str">
        <x:v>https://en.wikipedia.org/wiki/Special:Search?search=Jos%20van%20Emden%20cyclist</x:v>
      </x:c>
    </x:row>
    <x:row r="113" ht="22" customHeight="1">
      <x:c r="A113" s="82" t="n">
        <x:v>109</x:v>
      </x:c>
      <x:c r="B113" s="82" t="str">
        <x:v>Maarten Tjallingii</x:v>
      </x:c>
      <x:c r="C113" s="82" t="str">
        <x:v>オランダ</x:v>
      </x:c>
      <x:c r="D113" s="82" t="str">
        <x:v>近代</x:v>
      </x:c>
      <x:c r="E113" s="82" t="str">
        <x:v>TT・ルーラー型</x:v>
      </x:c>
      <x:c r="F113" s="82" t="str">
        <x:v>クラシック型</x:v>
      </x:c>
      <x:c r="G113" s="85" t="n">
        <x:v>57</x:v>
      </x:c>
      <x:c r="H113" s="85" t="n">
        <x:v>92</x:v>
      </x:c>
      <x:c r="I113" s="91" t="str">
        <x:v>アシスト</x:v>
      </x:c>
      <x:c r="J113" s="91" t="str"/>
      <x:c r="K113" s="91" t="str">
        <x:v>巡航力 / 悪路耐性</x:v>
      </x:c>
      <x:c r="L113" s="88" t="n">
        <x:v>5300</x:v>
      </x:c>
      <x:c r="M113" s="91" t="str">
        <x:v>集団牽引、横風、逃げの巡航</x:v>
      </x:c>
      <x:c r="N113" s="91" t="str">
        <x:v>https://en.wikipedia.org/wiki/Special:Search?search=Maarten%20Tjallingii%20cyclist</x:v>
      </x:c>
    </x:row>
    <x:row r="114" ht="22" customHeight="1">
      <x:c r="A114" s="82" t="n">
        <x:v>110</x:v>
      </x:c>
      <x:c r="B114" s="82" t="str">
        <x:v>Lars Bak</x:v>
      </x:c>
      <x:c r="C114" s="82" t="str">
        <x:v>デンマーク</x:v>
      </x:c>
      <x:c r="D114" s="82" t="str">
        <x:v>近代</x:v>
      </x:c>
      <x:c r="E114" s="82" t="str">
        <x:v>TT・ルーラー型</x:v>
      </x:c>
      <x:c r="F114" s="82" t="str">
        <x:v>クラシック型</x:v>
      </x:c>
      <x:c r="G114" s="85" t="n">
        <x:v>53</x:v>
      </x:c>
      <x:c r="H114" s="85" t="n">
        <x:v>96</x:v>
      </x:c>
      <x:c r="I114" s="91" t="str">
        <x:v>アシスト</x:v>
      </x:c>
      <x:c r="J114" s="91" t="str"/>
      <x:c r="K114" s="91" t="str">
        <x:v>巡航力 / 悪路耐性</x:v>
      </x:c>
      <x:c r="L114" s="88" t="n">
        <x:v>4850</x:v>
      </x:c>
      <x:c r="M114" s="91" t="str">
        <x:v>集団牽引、横風、逃げの巡航</x:v>
      </x:c>
      <x:c r="N114" s="91" t="str">
        <x:v>https://en.wikipedia.org/wiki/Special:Search?search=Lars%20Bak%20cyclist</x:v>
      </x:c>
    </x:row>
    <x:row r="115" ht="22" customHeight="1">
      <x:c r="A115" s="82" t="n">
        <x:v>111</x:v>
      </x:c>
      <x:c r="B115" s="82" t="str">
        <x:v>Juan Ayuso</x:v>
      </x:c>
      <x:c r="C115" s="82" t="str">
        <x:v>スペイン</x:v>
      </x:c>
      <x:c r="D115" s="82" t="str">
        <x:v>現代</x:v>
      </x:c>
      <x:c r="E115" s="82" t="str">
        <x:v>総合型</x:v>
      </x:c>
      <x:c r="F115" s="82" t="str">
        <x:v>パンチャー</x:v>
      </x:c>
      <x:c r="G115" s="85" t="n">
        <x:v>92</x:v>
      </x:c>
      <x:c r="H115" s="85" t="n">
        <x:v>75</x:v>
      </x:c>
      <x:c r="I115" s="91" t="str">
        <x:v>当日エース / 副エース</x:v>
      </x:c>
      <x:c r="J115" s="91" t="str"/>
      <x:c r="K115" s="91" t="str">
        <x:v>登坂力 / パンチ力 / ステージハンター</x:v>
      </x:c>
      <x:c r="L115" s="88" t="n">
        <x:v>9000</x:v>
      </x:c>
      <x:c r="M115" s="91" t="str">
        <x:v>若手総合、登坂、TT、加速力</x:v>
      </x:c>
      <x:c r="N115" s="91" t="str">
        <x:v>https://en.wikipedia.org/wiki/Special:Search?search=Juan%20Ayuso%20cyclist</x:v>
      </x:c>
    </x:row>
    <x:row r="116" ht="22" customHeight="1">
      <x:c r="A116" s="82" t="n">
        <x:v>112</x:v>
      </x:c>
      <x:c r="B116" s="82" t="str">
        <x:v>Dries Devenyns</x:v>
      </x:c>
      <x:c r="C116" s="82" t="str">
        <x:v>ベルギー</x:v>
      </x:c>
      <x:c r="D116" s="82" t="str">
        <x:v>近代</x:v>
      </x:c>
      <x:c r="E116" s="82" t="str">
        <x:v>TT・ルーラー型</x:v>
      </x:c>
      <x:c r="F116" s="82" t="str">
        <x:v>クラシック型</x:v>
      </x:c>
      <x:c r="G116" s="85" t="n">
        <x:v>55</x:v>
      </x:c>
      <x:c r="H116" s="85" t="n">
        <x:v>94</x:v>
      </x:c>
      <x:c r="I116" s="91" t="str">
        <x:v>アシスト</x:v>
      </x:c>
      <x:c r="J116" s="91" t="str">
        <x:v>逃げ屋</x:v>
      </x:c>
      <x:c r="K116" s="91" t="str">
        <x:v>巡航力 / 悪路耐性 / 逃げ屋</x:v>
      </x:c>
      <x:c r="L116" s="88" t="n">
        <x:v>3950</x:v>
      </x:c>
      <x:c r="M116" s="91" t="str">
        <x:v>集団牽引、横風、逃げの巡航</x:v>
      </x:c>
      <x:c r="N116" s="91" t="str">
        <x:v>https://en.wikipedia.org/wiki/Special:Search?search=Dries%20Devenyns%20cyclist</x:v>
      </x:c>
    </x:row>
    <x:row r="117" ht="22" customHeight="1">
      <x:c r="A117" s="82" t="n">
        <x:v>113</x:v>
      </x:c>
      <x:c r="B117" s="82" t="str">
        <x:v>Vegard Stake Laengen</x:v>
      </x:c>
      <x:c r="C117" s="82" t="str">
        <x:v>ノルウェー</x:v>
      </x:c>
      <x:c r="D117" s="82" t="str">
        <x:v>現代</x:v>
      </x:c>
      <x:c r="E117" s="82" t="str">
        <x:v>TT・ルーラー型</x:v>
      </x:c>
      <x:c r="F117" s="82" t="str">
        <x:v>クラシック型</x:v>
      </x:c>
      <x:c r="G117" s="85" t="n">
        <x:v>54</x:v>
      </x:c>
      <x:c r="H117" s="85" t="n">
        <x:v>93</x:v>
      </x:c>
      <x:c r="I117" s="91" t="str">
        <x:v>アシスト</x:v>
      </x:c>
      <x:c r="J117" s="91" t="str"/>
      <x:c r="K117" s="91" t="str">
        <x:v>巡航力 / 悪路耐性</x:v>
      </x:c>
      <x:c r="L117" s="88" t="n">
        <x:v>3500</x:v>
      </x:c>
      <x:c r="M117" s="91" t="str">
        <x:v>集団牽引、横風、逃げの巡航</x:v>
      </x:c>
      <x:c r="N117" s="91" t="str">
        <x:v>https://en.wikipedia.org/wiki/Special:Search?search=Vegard%20Stake%20Laengen%20cyclist</x:v>
      </x:c>
    </x:row>
    <x:row r="118" ht="22" customHeight="1">
      <x:c r="A118" s="82" t="n">
        <x:v>114</x:v>
      </x:c>
      <x:c r="B118" s="82" t="str">
        <x:v>Mikkel Bjerg</x:v>
      </x:c>
      <x:c r="C118" s="82" t="str">
        <x:v>デンマーク</x:v>
      </x:c>
      <x:c r="D118" s="82" t="str">
        <x:v>現代</x:v>
      </x:c>
      <x:c r="E118" s="82" t="str">
        <x:v>TT・ルーラー型</x:v>
      </x:c>
      <x:c r="F118" s="82" t="str">
        <x:v>クラシック型</x:v>
      </x:c>
      <x:c r="G118" s="85" t="n">
        <x:v>55</x:v>
      </x:c>
      <x:c r="H118" s="85" t="n">
        <x:v>92</x:v>
      </x:c>
      <x:c r="I118" s="91" t="str">
        <x:v>アシスト</x:v>
      </x:c>
      <x:c r="J118" s="91" t="str"/>
      <x:c r="K118" s="91" t="str">
        <x:v>巡航力 / 悪路耐性</x:v>
      </x:c>
      <x:c r="L118" s="88" t="n">
        <x:v>3050</x:v>
      </x:c>
      <x:c r="M118" s="91" t="str">
        <x:v>集団牽引、横風、逃げの巡航</x:v>
      </x:c>
      <x:c r="N118" s="91" t="str">
        <x:v>https://en.wikipedia.org/wiki/Special:Search?search=Mikkel%20Bjerg%20cyclist</x:v>
      </x:c>
    </x:row>
    <x:row r="119" ht="22" customHeight="1">
      <x:c r="A119" s="82" t="n">
        <x:v>115</x:v>
      </x:c>
      <x:c r="B119" s="82" t="str">
        <x:v>Luke Rowe</x:v>
      </x:c>
      <x:c r="C119" s="82" t="str">
        <x:v>イギリス</x:v>
      </x:c>
      <x:c r="D119" s="82" t="str">
        <x:v>現代</x:v>
      </x:c>
      <x:c r="E119" s="82" t="str">
        <x:v>クラシック型</x:v>
      </x:c>
      <x:c r="F119" s="82" t="str">
        <x:v>TT・ルーラー型</x:v>
      </x:c>
      <x:c r="G119" s="85" t="n">
        <x:v>51</x:v>
      </x:c>
      <x:c r="H119" s="85" t="n">
        <x:v>99</x:v>
      </x:c>
      <x:c r="I119" s="91" t="str">
        <x:v>ロードキャプテン / アシスト</x:v>
      </x:c>
      <x:c r="J119" s="91" t="str"/>
      <x:c r="K119" s="91" t="str">
        <x:v>バイクコントロール / TT適性</x:v>
      </x:c>
      <x:c r="L119" s="88" t="n">
        <x:v>6800</x:v>
      </x:c>
      <x:c r="M119" s="91" t="str">
        <x:v>位置取り、補給、戦術判断、落車復帰</x:v>
      </x:c>
      <x:c r="N119" s="91" t="str">
        <x:v>https://en.wikipedia.org/wiki/Special:Search?search=Luke%20Rowe%20cyclist</x:v>
      </x:c>
    </x:row>
    <x:row r="120" ht="22" customHeight="1">
      <x:c r="A120" s="82" t="n">
        <x:v>116</x:v>
      </x:c>
      <x:c r="B120" s="82" t="str">
        <x:v>Fumiyuki Beppu</x:v>
      </x:c>
      <x:c r="C120" s="82" t="str">
        <x:v>日本</x:v>
      </x:c>
      <x:c r="D120" s="82" t="str">
        <x:v>近代</x:v>
      </x:c>
      <x:c r="E120" s="82" t="str">
        <x:v>クラシック型</x:v>
      </x:c>
      <x:c r="F120" s="82" t="str">
        <x:v>TT・ルーラー型</x:v>
      </x:c>
      <x:c r="G120" s="85" t="n">
        <x:v>49</x:v>
      </x:c>
      <x:c r="H120" s="85" t="n">
        <x:v>98</x:v>
      </x:c>
      <x:c r="I120" s="91" t="str">
        <x:v>ロードキャプテン / アシスト</x:v>
      </x:c>
      <x:c r="J120" s="91" t="str"/>
      <x:c r="K120" s="91" t="str">
        <x:v>バイクコントロール / TT適性</x:v>
      </x:c>
      <x:c r="L120" s="88" t="n">
        <x:v>6350</x:v>
      </x:c>
      <x:c r="M120" s="91" t="str">
        <x:v>位置取り、補給、戦術判断、落車復帰</x:v>
      </x:c>
      <x:c r="N120" s="91" t="str">
        <x:v>https://en.wikipedia.org/wiki/Special:Search?search=Fumiyuki%20Beppu%20cyclist</x:v>
      </x:c>
    </x:row>
    <x:row r="121" ht="22" customHeight="1">
      <x:c r="A121" s="82" t="n">
        <x:v>117</x:v>
      </x:c>
      <x:c r="B121" s="82" t="str">
        <x:v>Yukiya Arashiro</x:v>
      </x:c>
      <x:c r="C121" s="82" t="str">
        <x:v>日本</x:v>
      </x:c>
      <x:c r="D121" s="82" t="str">
        <x:v>現代</x:v>
      </x:c>
      <x:c r="E121" s="82" t="str">
        <x:v>クラシック型</x:v>
      </x:c>
      <x:c r="F121" s="82" t="str">
        <x:v>パンチャー</x:v>
      </x:c>
      <x:c r="G121" s="85" t="n">
        <x:v>50</x:v>
      </x:c>
      <x:c r="H121" s="85" t="n">
        <x:v>97</x:v>
      </x:c>
      <x:c r="I121" s="91" t="str">
        <x:v>ロードキャプテン / アシスト</x:v>
      </x:c>
      <x:c r="J121" s="91" t="str"/>
      <x:c r="K121" s="91" t="str">
        <x:v>バイクコントロール / 反復加速</x:v>
      </x:c>
      <x:c r="L121" s="88" t="n">
        <x:v>5900</x:v>
      </x:c>
      <x:c r="M121" s="91" t="str">
        <x:v>位置取り、補給、戦術判断、落車復帰</x:v>
      </x:c>
      <x:c r="N121" s="91" t="str">
        <x:v>https://en.wikipedia.org/wiki/Special:Search?search=Yukiya%20Arashiro%20cyclist</x:v>
      </x:c>
    </x:row>
    <x:row r="122" ht="22" customHeight="1">
      <x:c r="A122" s="82" t="n">
        <x:v>118</x:v>
      </x:c>
      <x:c r="B122" s="82" t="str">
        <x:v>George Hincapie</x:v>
      </x:c>
      <x:c r="C122" s="82" t="str">
        <x:v>アメリカ</x:v>
      </x:c>
      <x:c r="D122" s="82" t="str">
        <x:v>近代</x:v>
      </x:c>
      <x:c r="E122" s="82" t="str">
        <x:v>クラシック型</x:v>
      </x:c>
      <x:c r="F122" s="82" t="str">
        <x:v>TT・ルーラー型</x:v>
      </x:c>
      <x:c r="G122" s="85" t="n">
        <x:v>51</x:v>
      </x:c>
      <x:c r="H122" s="85" t="n">
        <x:v>96</x:v>
      </x:c>
      <x:c r="I122" s="91" t="str">
        <x:v>ロードキャプテン / アシスト</x:v>
      </x:c>
      <x:c r="J122" s="91" t="str"/>
      <x:c r="K122" s="91" t="str">
        <x:v>バイクコントロール / TT適性</x:v>
      </x:c>
      <x:c r="L122" s="88" t="n">
        <x:v>5450</x:v>
      </x:c>
      <x:c r="M122" s="91" t="str">
        <x:v>位置取り、補給、戦術判断、落車復帰</x:v>
      </x:c>
      <x:c r="N122" s="91" t="str">
        <x:v>https://en.wikipedia.org/wiki/Special:Search?search=George%20Hincapie%20cyclist</x:v>
      </x:c>
    </x:row>
    <x:row r="123" ht="22" customHeight="1">
      <x:c r="A123" s="82" t="n">
        <x:v>119</x:v>
      </x:c>
      <x:c r="B123" s="82" t="str">
        <x:v>Bernhard Eisel</x:v>
      </x:c>
      <x:c r="C123" s="82" t="str">
        <x:v>オーストリア</x:v>
      </x:c>
      <x:c r="D123" s="82" t="str">
        <x:v>近代</x:v>
      </x:c>
      <x:c r="E123" s="82" t="str">
        <x:v>クラシック型</x:v>
      </x:c>
      <x:c r="F123" s="82" t="str">
        <x:v>TT・ルーラー型</x:v>
      </x:c>
      <x:c r="G123" s="85" t="n">
        <x:v>52</x:v>
      </x:c>
      <x:c r="H123" s="85" t="n">
        <x:v>95</x:v>
      </x:c>
      <x:c r="I123" s="91" t="str">
        <x:v>ロードキャプテン / アシスト</x:v>
      </x:c>
      <x:c r="J123" s="91" t="str"/>
      <x:c r="K123" s="91" t="str">
        <x:v>バイクコントロール / TT適性</x:v>
      </x:c>
      <x:c r="L123" s="88" t="n">
        <x:v>5000</x:v>
      </x:c>
      <x:c r="M123" s="91" t="str">
        <x:v>位置取り、補給、戦術判断、落車復帰</x:v>
      </x:c>
      <x:c r="N123" s="91" t="str">
        <x:v>https://en.wikipedia.org/wiki/Special:Search?search=Bernhard%20Eisel%20cyclist</x:v>
      </x:c>
    </x:row>
    <x:row r="124" ht="22" customHeight="1">
      <x:c r="A124" s="82" t="n">
        <x:v>120</x:v>
      </x:c>
      <x:c r="B124" s="82" t="str">
        <x:v>Nicolas Roche</x:v>
      </x:c>
      <x:c r="C124" s="82" t="str">
        <x:v>アイルランド</x:v>
      </x:c>
      <x:c r="D124" s="82" t="str">
        <x:v>近代</x:v>
      </x:c>
      <x:c r="E124" s="82" t="str">
        <x:v>クラシック型</x:v>
      </x:c>
      <x:c r="F124" s="82" t="str">
        <x:v>TT・ルーラー型</x:v>
      </x:c>
      <x:c r="G124" s="85" t="n">
        <x:v>48</x:v>
      </x:c>
      <x:c r="H124" s="85" t="n">
        <x:v>99</x:v>
      </x:c>
      <x:c r="I124" s="91" t="str">
        <x:v>ロードキャプテン / アシスト</x:v>
      </x:c>
      <x:c r="J124" s="91" t="str"/>
      <x:c r="K124" s="91" t="str">
        <x:v>バイクコントロール / TT適性</x:v>
      </x:c>
      <x:c r="L124" s="88" t="n">
        <x:v>4550</x:v>
      </x:c>
      <x:c r="M124" s="91" t="str">
        <x:v>位置取り、補給、戦術判断、落車復帰</x:v>
      </x:c>
      <x:c r="N124" s="91" t="str">
        <x:v>https://en.wikipedia.org/wiki/Special:Search?search=Nicolas%20Roche%20cyclist</x:v>
      </x:c>
    </x:row>
    <x:row r="125" ht="22" customHeight="1">
      <x:c r="A125" s="82" t="n">
        <x:v>121</x:v>
      </x:c>
      <x:c r="B125" s="82" t="str">
        <x:v>Sylvain Chavanel</x:v>
      </x:c>
      <x:c r="C125" s="82" t="str">
        <x:v>フランス</x:v>
      </x:c>
      <x:c r="D125" s="82" t="str">
        <x:v>近代</x:v>
      </x:c>
      <x:c r="E125" s="82" t="str">
        <x:v>クラシック型</x:v>
      </x:c>
      <x:c r="F125" s="82" t="str">
        <x:v>TT・ルーラー型</x:v>
      </x:c>
      <x:c r="G125" s="85" t="n">
        <x:v>49</x:v>
      </x:c>
      <x:c r="H125" s="85" t="n">
        <x:v>98</x:v>
      </x:c>
      <x:c r="I125" s="91" t="str">
        <x:v>ロードキャプテン / アシスト</x:v>
      </x:c>
      <x:c r="J125" s="91" t="str">
        <x:v>逃げ屋</x:v>
      </x:c>
      <x:c r="K125" s="91" t="str">
        <x:v>バイクコントロール / TT適性 / 逃げ屋</x:v>
      </x:c>
      <x:c r="L125" s="88" t="n">
        <x:v>4100</x:v>
      </x:c>
      <x:c r="M125" s="91" t="str">
        <x:v>位置取り、補給、戦術判断、落車復帰</x:v>
      </x:c>
      <x:c r="N125" s="91" t="str">
        <x:v>https://en.wikipedia.org/wiki/Special:Search?search=Sylvain%20Chavanel%20cyclist</x:v>
      </x:c>
    </x:row>
    <x:row r="126" ht="22" customHeight="1">
      <x:c r="A126" s="82" t="n">
        <x:v>122</x:v>
      </x:c>
      <x:c r="B126" s="82" t="str">
        <x:v>Koen de Kort</x:v>
      </x:c>
      <x:c r="C126" s="82" t="str">
        <x:v>オランダ</x:v>
      </x:c>
      <x:c r="D126" s="82" t="str">
        <x:v>近代</x:v>
      </x:c>
      <x:c r="E126" s="82" t="str">
        <x:v>クラシック型</x:v>
      </x:c>
      <x:c r="F126" s="82" t="str">
        <x:v>TT・ルーラー型</x:v>
      </x:c>
      <x:c r="G126" s="85" t="n">
        <x:v>48</x:v>
      </x:c>
      <x:c r="H126" s="85" t="n">
        <x:v>97</x:v>
      </x:c>
      <x:c r="I126" s="91" t="str">
        <x:v>ロードキャプテン / アシスト</x:v>
      </x:c>
      <x:c r="J126" s="91" t="str"/>
      <x:c r="K126" s="91" t="str">
        <x:v>バイクコントロール / TT適性</x:v>
      </x:c>
      <x:c r="L126" s="88" t="n">
        <x:v>3650</x:v>
      </x:c>
      <x:c r="M126" s="91" t="str">
        <x:v>位置取り、補給、戦術判断、落車復帰</x:v>
      </x:c>
      <x:c r="N126" s="91" t="str">
        <x:v>https://en.wikipedia.org/wiki/Special:Search?search=Koen%20de%20Kort%20cyclist</x:v>
      </x:c>
    </x:row>
    <x:row r="127" ht="22" customHeight="1">
      <x:c r="A127" s="82" t="n">
        <x:v>123</x:v>
      </x:c>
      <x:c r="B127" s="82" t="str">
        <x:v>Daryl Impey</x:v>
      </x:c>
      <x:c r="C127" s="82" t="str">
        <x:v>南アフリカ</x:v>
      </x:c>
      <x:c r="D127" s="82" t="str">
        <x:v>近代</x:v>
      </x:c>
      <x:c r="E127" s="82" t="str">
        <x:v>クラシック型</x:v>
      </x:c>
      <x:c r="F127" s="82" t="str">
        <x:v>TT・ルーラー型</x:v>
      </x:c>
      <x:c r="G127" s="85" t="n">
        <x:v>54</x:v>
      </x:c>
      <x:c r="H127" s="85" t="n">
        <x:v>96</x:v>
      </x:c>
      <x:c r="I127" s="91" t="str">
        <x:v>ロードキャプテン / アシスト</x:v>
      </x:c>
      <x:c r="J127" s="91" t="str"/>
      <x:c r="K127" s="91" t="str">
        <x:v>バイクコントロール / TT適性</x:v>
      </x:c>
      <x:c r="L127" s="88" t="n">
        <x:v>6800</x:v>
      </x:c>
      <x:c r="M127" s="91" t="str">
        <x:v>位置取り、補給、戦術判断、落車復帰</x:v>
      </x:c>
      <x:c r="N127" s="91" t="str">
        <x:v>https://en.wikipedia.org/wiki/Special:Search?search=Daryl%20Impey%20cyclist</x:v>
      </x:c>
    </x:row>
    <x:row r="128" ht="22" customHeight="1">
      <x:c r="A128" s="82" t="n">
        <x:v>124</x:v>
      </x:c>
      <x:c r="B128" s="82" t="str">
        <x:v>Michael Rogers</x:v>
      </x:c>
      <x:c r="C128" s="82" t="str">
        <x:v>オーストラリア</x:v>
      </x:c>
      <x:c r="D128" s="82" t="str">
        <x:v>近代</x:v>
      </x:c>
      <x:c r="E128" s="82" t="str">
        <x:v>クラシック型</x:v>
      </x:c>
      <x:c r="F128" s="82" t="str">
        <x:v>TT・ルーラー型</x:v>
      </x:c>
      <x:c r="G128" s="85" t="n">
        <x:v>52</x:v>
      </x:c>
      <x:c r="H128" s="85" t="n">
        <x:v>95</x:v>
      </x:c>
      <x:c r="I128" s="91" t="str">
        <x:v>ロードキャプテン / アシスト</x:v>
      </x:c>
      <x:c r="J128" s="91" t="str"/>
      <x:c r="K128" s="91" t="str">
        <x:v>バイクコントロール / TT適性</x:v>
      </x:c>
      <x:c r="L128" s="88" t="n">
        <x:v>6350</x:v>
      </x:c>
      <x:c r="M128" s="91" t="str">
        <x:v>位置取り、補給、戦術判断、落車復帰</x:v>
      </x:c>
      <x:c r="N128" s="91" t="str">
        <x:v>https://en.wikipedia.org/wiki/Special:Search?search=Michael%20Rogers%20cyclist</x:v>
      </x:c>
    </x:row>
    <x:row r="129" ht="22" customHeight="1">
      <x:c r="A129" s="82" t="n">
        <x:v>125</x:v>
      </x:c>
      <x:c r="B129" s="82" t="str">
        <x:v>Geraint Thomas</x:v>
      </x:c>
      <x:c r="C129" s="82" t="str">
        <x:v>イギリス</x:v>
      </x:c>
      <x:c r="D129" s="82" t="str">
        <x:v>近代</x:v>
      </x:c>
      <x:c r="E129" s="82" t="str">
        <x:v>クラシック型</x:v>
      </x:c>
      <x:c r="F129" s="82" t="str">
        <x:v>TT・ルーラー型</x:v>
      </x:c>
      <x:c r="G129" s="85" t="n">
        <x:v>48</x:v>
      </x:c>
      <x:c r="H129" s="85" t="n">
        <x:v>99</x:v>
      </x:c>
      <x:c r="I129" s="91" t="str">
        <x:v>ロードキャプテン / アシスト</x:v>
      </x:c>
      <x:c r="J129" s="91" t="str"/>
      <x:c r="K129" s="91" t="str">
        <x:v>バイクコントロール / TT適性</x:v>
      </x:c>
      <x:c r="L129" s="88" t="n">
        <x:v>5900</x:v>
      </x:c>
      <x:c r="M129" s="91" t="str">
        <x:v>位置取り、補給、戦術判断、落車復帰</x:v>
      </x:c>
      <x:c r="N129" s="91" t="str">
        <x:v>https://en.wikipedia.org/wiki/Special:Search?search=Geraint%20Thomas%20cyclist</x:v>
      </x:c>
    </x:row>
    <x:row r="130" ht="22" customHeight="1">
      <x:c r="A130" s="82" t="n">
        <x:v>126</x:v>
      </x:c>
      <x:c r="B130" s="82" t="str">
        <x:v>Simon Geschke</x:v>
      </x:c>
      <x:c r="C130" s="82" t="str">
        <x:v>ドイツ</x:v>
      </x:c>
      <x:c r="D130" s="82" t="str">
        <x:v>現代</x:v>
      </x:c>
      <x:c r="E130" s="82" t="str">
        <x:v>クラシック型</x:v>
      </x:c>
      <x:c r="F130" s="82" t="str">
        <x:v>TT・ルーラー型</x:v>
      </x:c>
      <x:c r="G130" s="85" t="n">
        <x:v>49</x:v>
      </x:c>
      <x:c r="H130" s="85" t="n">
        <x:v>98</x:v>
      </x:c>
      <x:c r="I130" s="91" t="str">
        <x:v>ロードキャプテン / アシスト</x:v>
      </x:c>
      <x:c r="J130" s="91" t="str"/>
      <x:c r="K130" s="91" t="str">
        <x:v>バイクコントロール / TT適性</x:v>
      </x:c>
      <x:c r="L130" s="88" t="n">
        <x:v>5450</x:v>
      </x:c>
      <x:c r="M130" s="91" t="str">
        <x:v>位置取り、補給、戦術判断、落車復帰</x:v>
      </x:c>
      <x:c r="N130" s="91" t="str">
        <x:v>https://en.wikipedia.org/wiki/Special:Search?search=Simon%20Geschke%20cyclist</x:v>
      </x:c>
    </x:row>
    <x:row r="131" ht="22" customHeight="1">
      <x:c r="A131" s="82" t="n">
        <x:v>127</x:v>
      </x:c>
      <x:c r="B131" s="82" t="str">
        <x:v>Mathew Hayman</x:v>
      </x:c>
      <x:c r="C131" s="82" t="str">
        <x:v>オーストラリア</x:v>
      </x:c>
      <x:c r="D131" s="82" t="str">
        <x:v>近代</x:v>
      </x:c>
      <x:c r="E131" s="82" t="str">
        <x:v>クラシック型</x:v>
      </x:c>
      <x:c r="F131" s="82" t="str">
        <x:v>TT・ルーラー型</x:v>
      </x:c>
      <x:c r="G131" s="85" t="n">
        <x:v>50</x:v>
      </x:c>
      <x:c r="H131" s="85" t="n">
        <x:v>97</x:v>
      </x:c>
      <x:c r="I131" s="91" t="str">
        <x:v>ロードキャプテン / アシスト</x:v>
      </x:c>
      <x:c r="J131" s="91" t="str"/>
      <x:c r="K131" s="91" t="str">
        <x:v>バイクコントロール / TT適性</x:v>
      </x:c>
      <x:c r="L131" s="88" t="n">
        <x:v>5000</x:v>
      </x:c>
      <x:c r="M131" s="91" t="str">
        <x:v>位置取り、補給、戦術判断、落車復帰</x:v>
      </x:c>
      <x:c r="N131" s="91" t="str">
        <x:v>https://en.wikipedia.org/wiki/Special:Search?search=Mathew%20Hayman%20cyclist</x:v>
      </x:c>
    </x:row>
    <x:row r="132" ht="22" customHeight="1">
      <x:c r="A132" s="82" t="n">
        <x:v>128</x:v>
      </x:c>
      <x:c r="B132" s="82" t="str">
        <x:v>Bram Tankink</x:v>
      </x:c>
      <x:c r="C132" s="82" t="str">
        <x:v>オランダ</x:v>
      </x:c>
      <x:c r="D132" s="82" t="str">
        <x:v>近代</x:v>
      </x:c>
      <x:c r="E132" s="82" t="str">
        <x:v>クラシック型</x:v>
      </x:c>
      <x:c r="F132" s="82" t="str">
        <x:v>TT・ルーラー型</x:v>
      </x:c>
      <x:c r="G132" s="85" t="n">
        <x:v>51</x:v>
      </x:c>
      <x:c r="H132" s="85" t="n">
        <x:v>96</x:v>
      </x:c>
      <x:c r="I132" s="91" t="str">
        <x:v>ロードキャプテン / アシスト</x:v>
      </x:c>
      <x:c r="J132" s="91" t="str"/>
      <x:c r="K132" s="91" t="str">
        <x:v>バイクコントロール / TT適性</x:v>
      </x:c>
      <x:c r="L132" s="88" t="n">
        <x:v>4550</x:v>
      </x:c>
      <x:c r="M132" s="91" t="str">
        <x:v>位置取り、補給、戦術判断、落車復帰</x:v>
      </x:c>
      <x:c r="N132" s="91" t="str">
        <x:v>https://en.wikipedia.org/wiki/Special:Search?search=Bram%20Tankink%20cyclist</x:v>
      </x:c>
    </x:row>
    <x:row r="133" ht="22" customHeight="1">
      <x:c r="A133" s="82" t="n">
        <x:v>129</x:v>
      </x:c>
      <x:c r="B133" s="82" t="str">
        <x:v>Christian Vande Velde</x:v>
      </x:c>
      <x:c r="C133" s="82" t="str">
        <x:v>アメリカ</x:v>
      </x:c>
      <x:c r="D133" s="82" t="str">
        <x:v>近代</x:v>
      </x:c>
      <x:c r="E133" s="82" t="str">
        <x:v>クラシック型</x:v>
      </x:c>
      <x:c r="F133" s="82" t="str">
        <x:v>TT・ルーラー型</x:v>
      </x:c>
      <x:c r="G133" s="85" t="n">
        <x:v>52</x:v>
      </x:c>
      <x:c r="H133" s="85" t="n">
        <x:v>95</x:v>
      </x:c>
      <x:c r="I133" s="91" t="str">
        <x:v>ロードキャプテン / アシスト</x:v>
      </x:c>
      <x:c r="J133" s="91" t="str"/>
      <x:c r="K133" s="91" t="str">
        <x:v>バイクコントロール / TT適性</x:v>
      </x:c>
      <x:c r="L133" s="88" t="n">
        <x:v>4100</x:v>
      </x:c>
      <x:c r="M133" s="91" t="str">
        <x:v>位置取り、補給、戦術判断、落車復帰</x:v>
      </x:c>
      <x:c r="N133" s="91" t="str">
        <x:v>https://en.wikipedia.org/wiki/Special:Search?search=Christian%20Vande%20Velde%20cyclist</x:v>
      </x:c>
    </x:row>
    <x:row r="134" ht="22" customHeight="1">
      <x:c r="A134" s="82" t="n">
        <x:v>130</x:v>
      </x:c>
      <x:c r="B134" s="82" t="str">
        <x:v>David Millar</x:v>
      </x:c>
      <x:c r="C134" s="82" t="str">
        <x:v>イギリス</x:v>
      </x:c>
      <x:c r="D134" s="82" t="str">
        <x:v>近代</x:v>
      </x:c>
      <x:c r="E134" s="82" t="str">
        <x:v>クラシック型</x:v>
      </x:c>
      <x:c r="F134" s="82" t="str">
        <x:v>TT・ルーラー型</x:v>
      </x:c>
      <x:c r="G134" s="85" t="n">
        <x:v>46</x:v>
      </x:c>
      <x:c r="H134" s="85" t="n">
        <x:v>99</x:v>
      </x:c>
      <x:c r="I134" s="91" t="str">
        <x:v>ロードキャプテン / アシスト</x:v>
      </x:c>
      <x:c r="J134" s="91" t="str"/>
      <x:c r="K134" s="91" t="str">
        <x:v>バイクコントロール / TT適性</x:v>
      </x:c>
      <x:c r="L134" s="88" t="n">
        <x:v>3650</x:v>
      </x:c>
      <x:c r="M134" s="91" t="str">
        <x:v>位置取り、補給、戦術判断、落車復帰</x:v>
      </x:c>
      <x:c r="N134" s="91" t="str">
        <x:v>https://en.wikipedia.org/wiki/Special:Search?search=David%20Millar%20cyclist</x:v>
      </x:c>
    </x:row>
    <x:row r="135" ht="22" customHeight="1">
      <x:c r="A135" s="82" t="n">
        <x:v>131</x:v>
      </x:c>
      <x:c r="B135" s="82" t="str">
        <x:v>Manuel Quinziato</x:v>
      </x:c>
      <x:c r="C135" s="82" t="str">
        <x:v>イタリア</x:v>
      </x:c>
      <x:c r="D135" s="82" t="str">
        <x:v>近代</x:v>
      </x:c>
      <x:c r="E135" s="82" t="str">
        <x:v>クラシック型</x:v>
      </x:c>
      <x:c r="F135" s="82" t="str">
        <x:v>TT・ルーラー型</x:v>
      </x:c>
      <x:c r="G135" s="85" t="n">
        <x:v>52</x:v>
      </x:c>
      <x:c r="H135" s="85" t="n">
        <x:v>98</x:v>
      </x:c>
      <x:c r="I135" s="91" t="str">
        <x:v>ロードキャプテン / アシスト</x:v>
      </x:c>
      <x:c r="J135" s="91" t="str"/>
      <x:c r="K135" s="91" t="str">
        <x:v>バイクコントロール / TT適性</x:v>
      </x:c>
      <x:c r="L135" s="88" t="n">
        <x:v>6800</x:v>
      </x:c>
      <x:c r="M135" s="91" t="str">
        <x:v>位置取り、補給、戦術判断、落車復帰</x:v>
      </x:c>
      <x:c r="N135" s="91" t="str">
        <x:v>https://en.wikipedia.org/wiki/Special:Search?search=Manuel%20Quinziato%20cyclist</x:v>
      </x:c>
    </x:row>
    <x:row r="136" ht="22" customHeight="1">
      <x:c r="A136" s="82" t="n">
        <x:v>132</x:v>
      </x:c>
      <x:c r="B136" s="82" t="str">
        <x:v>Luca Paolini</x:v>
      </x:c>
      <x:c r="C136" s="82" t="str">
        <x:v>イタリア</x:v>
      </x:c>
      <x:c r="D136" s="82" t="str">
        <x:v>近代</x:v>
      </x:c>
      <x:c r="E136" s="82" t="str">
        <x:v>クラシック型</x:v>
      </x:c>
      <x:c r="F136" s="82" t="str">
        <x:v>TT・ルーラー型</x:v>
      </x:c>
      <x:c r="G136" s="85" t="n">
        <x:v>50</x:v>
      </x:c>
      <x:c r="H136" s="85" t="n">
        <x:v>97</x:v>
      </x:c>
      <x:c r="I136" s="91" t="str">
        <x:v>ロードキャプテン / アシスト</x:v>
      </x:c>
      <x:c r="J136" s="91" t="str"/>
      <x:c r="K136" s="91" t="str">
        <x:v>バイクコントロール / TT適性</x:v>
      </x:c>
      <x:c r="L136" s="88" t="n">
        <x:v>6350</x:v>
      </x:c>
      <x:c r="M136" s="91" t="str">
        <x:v>位置取り、補給、戦術判断、落車復帰</x:v>
      </x:c>
      <x:c r="N136" s="91" t="str">
        <x:v>https://en.wikipedia.org/wiki/Special:Search?search=Luca%20Paolini%20cyclist</x:v>
      </x:c>
    </x:row>
    <x:row r="137" ht="22" customHeight="1">
      <x:c r="A137" s="82" t="n">
        <x:v>133</x:v>
      </x:c>
      <x:c r="B137" s="82" t="str">
        <x:v>Juan Antonio Flecha</x:v>
      </x:c>
      <x:c r="C137" s="82" t="str">
        <x:v>スペイン</x:v>
      </x:c>
      <x:c r="D137" s="82" t="str">
        <x:v>近代</x:v>
      </x:c>
      <x:c r="E137" s="82" t="str">
        <x:v>クラシック型</x:v>
      </x:c>
      <x:c r="F137" s="82" t="str">
        <x:v>TT・ルーラー型</x:v>
      </x:c>
      <x:c r="G137" s="85" t="n">
        <x:v>51</x:v>
      </x:c>
      <x:c r="H137" s="85" t="n">
        <x:v>96</x:v>
      </x:c>
      <x:c r="I137" s="91" t="str">
        <x:v>ロードキャプテン / アシスト</x:v>
      </x:c>
      <x:c r="J137" s="91" t="str"/>
      <x:c r="K137" s="91" t="str">
        <x:v>バイクコントロール / TT適性</x:v>
      </x:c>
      <x:c r="L137" s="88" t="n">
        <x:v>5900</x:v>
      </x:c>
      <x:c r="M137" s="91" t="str">
        <x:v>位置取り、補給、戦術判断、落車復帰</x:v>
      </x:c>
      <x:c r="N137" s="91" t="str">
        <x:v>https://en.wikipedia.org/wiki/Special:Search?search=Juan%20Antonio%20Flecha%20cyclist</x:v>
      </x:c>
    </x:row>
    <x:row r="138" ht="22" customHeight="1">
      <x:c r="A138" s="82" t="n">
        <x:v>134</x:v>
      </x:c>
      <x:c r="B138" s="82" t="str">
        <x:v>Alessandro Ballan</x:v>
      </x:c>
      <x:c r="C138" s="82" t="str">
        <x:v>イタリア</x:v>
      </x:c>
      <x:c r="D138" s="82" t="str">
        <x:v>近代</x:v>
      </x:c>
      <x:c r="E138" s="82" t="str">
        <x:v>クラシック型</x:v>
      </x:c>
      <x:c r="F138" s="82" t="str">
        <x:v>TT・ルーラー型</x:v>
      </x:c>
      <x:c r="G138" s="85" t="n">
        <x:v>52</x:v>
      </x:c>
      <x:c r="H138" s="85" t="n">
        <x:v>95</x:v>
      </x:c>
      <x:c r="I138" s="91" t="str">
        <x:v>ロードキャプテン / アシスト</x:v>
      </x:c>
      <x:c r="J138" s="91" t="str"/>
      <x:c r="K138" s="91" t="str">
        <x:v>バイクコントロール / TT適性</x:v>
      </x:c>
      <x:c r="L138" s="88" t="n">
        <x:v>5450</x:v>
      </x:c>
      <x:c r="M138" s="91" t="str">
        <x:v>位置取り、補給、戦術判断、落車復帰</x:v>
      </x:c>
      <x:c r="N138" s="91" t="str">
        <x:v>https://en.wikipedia.org/wiki/Special:Search?search=Alessandro%20Ballan%20cyclist</x:v>
      </x:c>
    </x:row>
    <x:row r="139" ht="22" customHeight="1">
      <x:c r="A139" s="82" t="n">
        <x:v>135</x:v>
      </x:c>
      <x:c r="B139" s="82" t="str">
        <x:v>Gregory Rast</x:v>
      </x:c>
      <x:c r="C139" s="82" t="str">
        <x:v>スイス</x:v>
      </x:c>
      <x:c r="D139" s="82" t="str">
        <x:v>近代</x:v>
      </x:c>
      <x:c r="E139" s="82" t="str">
        <x:v>クラシック型</x:v>
      </x:c>
      <x:c r="F139" s="82" t="str">
        <x:v>TT・ルーラー型</x:v>
      </x:c>
      <x:c r="G139" s="85" t="n">
        <x:v>48</x:v>
      </x:c>
      <x:c r="H139" s="85" t="n">
        <x:v>99</x:v>
      </x:c>
      <x:c r="I139" s="91" t="str">
        <x:v>ロードキャプテン / アシスト</x:v>
      </x:c>
      <x:c r="J139" s="91" t="str"/>
      <x:c r="K139" s="91" t="str">
        <x:v>バイクコントロール / TT適性</x:v>
      </x:c>
      <x:c r="L139" s="88" t="n">
        <x:v>5000</x:v>
      </x:c>
      <x:c r="M139" s="91" t="str">
        <x:v>位置取り、補給、戦術判断、落車復帰</x:v>
      </x:c>
      <x:c r="N139" s="91" t="str">
        <x:v>https://en.wikipedia.org/wiki/Special:Search?search=Gregory%20Rast%20cyclist</x:v>
      </x:c>
    </x:row>
    <x:row r="140" ht="22" customHeight="1">
      <x:c r="A140" s="82" t="n">
        <x:v>136</x:v>
      </x:c>
      <x:c r="B140" s="82" t="str">
        <x:v>Carlos Rodriguez</x:v>
      </x:c>
      <x:c r="C140" s="82" t="str">
        <x:v>スペイン</x:v>
      </x:c>
      <x:c r="D140" s="82" t="str">
        <x:v>現代</x:v>
      </x:c>
      <x:c r="E140" s="82" t="str">
        <x:v>総合型</x:v>
      </x:c>
      <x:c r="F140" s="82" t="str">
        <x:v>クライマー</x:v>
      </x:c>
      <x:c r="G140" s="85" t="n">
        <x:v>90</x:v>
      </x:c>
      <x:c r="H140" s="85" t="n">
        <x:v>80</x:v>
      </x:c>
      <x:c r="I140" s="91" t="str">
        <x:v>当日エース / 副エース</x:v>
      </x:c>
      <x:c r="J140" s="91" t="str"/>
      <x:c r="K140" s="91" t="str">
        <x:v>登坂力 / 下り / 日別回復</x:v>
      </x:c>
      <x:c r="L140" s="88" t="n">
        <x:v>8500</x:v>
      </x:c>
      <x:c r="M140" s="91" t="str">
        <x:v>総合安定、登坂、下り、若手エース</x:v>
      </x:c>
      <x:c r="N140" s="91" t="str">
        <x:v>https://en.wikipedia.org/wiki/Special:Search?search=Carlos%20Rodriguez%20cyclist</x:v>
      </x:c>
    </x:row>
    <x:row r="141" ht="22" customHeight="1">
      <x:c r="A141" s="82" t="n">
        <x:v>137</x:v>
      </x:c>
      <x:c r="B141" s="82" t="str">
        <x:v>Jonathan Milan</x:v>
      </x:c>
      <x:c r="C141" s="82" t="str">
        <x:v>イタリア</x:v>
      </x:c>
      <x:c r="D141" s="82" t="str">
        <x:v>現代</x:v>
      </x:c>
      <x:c r="E141" s="82" t="str">
        <x:v>スプリンター</x:v>
      </x:c>
      <x:c r="F141" s="82" t="str">
        <x:v>TT・ルーラー型</x:v>
      </x:c>
      <x:c r="G141" s="85" t="n">
        <x:v>94</x:v>
      </x:c>
      <x:c r="H141" s="85" t="n">
        <x:v>78</x:v>
      </x:c>
      <x:c r="I141" s="91" t="str">
        <x:v>当日エース / リードアウト</x:v>
      </x:c>
      <x:c r="J141" s="91" t="str"/>
      <x:c r="K141" s="91" t="str">
        <x:v>最高速 / リードアウト / TT適性</x:v>
      </x:c>
      <x:c r="L141" s="88" t="n">
        <x:v>8800</x:v>
      </x:c>
      <x:c r="M141" s="91" t="str">
        <x:v>大出力スプリント、巡航、トラック由来の速度</x:v>
      </x:c>
      <x:c r="N141" s="91" t="str">
        <x:v>https://en.wikipedia.org/wiki/Special:Search?search=Jonathan%20Milan%20cyclist</x:v>
      </x:c>
    </x:row>
    <x:row r="142" ht="22" customHeight="1">
      <x:c r="A142" s="82" t="n">
        <x:v>138</x:v>
      </x:c>
      <x:c r="B142" s="82" t="str">
        <x:v>Olav Kooij</x:v>
      </x:c>
      <x:c r="C142" s="82" t="str">
        <x:v>オランダ</x:v>
      </x:c>
      <x:c r="D142" s="82" t="str">
        <x:v>現代</x:v>
      </x:c>
      <x:c r="E142" s="82" t="str">
        <x:v>スプリンター</x:v>
      </x:c>
      <x:c r="F142" s="82" t="str">
        <x:v>TT・ルーラー型</x:v>
      </x:c>
      <x:c r="G142" s="85" t="n">
        <x:v>93</x:v>
      </x:c>
      <x:c r="H142" s="85" t="n">
        <x:v>77</x:v>
      </x:c>
      <x:c r="I142" s="91" t="str">
        <x:v>当日エース / リードアウト</x:v>
      </x:c>
      <x:c r="J142" s="91" t="str"/>
      <x:c r="K142" s="91" t="str">
        <x:v>最高速 / 位置取り / 集団スプリント</x:v>
      </x:c>
      <x:c r="L142" s="88" t="n">
        <x:v>8200</x:v>
      </x:c>
      <x:c r="M142" s="91" t="str">
        <x:v>最高速、位置取り、若さ、集団スプリント</x:v>
      </x:c>
      <x:c r="N142" s="91" t="str">
        <x:v>https://en.wikipedia.org/wiki/Special:Search?search=Olav%20Kooij%20cyclist</x:v>
      </x:c>
    </x:row>
    <x:row r="143" ht="22" customHeight="1">
      <x:c r="A143" s="82" t="n">
        <x:v>139</x:v>
      </x:c>
      <x:c r="B143" s="82" t="str">
        <x:v>Mark Renshaw</x:v>
      </x:c>
      <x:c r="C143" s="82" t="str">
        <x:v>オーストラリア</x:v>
      </x:c>
      <x:c r="D143" s="82" t="str">
        <x:v>近代</x:v>
      </x:c>
      <x:c r="E143" s="82" t="str">
        <x:v>スプリンター</x:v>
      </x:c>
      <x:c r="F143" s="82" t="str">
        <x:v>TT・ルーラー型</x:v>
      </x:c>
      <x:c r="G143" s="85" t="n">
        <x:v>63</x:v>
      </x:c>
      <x:c r="H143" s="85" t="n">
        <x:v>93</x:v>
      </x:c>
      <x:c r="I143" s="91" t="str">
        <x:v>リードアウト / アシスト</x:v>
      </x:c>
      <x:c r="J143" s="91" t="str"/>
      <x:c r="K143" s="91" t="str">
        <x:v>最高速 / TT適性</x:v>
      </x:c>
      <x:c r="L143" s="88" t="n">
        <x:v>6900</x:v>
      </x:c>
      <x:c r="M143" s="91" t="str">
        <x:v>高速隊列、最終加速、発射台</x:v>
      </x:c>
      <x:c r="N143" s="91" t="str">
        <x:v>https://en.wikipedia.org/wiki/Special:Search?search=Mark%20Renshaw%20cyclist</x:v>
      </x:c>
    </x:row>
    <x:row r="144" ht="22" customHeight="1">
      <x:c r="A144" s="82" t="n">
        <x:v>140</x:v>
      </x:c>
      <x:c r="B144" s="82" t="str">
        <x:v>Michael Morkov</x:v>
      </x:c>
      <x:c r="C144" s="82" t="str">
        <x:v>デンマーク</x:v>
      </x:c>
      <x:c r="D144" s="82" t="str">
        <x:v>近代</x:v>
      </x:c>
      <x:c r="E144" s="82" t="str">
        <x:v>スプリンター</x:v>
      </x:c>
      <x:c r="F144" s="82" t="str">
        <x:v>TT・ルーラー型</x:v>
      </x:c>
      <x:c r="G144" s="85" t="n">
        <x:v>56</x:v>
      </x:c>
      <x:c r="H144" s="85" t="n">
        <x:v>97</x:v>
      </x:c>
      <x:c r="I144" s="91" t="str">
        <x:v>リードアウト / アシスト</x:v>
      </x:c>
      <x:c r="J144" s="91" t="str"/>
      <x:c r="K144" s="91" t="str">
        <x:v>最高速 / TT適性</x:v>
      </x:c>
      <x:c r="L144" s="88" t="n">
        <x:v>6400</x:v>
      </x:c>
      <x:c r="M144" s="91" t="str">
        <x:v>高速隊列、最終加速、発射台</x:v>
      </x:c>
      <x:c r="N144" s="91" t="str">
        <x:v>https://en.wikipedia.org/wiki/Special:Search?search=Michael%20Morkov%20cyclist</x:v>
      </x:c>
    </x:row>
    <x:row r="145" ht="22" customHeight="1">
      <x:c r="A145" s="82" t="n">
        <x:v>141</x:v>
      </x:c>
      <x:c r="B145" s="82" t="str">
        <x:v>Iljo Keisse</x:v>
      </x:c>
      <x:c r="C145" s="82" t="str">
        <x:v>ベルギー</x:v>
      </x:c>
      <x:c r="D145" s="82" t="str">
        <x:v>近代</x:v>
      </x:c>
      <x:c r="E145" s="82" t="str">
        <x:v>スプリンター</x:v>
      </x:c>
      <x:c r="F145" s="82" t="str">
        <x:v>TT・ルーラー型</x:v>
      </x:c>
      <x:c r="G145" s="85" t="n">
        <x:v>57</x:v>
      </x:c>
      <x:c r="H145" s="85" t="n">
        <x:v>96</x:v>
      </x:c>
      <x:c r="I145" s="91" t="str">
        <x:v>リードアウト / アシスト</x:v>
      </x:c>
      <x:c r="J145" s="91" t="str"/>
      <x:c r="K145" s="91" t="str">
        <x:v>最高速 / TT適性</x:v>
      </x:c>
      <x:c r="L145" s="88" t="n">
        <x:v>5900</x:v>
      </x:c>
      <x:c r="M145" s="91" t="str">
        <x:v>高速隊列、最終加速、発射台</x:v>
      </x:c>
      <x:c r="N145" s="91" t="str">
        <x:v>https://en.wikipedia.org/wiki/Special:Search?search=Iljo%20Keisse%20cyclist</x:v>
      </x:c>
    </x:row>
    <x:row r="146" ht="22" customHeight="1">
      <x:c r="A146" s="82" t="n">
        <x:v>142</x:v>
      </x:c>
      <x:c r="B146" s="82" t="str">
        <x:v>Maximiliano Richeze</x:v>
      </x:c>
      <x:c r="C146" s="82" t="str">
        <x:v>アルゼンチン</x:v>
      </x:c>
      <x:c r="D146" s="82" t="str">
        <x:v>近代</x:v>
      </x:c>
      <x:c r="E146" s="82" t="str">
        <x:v>スプリンター</x:v>
      </x:c>
      <x:c r="F146" s="82" t="str">
        <x:v>TT・ルーラー型</x:v>
      </x:c>
      <x:c r="G146" s="85" t="n">
        <x:v>58</x:v>
      </x:c>
      <x:c r="H146" s="85" t="n">
        <x:v>95</x:v>
      </x:c>
      <x:c r="I146" s="91" t="str">
        <x:v>リードアウト / アシスト</x:v>
      </x:c>
      <x:c r="J146" s="91" t="str"/>
      <x:c r="K146" s="91" t="str">
        <x:v>最高速 / TT適性</x:v>
      </x:c>
      <x:c r="L146" s="88" t="n">
        <x:v>5400</x:v>
      </x:c>
      <x:c r="M146" s="91" t="str">
        <x:v>高速隊列、最終加速、発射台</x:v>
      </x:c>
      <x:c r="N146" s="91" t="str">
        <x:v>https://en.wikipedia.org/wiki/Special:Search?search=Maximiliano%20Richeze%20cyclist</x:v>
      </x:c>
    </x:row>
    <x:row r="147" ht="22" customHeight="1">
      <x:c r="A147" s="82" t="n">
        <x:v>143</x:v>
      </x:c>
      <x:c r="B147" s="82" t="str">
        <x:v>Fabio Sabatini</x:v>
      </x:c>
      <x:c r="C147" s="82" t="str">
        <x:v>イタリア</x:v>
      </x:c>
      <x:c r="D147" s="82" t="str">
        <x:v>近代</x:v>
      </x:c>
      <x:c r="E147" s="82" t="str">
        <x:v>スプリンター</x:v>
      </x:c>
      <x:c r="F147" s="82" t="str">
        <x:v>TT・ルーラー型</x:v>
      </x:c>
      <x:c r="G147" s="85" t="n">
        <x:v>59</x:v>
      </x:c>
      <x:c r="H147" s="85" t="n">
        <x:v>94</x:v>
      </x:c>
      <x:c r="I147" s="91" t="str">
        <x:v>リードアウト / アシスト</x:v>
      </x:c>
      <x:c r="J147" s="91" t="str"/>
      <x:c r="K147" s="91" t="str">
        <x:v>最高速 / TT適性</x:v>
      </x:c>
      <x:c r="L147" s="88" t="n">
        <x:v>4900</x:v>
      </x:c>
      <x:c r="M147" s="91" t="str">
        <x:v>高速隊列、最終加速、発射台</x:v>
      </x:c>
      <x:c r="N147" s="91" t="str">
        <x:v>https://en.wikipedia.org/wiki/Special:Search?search=Fabio%20Sabatini%20cyclist</x:v>
      </x:c>
    </x:row>
    <x:row r="148" ht="22" customHeight="1">
      <x:c r="A148" s="82" t="n">
        <x:v>144</x:v>
      </x:c>
      <x:c r="B148" s="82" t="str">
        <x:v>Jacopo Guarnieri</x:v>
      </x:c>
      <x:c r="C148" s="82" t="str">
        <x:v>イタリア</x:v>
      </x:c>
      <x:c r="D148" s="82" t="str">
        <x:v>現代</x:v>
      </x:c>
      <x:c r="E148" s="82" t="str">
        <x:v>スプリンター</x:v>
      </x:c>
      <x:c r="F148" s="82" t="str">
        <x:v>TT・ルーラー型</x:v>
      </x:c>
      <x:c r="G148" s="85" t="n">
        <x:v>60</x:v>
      </x:c>
      <x:c r="H148" s="85" t="n">
        <x:v>93</x:v>
      </x:c>
      <x:c r="I148" s="91" t="str">
        <x:v>リードアウト / アシスト</x:v>
      </x:c>
      <x:c r="J148" s="91" t="str"/>
      <x:c r="K148" s="91" t="str">
        <x:v>最高速 / TT適性</x:v>
      </x:c>
      <x:c r="L148" s="88" t="n">
        <x:v>4400</x:v>
      </x:c>
      <x:c r="M148" s="91" t="str">
        <x:v>高速隊列、最終加速、発射台</x:v>
      </x:c>
      <x:c r="N148" s="91" t="str">
        <x:v>https://en.wikipedia.org/wiki/Special:Search?search=Jacopo%20Guarnieri%20cyclist</x:v>
      </x:c>
    </x:row>
    <x:row r="149" ht="22" customHeight="1">
      <x:c r="A149" s="82" t="n">
        <x:v>145</x:v>
      </x:c>
      <x:c r="B149" s="82" t="str">
        <x:v>Greg Henderson</x:v>
      </x:c>
      <x:c r="C149" s="82" t="str">
        <x:v>ニュージーランド</x:v>
      </x:c>
      <x:c r="D149" s="82" t="str">
        <x:v>近代</x:v>
      </x:c>
      <x:c r="E149" s="82" t="str">
        <x:v>スプリンター</x:v>
      </x:c>
      <x:c r="F149" s="82" t="str">
        <x:v>TT・ルーラー型</x:v>
      </x:c>
      <x:c r="G149" s="85" t="n">
        <x:v>56</x:v>
      </x:c>
      <x:c r="H149" s="85" t="n">
        <x:v>97</x:v>
      </x:c>
      <x:c r="I149" s="91" t="str">
        <x:v>リードアウト / アシスト</x:v>
      </x:c>
      <x:c r="J149" s="91" t="str"/>
      <x:c r="K149" s="91" t="str">
        <x:v>最高速 / TT適性</x:v>
      </x:c>
      <x:c r="L149" s="88" t="n">
        <x:v>3900</x:v>
      </x:c>
      <x:c r="M149" s="91" t="str">
        <x:v>高速隊列、最終加速、発射台</x:v>
      </x:c>
      <x:c r="N149" s="91" t="str">
        <x:v>https://en.wikipedia.org/wiki/Special:Search?search=Greg%20Henderson%20cyclist</x:v>
      </x:c>
    </x:row>
    <x:row r="150" ht="22" customHeight="1">
      <x:c r="A150" s="82" t="n">
        <x:v>146</x:v>
      </x:c>
      <x:c r="B150" s="82" t="str">
        <x:v>Christophe Laporte</x:v>
      </x:c>
      <x:c r="C150" s="82" t="str">
        <x:v>フランス</x:v>
      </x:c>
      <x:c r="D150" s="82" t="str">
        <x:v>現代</x:v>
      </x:c>
      <x:c r="E150" s="82" t="str">
        <x:v>スプリンター</x:v>
      </x:c>
      <x:c r="F150" s="82" t="str">
        <x:v>TT・ルーラー型</x:v>
      </x:c>
      <x:c r="G150" s="85" t="n">
        <x:v>55</x:v>
      </x:c>
      <x:c r="H150" s="85" t="n">
        <x:v>96</x:v>
      </x:c>
      <x:c r="I150" s="91" t="str">
        <x:v>リードアウト / アシスト</x:v>
      </x:c>
      <x:c r="J150" s="91" t="str"/>
      <x:c r="K150" s="91" t="str">
        <x:v>最高速 / TT適性</x:v>
      </x:c>
      <x:c r="L150" s="88" t="n">
        <x:v>3400</x:v>
      </x:c>
      <x:c r="M150" s="91" t="str">
        <x:v>高速隊列、最終加速、発射台</x:v>
      </x:c>
      <x:c r="N150" s="91" t="str">
        <x:v>https://en.wikipedia.org/wiki/Special:Search?search=Christophe%20Laporte%20cyclist</x:v>
      </x:c>
    </x:row>
    <x:row r="151" ht="22" customHeight="1">
      <x:c r="A151" s="82" t="n">
        <x:v>147</x:v>
      </x:c>
      <x:c r="B151" s="82" t="str">
        <x:v>Mike Teunissen</x:v>
      </x:c>
      <x:c r="C151" s="82" t="str">
        <x:v>オランダ</x:v>
      </x:c>
      <x:c r="D151" s="82" t="str">
        <x:v>現代</x:v>
      </x:c>
      <x:c r="E151" s="82" t="str">
        <x:v>スプリンター</x:v>
      </x:c>
      <x:c r="F151" s="82" t="str">
        <x:v>TT・ルーラー型</x:v>
      </x:c>
      <x:c r="G151" s="85" t="n">
        <x:v>61</x:v>
      </x:c>
      <x:c r="H151" s="85" t="n">
        <x:v>95</x:v>
      </x:c>
      <x:c r="I151" s="91" t="str">
        <x:v>リードアウト / アシスト</x:v>
      </x:c>
      <x:c r="J151" s="91" t="str"/>
      <x:c r="K151" s="91" t="str">
        <x:v>最高速 / TT適性</x:v>
      </x:c>
      <x:c r="L151" s="88" t="n">
        <x:v>6900</x:v>
      </x:c>
      <x:c r="M151" s="91" t="str">
        <x:v>高速隊列、最終加速、発射台</x:v>
      </x:c>
      <x:c r="N151" s="91" t="str">
        <x:v>https://en.wikipedia.org/wiki/Special:Search?search=Mike%20Teunissen%20cyclist</x:v>
      </x:c>
    </x:row>
    <x:row r="152" ht="22" customHeight="1">
      <x:c r="A152" s="82" t="n">
        <x:v>148</x:v>
      </x:c>
      <x:c r="B152" s="82" t="str">
        <x:v>Danny van Poppel</x:v>
      </x:c>
      <x:c r="C152" s="82" t="str">
        <x:v>オランダ</x:v>
      </x:c>
      <x:c r="D152" s="82" t="str">
        <x:v>現代</x:v>
      </x:c>
      <x:c r="E152" s="82" t="str">
        <x:v>スプリンター</x:v>
      </x:c>
      <x:c r="F152" s="82" t="str">
        <x:v>TT・ルーラー型</x:v>
      </x:c>
      <x:c r="G152" s="85" t="n">
        <x:v>59</x:v>
      </x:c>
      <x:c r="H152" s="85" t="n">
        <x:v>94</x:v>
      </x:c>
      <x:c r="I152" s="91" t="str">
        <x:v>リードアウト / アシスト</x:v>
      </x:c>
      <x:c r="J152" s="91" t="str"/>
      <x:c r="K152" s="91" t="str">
        <x:v>最高速 / TT適性</x:v>
      </x:c>
      <x:c r="L152" s="88" t="n">
        <x:v>6400</x:v>
      </x:c>
      <x:c r="M152" s="91" t="str">
        <x:v>高速隊列、最終加速、発射台</x:v>
      </x:c>
      <x:c r="N152" s="91" t="str">
        <x:v>https://en.wikipedia.org/wiki/Special:Search?search=Danny%20van%20Poppel%20cyclist</x:v>
      </x:c>
    </x:row>
    <x:row r="153" ht="22" customHeight="1">
      <x:c r="A153" s="82" t="n">
        <x:v>149</x:v>
      </x:c>
      <x:c r="B153" s="82" t="str">
        <x:v>Boy van Poppel</x:v>
      </x:c>
      <x:c r="C153" s="82" t="str">
        <x:v>オランダ</x:v>
      </x:c>
      <x:c r="D153" s="82" t="str">
        <x:v>現代</x:v>
      </x:c>
      <x:c r="E153" s="82" t="str">
        <x:v>スプリンター</x:v>
      </x:c>
      <x:c r="F153" s="82" t="str">
        <x:v>TT・ルーラー型</x:v>
      </x:c>
      <x:c r="G153" s="85" t="n">
        <x:v>60</x:v>
      </x:c>
      <x:c r="H153" s="85" t="n">
        <x:v>93</x:v>
      </x:c>
      <x:c r="I153" s="91" t="str">
        <x:v>リードアウト / アシスト</x:v>
      </x:c>
      <x:c r="J153" s="91" t="str"/>
      <x:c r="K153" s="91" t="str">
        <x:v>最高速 / TT適性</x:v>
      </x:c>
      <x:c r="L153" s="88" t="n">
        <x:v>5900</x:v>
      </x:c>
      <x:c r="M153" s="91" t="str">
        <x:v>高速隊列、最終加速、発射台</x:v>
      </x:c>
      <x:c r="N153" s="91" t="str">
        <x:v>https://en.wikipedia.org/wiki/Special:Search?search=Boy%20van%20Poppel%20cyclist</x:v>
      </x:c>
    </x:row>
    <x:row r="154" ht="22" customHeight="1">
      <x:c r="A154" s="82" t="n">
        <x:v>150</x:v>
      </x:c>
      <x:c r="B154" s="82" t="str">
        <x:v>Ramon Sinkeldam</x:v>
      </x:c>
      <x:c r="C154" s="82" t="str">
        <x:v>オランダ</x:v>
      </x:c>
      <x:c r="D154" s="82" t="str">
        <x:v>近代</x:v>
      </x:c>
      <x:c r="E154" s="82" t="str">
        <x:v>スプリンター</x:v>
      </x:c>
      <x:c r="F154" s="82" t="str">
        <x:v>TT・ルーラー型</x:v>
      </x:c>
      <x:c r="G154" s="85" t="n">
        <x:v>56</x:v>
      </x:c>
      <x:c r="H154" s="85" t="n">
        <x:v>97</x:v>
      </x:c>
      <x:c r="I154" s="91" t="str">
        <x:v>リードアウト / アシスト</x:v>
      </x:c>
      <x:c r="J154" s="91" t="str"/>
      <x:c r="K154" s="91" t="str">
        <x:v>最高速 / TT適性</x:v>
      </x:c>
      <x:c r="L154" s="88" t="n">
        <x:v>5400</x:v>
      </x:c>
      <x:c r="M154" s="91" t="str">
        <x:v>高速隊列、最終加速、発射台</x:v>
      </x:c>
      <x:c r="N154" s="91" t="str">
        <x:v>https://en.wikipedia.org/wiki/Special:Search?search=Ramon%20Sinkeldam%20cyclist</x:v>
      </x:c>
    </x:row>
    <x:row r="155" ht="22" customHeight="1">
      <x:c r="A155" s="82" t="n">
        <x:v>151</x:v>
      </x:c>
      <x:c r="B155" s="82" t="str">
        <x:v>Roy Curvers</x:v>
      </x:c>
      <x:c r="C155" s="82" t="str">
        <x:v>オランダ</x:v>
      </x:c>
      <x:c r="D155" s="82" t="str">
        <x:v>近代</x:v>
      </x:c>
      <x:c r="E155" s="82" t="str">
        <x:v>スプリンター</x:v>
      </x:c>
      <x:c r="F155" s="82" t="str">
        <x:v>TT・ルーラー型</x:v>
      </x:c>
      <x:c r="G155" s="85" t="n">
        <x:v>57</x:v>
      </x:c>
      <x:c r="H155" s="85" t="n">
        <x:v>96</x:v>
      </x:c>
      <x:c r="I155" s="91" t="str">
        <x:v>リードアウト / アシスト</x:v>
      </x:c>
      <x:c r="J155" s="91" t="str"/>
      <x:c r="K155" s="91" t="str">
        <x:v>最高速 / TT適性</x:v>
      </x:c>
      <x:c r="L155" s="88" t="n">
        <x:v>4900</x:v>
      </x:c>
      <x:c r="M155" s="91" t="str">
        <x:v>高速隊列、最終加速、発射台</x:v>
      </x:c>
      <x:c r="N155" s="91" t="str">
        <x:v>https://en.wikipedia.org/wiki/Special:Search?search=Roy%20Curvers%20cyclist</x:v>
      </x:c>
    </x:row>
    <x:row r="156" ht="22" customHeight="1">
      <x:c r="A156" s="82" t="n">
        <x:v>152</x:v>
      </x:c>
      <x:c r="B156" s="82" t="str">
        <x:v>Nikias Arndt</x:v>
      </x:c>
      <x:c r="C156" s="82" t="str">
        <x:v>ドイツ</x:v>
      </x:c>
      <x:c r="D156" s="82" t="str">
        <x:v>現代</x:v>
      </x:c>
      <x:c r="E156" s="82" t="str">
        <x:v>スプリンター</x:v>
      </x:c>
      <x:c r="F156" s="82" t="str">
        <x:v>TT・ルーラー型</x:v>
      </x:c>
      <x:c r="G156" s="85" t="n">
        <x:v>58</x:v>
      </x:c>
      <x:c r="H156" s="85" t="n">
        <x:v>95</x:v>
      </x:c>
      <x:c r="I156" s="91" t="str">
        <x:v>リードアウト / アシスト</x:v>
      </x:c>
      <x:c r="J156" s="91" t="str"/>
      <x:c r="K156" s="91" t="str">
        <x:v>最高速 / TT適性</x:v>
      </x:c>
      <x:c r="L156" s="88" t="n">
        <x:v>4400</x:v>
      </x:c>
      <x:c r="M156" s="91" t="str">
        <x:v>高速隊列、最終加速、発射台</x:v>
      </x:c>
      <x:c r="N156" s="91" t="str">
        <x:v>https://en.wikipedia.org/wiki/Special:Search?search=Nikias%20Arndt%20cyclist</x:v>
      </x:c>
    </x:row>
    <x:row r="157" ht="22" customHeight="1">
      <x:c r="A157" s="82" t="n">
        <x:v>153</x:v>
      </x:c>
      <x:c r="B157" s="82" t="str">
        <x:v>Roger Kluge</x:v>
      </x:c>
      <x:c r="C157" s="82" t="str">
        <x:v>ドイツ</x:v>
      </x:c>
      <x:c r="D157" s="82" t="str">
        <x:v>現代</x:v>
      </x:c>
      <x:c r="E157" s="82" t="str">
        <x:v>スプリンター</x:v>
      </x:c>
      <x:c r="F157" s="82" t="str">
        <x:v>TT・ルーラー型</x:v>
      </x:c>
      <x:c r="G157" s="85" t="n">
        <x:v>59</x:v>
      </x:c>
      <x:c r="H157" s="85" t="n">
        <x:v>94</x:v>
      </x:c>
      <x:c r="I157" s="91" t="str">
        <x:v>リードアウト / アシスト</x:v>
      </x:c>
      <x:c r="J157" s="91" t="str"/>
      <x:c r="K157" s="91" t="str">
        <x:v>最高速 / TT適性</x:v>
      </x:c>
      <x:c r="L157" s="88" t="n">
        <x:v>3900</x:v>
      </x:c>
      <x:c r="M157" s="91" t="str">
        <x:v>高速隊列、最終加速、発射台</x:v>
      </x:c>
      <x:c r="N157" s="91" t="str">
        <x:v>https://en.wikipedia.org/wiki/Special:Search?search=Roger%20Kluge%20cyclist</x:v>
      </x:c>
    </x:row>
    <x:row r="158" ht="22" customHeight="1">
      <x:c r="A158" s="82" t="n">
        <x:v>154</x:v>
      </x:c>
      <x:c r="B158" s="82" t="str">
        <x:v>Jasper De Buyst</x:v>
      </x:c>
      <x:c r="C158" s="82" t="str">
        <x:v>ベルギー</x:v>
      </x:c>
      <x:c r="D158" s="82" t="str">
        <x:v>現代</x:v>
      </x:c>
      <x:c r="E158" s="82" t="str">
        <x:v>スプリンター</x:v>
      </x:c>
      <x:c r="F158" s="82" t="str">
        <x:v>TT・ルーラー型</x:v>
      </x:c>
      <x:c r="G158" s="85" t="n">
        <x:v>58</x:v>
      </x:c>
      <x:c r="H158" s="85" t="n">
        <x:v>93</x:v>
      </x:c>
      <x:c r="I158" s="91" t="str">
        <x:v>リードアウト / アシスト</x:v>
      </x:c>
      <x:c r="J158" s="91" t="str"/>
      <x:c r="K158" s="91" t="str">
        <x:v>最高速 / TT適性</x:v>
      </x:c>
      <x:c r="L158" s="88" t="n">
        <x:v>3400</x:v>
      </x:c>
      <x:c r="M158" s="91" t="str">
        <x:v>高速隊列、最終加速、発射台</x:v>
      </x:c>
      <x:c r="N158" s="91" t="str">
        <x:v>https://en.wikipedia.org/wiki/Special:Search?search=Jasper%20De%20Buyst%20cyclist</x:v>
      </x:c>
    </x:row>
    <x:row r="159" ht="22" customHeight="1">
      <x:c r="A159" s="82" t="n">
        <x:v>155</x:v>
      </x:c>
      <x:c r="B159" s="82" t="str">
        <x:v>Luka Mezgec</x:v>
      </x:c>
      <x:c r="C159" s="82" t="str">
        <x:v>スロベニア</x:v>
      </x:c>
      <x:c r="D159" s="82" t="str">
        <x:v>現代</x:v>
      </x:c>
      <x:c r="E159" s="82" t="str">
        <x:v>スプリンター</x:v>
      </x:c>
      <x:c r="F159" s="82" t="str">
        <x:v>TT・ルーラー型</x:v>
      </x:c>
      <x:c r="G159" s="85" t="n">
        <x:v>59</x:v>
      </x:c>
      <x:c r="H159" s="85" t="n">
        <x:v>97</x:v>
      </x:c>
      <x:c r="I159" s="91" t="str">
        <x:v>リードアウト / アシスト</x:v>
      </x:c>
      <x:c r="J159" s="91" t="str"/>
      <x:c r="K159" s="91" t="str">
        <x:v>最高速 / TT適性</x:v>
      </x:c>
      <x:c r="L159" s="88" t="n">
        <x:v>6900</x:v>
      </x:c>
      <x:c r="M159" s="91" t="str">
        <x:v>高速隊列、最終加速、発射台</x:v>
      </x:c>
      <x:c r="N159" s="91" t="str">
        <x:v>https://en.wikipedia.org/wiki/Special:Search?search=Luka%20Mezgec%20cyclist</x:v>
      </x:c>
    </x:row>
    <x:row r="160" ht="22" customHeight="1">
      <x:c r="A160" s="82" t="n">
        <x:v>156</x:v>
      </x:c>
      <x:c r="B160" s="82" t="str">
        <x:v>Edward Theuns</x:v>
      </x:c>
      <x:c r="C160" s="82" t="str">
        <x:v>ベルギー</x:v>
      </x:c>
      <x:c r="D160" s="82" t="str">
        <x:v>現代</x:v>
      </x:c>
      <x:c r="E160" s="82" t="str">
        <x:v>スプリンター</x:v>
      </x:c>
      <x:c r="F160" s="82" t="str">
        <x:v>TT・ルーラー型</x:v>
      </x:c>
      <x:c r="G160" s="85" t="n">
        <x:v>57</x:v>
      </x:c>
      <x:c r="H160" s="85" t="n">
        <x:v>96</x:v>
      </x:c>
      <x:c r="I160" s="91" t="str">
        <x:v>リードアウト / アシスト</x:v>
      </x:c>
      <x:c r="J160" s="91" t="str"/>
      <x:c r="K160" s="91" t="str">
        <x:v>最高速 / TT適性</x:v>
      </x:c>
      <x:c r="L160" s="88" t="n">
        <x:v>6400</x:v>
      </x:c>
      <x:c r="M160" s="91" t="str">
        <x:v>高速隊列、最終加速、発射台</x:v>
      </x:c>
      <x:c r="N160" s="91" t="str">
        <x:v>https://en.wikipedia.org/wiki/Special:Search?search=Edward%20Theuns%20cyclist</x:v>
      </x:c>
    </x:row>
    <x:row r="161" ht="22" customHeight="1">
      <x:c r="A161" s="82" t="n">
        <x:v>157</x:v>
      </x:c>
      <x:c r="B161" s="82" t="str">
        <x:v>Bert Van Lerberghe</x:v>
      </x:c>
      <x:c r="C161" s="82" t="str">
        <x:v>ベルギー</x:v>
      </x:c>
      <x:c r="D161" s="82" t="str">
        <x:v>現代</x:v>
      </x:c>
      <x:c r="E161" s="82" t="str">
        <x:v>スプリンター</x:v>
      </x:c>
      <x:c r="F161" s="82" t="str">
        <x:v>TT・ルーラー型</x:v>
      </x:c>
      <x:c r="G161" s="85" t="n">
        <x:v>58</x:v>
      </x:c>
      <x:c r="H161" s="85" t="n">
        <x:v>95</x:v>
      </x:c>
      <x:c r="I161" s="91" t="str">
        <x:v>リードアウト / アシスト</x:v>
      </x:c>
      <x:c r="J161" s="91" t="str"/>
      <x:c r="K161" s="91" t="str">
        <x:v>最高速 / TT適性</x:v>
      </x:c>
      <x:c r="L161" s="88" t="n">
        <x:v>5900</x:v>
      </x:c>
      <x:c r="M161" s="91" t="str">
        <x:v>高速隊列、最終加速、発射台</x:v>
      </x:c>
      <x:c r="N161" s="91" t="str">
        <x:v>https://en.wikipedia.org/wiki/Special:Search?search=Bert%20Van%20Lerberghe%20cyclist</x:v>
      </x:c>
    </x:row>
    <x:row r="162" ht="22" customHeight="1">
      <x:c r="A162" s="82" t="n">
        <x:v>158</x:v>
      </x:c>
      <x:c r="B162" s="82" t="str">
        <x:v>Simone Consonni</x:v>
      </x:c>
      <x:c r="C162" s="82" t="str">
        <x:v>イタリア</x:v>
      </x:c>
      <x:c r="D162" s="82" t="str">
        <x:v>現代</x:v>
      </x:c>
      <x:c r="E162" s="82" t="str">
        <x:v>スプリンター</x:v>
      </x:c>
      <x:c r="F162" s="82" t="str">
        <x:v>TT・ルーラー型</x:v>
      </x:c>
      <x:c r="G162" s="85" t="n">
        <x:v>59</x:v>
      </x:c>
      <x:c r="H162" s="85" t="n">
        <x:v>94</x:v>
      </x:c>
      <x:c r="I162" s="91" t="str">
        <x:v>リードアウト / アシスト</x:v>
      </x:c>
      <x:c r="J162" s="91" t="str"/>
      <x:c r="K162" s="91" t="str">
        <x:v>最高速 / TT適性</x:v>
      </x:c>
      <x:c r="L162" s="88" t="n">
        <x:v>5400</x:v>
      </x:c>
      <x:c r="M162" s="91" t="str">
        <x:v>高速隊列、最終加速、発射台</x:v>
      </x:c>
      <x:c r="N162" s="91" t="str">
        <x:v>https://en.wikipedia.org/wiki/Special:Search?search=Simone%20Consonni%20cyclist</x:v>
      </x:c>
    </x:row>
    <x:row r="163" ht="22" customHeight="1">
      <x:c r="A163" s="82" t="n">
        <x:v>159</x:v>
      </x:c>
      <x:c r="B163" s="82" t="str">
        <x:v>Davide Ballerini</x:v>
      </x:c>
      <x:c r="C163" s="82" t="str">
        <x:v>イタリア</x:v>
      </x:c>
      <x:c r="D163" s="82" t="str">
        <x:v>現代</x:v>
      </x:c>
      <x:c r="E163" s="82" t="str">
        <x:v>スプリンター</x:v>
      </x:c>
      <x:c r="F163" s="82" t="str">
        <x:v>TT・ルーラー型</x:v>
      </x:c>
      <x:c r="G163" s="85" t="n">
        <x:v>60</x:v>
      </x:c>
      <x:c r="H163" s="85" t="n">
        <x:v>93</x:v>
      </x:c>
      <x:c r="I163" s="91" t="str">
        <x:v>リードアウト / アシスト</x:v>
      </x:c>
      <x:c r="J163" s="91" t="str"/>
      <x:c r="K163" s="91" t="str">
        <x:v>最高速 / TT適性</x:v>
      </x:c>
      <x:c r="L163" s="88" t="n">
        <x:v>4900</x:v>
      </x:c>
      <x:c r="M163" s="91" t="str">
        <x:v>高速隊列、最終加速、発射台</x:v>
      </x:c>
      <x:c r="N163" s="91" t="str">
        <x:v>https://en.wikipedia.org/wiki/Special:Search?search=Davide%20Ballerini%20cyclist</x:v>
      </x:c>
    </x:row>
    <x:row r="164" ht="22" customHeight="1">
      <x:c r="A164" s="82" t="n">
        <x:v>160</x:v>
      </x:c>
      <x:c r="B164" s="82" t="str">
        <x:v>Jurgen Roelandts</x:v>
      </x:c>
      <x:c r="C164" s="82" t="str">
        <x:v>ベルギー</x:v>
      </x:c>
      <x:c r="D164" s="82" t="str">
        <x:v>近代</x:v>
      </x:c>
      <x:c r="E164" s="82" t="str">
        <x:v>スプリンター</x:v>
      </x:c>
      <x:c r="F164" s="82" t="str">
        <x:v>TT・ルーラー型</x:v>
      </x:c>
      <x:c r="G164" s="85" t="n">
        <x:v>56</x:v>
      </x:c>
      <x:c r="H164" s="85" t="n">
        <x:v>97</x:v>
      </x:c>
      <x:c r="I164" s="91" t="str">
        <x:v>リードアウト / アシスト</x:v>
      </x:c>
      <x:c r="J164" s="91" t="str"/>
      <x:c r="K164" s="91" t="str">
        <x:v>最高速 / TT適性</x:v>
      </x:c>
      <x:c r="L164" s="88" t="n">
        <x:v>4400</x:v>
      </x:c>
      <x:c r="M164" s="91" t="str">
        <x:v>高速隊列、最終加速、発射台</x:v>
      </x:c>
      <x:c r="N164" s="91" t="str">
        <x:v>https://en.wikipedia.org/wiki/Special:Search?search=Jurgen%20Roelandts%20cyclist</x:v>
      </x:c>
    </x:row>
    <x:row r="165" ht="22" customHeight="1">
      <x:c r="A165" s="82" t="n">
        <x:v>161</x:v>
      </x:c>
      <x:c r="B165" s="82" t="str">
        <x:v>Gert Steegmans</x:v>
      </x:c>
      <x:c r="C165" s="82" t="str">
        <x:v>ベルギー</x:v>
      </x:c>
      <x:c r="D165" s="82" t="str">
        <x:v>近代</x:v>
      </x:c>
      <x:c r="E165" s="82" t="str">
        <x:v>スプリンター</x:v>
      </x:c>
      <x:c r="F165" s="82" t="str">
        <x:v>TT・ルーラー型</x:v>
      </x:c>
      <x:c r="G165" s="85" t="n">
        <x:v>57</x:v>
      </x:c>
      <x:c r="H165" s="85" t="n">
        <x:v>96</x:v>
      </x:c>
      <x:c r="I165" s="91" t="str">
        <x:v>リードアウト / アシスト</x:v>
      </x:c>
      <x:c r="J165" s="91" t="str"/>
      <x:c r="K165" s="91" t="str">
        <x:v>最高速 / TT適性</x:v>
      </x:c>
      <x:c r="L165" s="88" t="n">
        <x:v>3900</x:v>
      </x:c>
      <x:c r="M165" s="91" t="str">
        <x:v>高速隊列、最終加速、発射台</x:v>
      </x:c>
      <x:c r="N165" s="91" t="str">
        <x:v>https://en.wikipedia.org/wiki/Special:Search?search=Gert%20Steegmans%20cyclist</x:v>
      </x:c>
    </x:row>
    <x:row r="166" ht="22" customHeight="1">
      <x:c r="A166" s="82" t="n">
        <x:v>162</x:v>
      </x:c>
      <x:c r="B166" s="82" t="str">
        <x:v>Matthew Goss</x:v>
      </x:c>
      <x:c r="C166" s="82" t="str">
        <x:v>オーストラリア</x:v>
      </x:c>
      <x:c r="D166" s="82" t="str">
        <x:v>近代</x:v>
      </x:c>
      <x:c r="E166" s="82" t="str">
        <x:v>スプリンター</x:v>
      </x:c>
      <x:c r="F166" s="82" t="str">
        <x:v>TT・ルーラー型</x:v>
      </x:c>
      <x:c r="G166" s="85" t="n">
        <x:v>56</x:v>
      </x:c>
      <x:c r="H166" s="85" t="n">
        <x:v>95</x:v>
      </x:c>
      <x:c r="I166" s="91" t="str">
        <x:v>リードアウト / アシスト</x:v>
      </x:c>
      <x:c r="J166" s="91" t="str"/>
      <x:c r="K166" s="91" t="str">
        <x:v>最高速 / TT適性</x:v>
      </x:c>
      <x:c r="L166" s="88" t="n">
        <x:v>3400</x:v>
      </x:c>
      <x:c r="M166" s="91" t="str">
        <x:v>高速隊列、最終加速、発射台</x:v>
      </x:c>
      <x:c r="N166" s="91" t="str">
        <x:v>https://en.wikipedia.org/wiki/Special:Search?search=Matthew%20Goss%20cyclist</x:v>
      </x:c>
    </x:row>
    <x:row r="167" ht="22" customHeight="1">
      <x:c r="A167" s="82" t="n">
        <x:v>163</x:v>
      </x:c>
      <x:c r="B167" s="82" t="str">
        <x:v>Daniel Oss</x:v>
      </x:c>
      <x:c r="C167" s="82" t="str">
        <x:v>イタリア</x:v>
      </x:c>
      <x:c r="D167" s="82" t="str">
        <x:v>近代</x:v>
      </x:c>
      <x:c r="E167" s="82" t="str">
        <x:v>クラシック型</x:v>
      </x:c>
      <x:c r="F167" s="82" t="str">
        <x:v>パンチャー</x:v>
      </x:c>
      <x:c r="G167" s="85" t="n">
        <x:v>65</x:v>
      </x:c>
      <x:c r="H167" s="85" t="n">
        <x:v>92</x:v>
      </x:c>
      <x:c r="I167" s="91" t="str">
        <x:v>アシスト / ロードキャプテン</x:v>
      </x:c>
      <x:c r="J167" s="91" t="str"/>
      <x:c r="K167" s="91" t="str">
        <x:v>バイクコントロール / 反復加速</x:v>
      </x:c>
      <x:c r="L167" s="88" t="n">
        <x:v>6500</x:v>
      </x:c>
      <x:c r="M167" s="91" t="str">
        <x:v>悪路護衛、落車回避、位置取り</x:v>
      </x:c>
      <x:c r="N167" s="91" t="str">
        <x:v>https://en.wikipedia.org/wiki/Special:Search?search=Daniel%20Oss%20cyclist</x:v>
      </x:c>
    </x:row>
    <x:row r="168" ht="22" customHeight="1">
      <x:c r="A168" s="82" t="n">
        <x:v>164</x:v>
      </x:c>
      <x:c r="B168" s="82" t="str">
        <x:v>Heinrich Haussler</x:v>
      </x:c>
      <x:c r="C168" s="82" t="str">
        <x:v>オーストラリア</x:v>
      </x:c>
      <x:c r="D168" s="82" t="str">
        <x:v>近代</x:v>
      </x:c>
      <x:c r="E168" s="82" t="str">
        <x:v>クラシック型</x:v>
      </x:c>
      <x:c r="F168" s="82" t="str">
        <x:v>パンチャー</x:v>
      </x:c>
      <x:c r="G168" s="85" t="n">
        <x:v>63</x:v>
      </x:c>
      <x:c r="H168" s="85" t="n">
        <x:v>91</x:v>
      </x:c>
      <x:c r="I168" s="91" t="str">
        <x:v>アシスト / ロードキャプテン</x:v>
      </x:c>
      <x:c r="J168" s="91" t="str"/>
      <x:c r="K168" s="91" t="str">
        <x:v>バイクコントロール / 反復加速</x:v>
      </x:c>
      <x:c r="L168" s="88" t="n">
        <x:v>6000</x:v>
      </x:c>
      <x:c r="M168" s="91" t="str">
        <x:v>悪路護衛、落車回避、位置取り</x:v>
      </x:c>
      <x:c r="N168" s="91" t="str">
        <x:v>https://en.wikipedia.org/wiki/Special:Search?search=Heinrich%20Haussler%20cyclist</x:v>
      </x:c>
    </x:row>
    <x:row r="169" ht="22" customHeight="1">
      <x:c r="A169" s="82" t="n">
        <x:v>165</x:v>
      </x:c>
      <x:c r="B169" s="82" t="str">
        <x:v>Lars Boom</x:v>
      </x:c>
      <x:c r="C169" s="82" t="str">
        <x:v>オランダ</x:v>
      </x:c>
      <x:c r="D169" s="82" t="str">
        <x:v>近代</x:v>
      </x:c>
      <x:c r="E169" s="82" t="str">
        <x:v>クラシック型</x:v>
      </x:c>
      <x:c r="F169" s="82" t="str">
        <x:v>パンチャー</x:v>
      </x:c>
      <x:c r="G169" s="85" t="n">
        <x:v>59</x:v>
      </x:c>
      <x:c r="H169" s="85" t="n">
        <x:v>95</x:v>
      </x:c>
      <x:c r="I169" s="91" t="str">
        <x:v>アシスト / ロードキャプテン</x:v>
      </x:c>
      <x:c r="J169" s="91" t="str"/>
      <x:c r="K169" s="91" t="str">
        <x:v>バイクコントロール / 反復加速</x:v>
      </x:c>
      <x:c r="L169" s="88" t="n">
        <x:v>5500</x:v>
      </x:c>
      <x:c r="M169" s="91" t="str">
        <x:v>悪路護衛、落車回避、位置取り</x:v>
      </x:c>
      <x:c r="N169" s="91" t="str">
        <x:v>https://en.wikipedia.org/wiki/Special:Search?search=Lars%20Boom%20cyclist</x:v>
      </x:c>
    </x:row>
    <x:row r="170" ht="22" customHeight="1">
      <x:c r="A170" s="82" t="n">
        <x:v>166</x:v>
      </x:c>
      <x:c r="B170" s="82" t="str">
        <x:v>Sep Vanmarcke</x:v>
      </x:c>
      <x:c r="C170" s="82" t="str">
        <x:v>ベルギー</x:v>
      </x:c>
      <x:c r="D170" s="82" t="str">
        <x:v>現代</x:v>
      </x:c>
      <x:c r="E170" s="82" t="str">
        <x:v>クラシック型</x:v>
      </x:c>
      <x:c r="F170" s="82" t="str">
        <x:v>パンチャー</x:v>
      </x:c>
      <x:c r="G170" s="85" t="n">
        <x:v>60</x:v>
      </x:c>
      <x:c r="H170" s="85" t="n">
        <x:v>94</x:v>
      </x:c>
      <x:c r="I170" s="91" t="str">
        <x:v>アシスト / ロードキャプテン</x:v>
      </x:c>
      <x:c r="J170" s="91" t="str"/>
      <x:c r="K170" s="91" t="str">
        <x:v>バイクコントロール / 反復加速</x:v>
      </x:c>
      <x:c r="L170" s="88" t="n">
        <x:v>5000</x:v>
      </x:c>
      <x:c r="M170" s="91" t="str">
        <x:v>悪路護衛、落車回避、位置取り</x:v>
      </x:c>
      <x:c r="N170" s="91" t="str">
        <x:v>https://en.wikipedia.org/wiki/Special:Search?search=Sep%20Vanmarcke%20cyclist</x:v>
      </x:c>
    </x:row>
    <x:row r="171" ht="22" customHeight="1">
      <x:c r="A171" s="82" t="n">
        <x:v>167</x:v>
      </x:c>
      <x:c r="B171" s="82" t="str">
        <x:v>Leif Hoste</x:v>
      </x:c>
      <x:c r="C171" s="82" t="str">
        <x:v>ベルギー</x:v>
      </x:c>
      <x:c r="D171" s="82" t="str">
        <x:v>近代</x:v>
      </x:c>
      <x:c r="E171" s="82" t="str">
        <x:v>クラシック型</x:v>
      </x:c>
      <x:c r="F171" s="82" t="str">
        <x:v>パンチャー</x:v>
      </x:c>
      <x:c r="G171" s="85" t="n">
        <x:v>61</x:v>
      </x:c>
      <x:c r="H171" s="85" t="n">
        <x:v>93</x:v>
      </x:c>
      <x:c r="I171" s="91" t="str">
        <x:v>アシスト / ロードキャプテン</x:v>
      </x:c>
      <x:c r="J171" s="91" t="str"/>
      <x:c r="K171" s="91" t="str">
        <x:v>バイクコントロール / 反復加速</x:v>
      </x:c>
      <x:c r="L171" s="88" t="n">
        <x:v>4500</x:v>
      </x:c>
      <x:c r="M171" s="91" t="str">
        <x:v>悪路護衛、落車回避、位置取り</x:v>
      </x:c>
      <x:c r="N171" s="91" t="str">
        <x:v>https://en.wikipedia.org/wiki/Special:Search?search=Leif%20Hoste%20cyclist</x:v>
      </x:c>
    </x:row>
    <x:row r="172" ht="22" customHeight="1">
      <x:c r="A172" s="82" t="n">
        <x:v>168</x:v>
      </x:c>
      <x:c r="B172" s="82" t="str">
        <x:v>Stijn Vandenbergh</x:v>
      </x:c>
      <x:c r="C172" s="82" t="str">
        <x:v>ベルギー</x:v>
      </x:c>
      <x:c r="D172" s="82" t="str">
        <x:v>近代</x:v>
      </x:c>
      <x:c r="E172" s="82" t="str">
        <x:v>クラシック型</x:v>
      </x:c>
      <x:c r="F172" s="82" t="str">
        <x:v>パンチャー</x:v>
      </x:c>
      <x:c r="G172" s="85" t="n">
        <x:v>62</x:v>
      </x:c>
      <x:c r="H172" s="85" t="n">
        <x:v>92</x:v>
      </x:c>
      <x:c r="I172" s="91" t="str">
        <x:v>アシスト / ロードキャプテン</x:v>
      </x:c>
      <x:c r="J172" s="91" t="str"/>
      <x:c r="K172" s="91" t="str">
        <x:v>バイクコントロール / 反復加速</x:v>
      </x:c>
      <x:c r="L172" s="88" t="n">
        <x:v>4000</x:v>
      </x:c>
      <x:c r="M172" s="91" t="str">
        <x:v>悪路護衛、落車回避、位置取り</x:v>
      </x:c>
      <x:c r="N172" s="91" t="str">
        <x:v>https://en.wikipedia.org/wiki/Special:Search?search=Stijn%20Vandenbergh%20cyclist</x:v>
      </x:c>
    </x:row>
    <x:row r="173" ht="22" customHeight="1">
      <x:c r="A173" s="82" t="n">
        <x:v>169</x:v>
      </x:c>
      <x:c r="B173" s="82" t="str">
        <x:v>Maarten Wynants</x:v>
      </x:c>
      <x:c r="C173" s="82" t="str">
        <x:v>ベルギー</x:v>
      </x:c>
      <x:c r="D173" s="82" t="str">
        <x:v>近代</x:v>
      </x:c>
      <x:c r="E173" s="82" t="str">
        <x:v>クラシック型</x:v>
      </x:c>
      <x:c r="F173" s="82" t="str">
        <x:v>パンチャー</x:v>
      </x:c>
      <x:c r="G173" s="85" t="n">
        <x:v>61</x:v>
      </x:c>
      <x:c r="H173" s="85" t="n">
        <x:v>91</x:v>
      </x:c>
      <x:c r="I173" s="91" t="str">
        <x:v>アシスト / ロードキャプテン</x:v>
      </x:c>
      <x:c r="J173" s="91" t="str"/>
      <x:c r="K173" s="91" t="str">
        <x:v>バイクコントロール / 反復加速</x:v>
      </x:c>
      <x:c r="L173" s="88" t="n">
        <x:v>3500</x:v>
      </x:c>
      <x:c r="M173" s="91" t="str">
        <x:v>悪路護衛、落車回避、位置取り</x:v>
      </x:c>
      <x:c r="N173" s="91" t="str">
        <x:v>https://en.wikipedia.org/wiki/Special:Search?search=Maarten%20Wynants%20cyclist</x:v>
      </x:c>
    </x:row>
    <x:row r="174" ht="22" customHeight="1">
      <x:c r="A174" s="82" t="n">
        <x:v>170</x:v>
      </x:c>
      <x:c r="B174" s="82" t="str">
        <x:v>Sebastian Langeveld</x:v>
      </x:c>
      <x:c r="C174" s="82" t="str">
        <x:v>オランダ</x:v>
      </x:c>
      <x:c r="D174" s="82" t="str">
        <x:v>近代</x:v>
      </x:c>
      <x:c r="E174" s="82" t="str">
        <x:v>クラシック型</x:v>
      </x:c>
      <x:c r="F174" s="82" t="str">
        <x:v>パンチャー</x:v>
      </x:c>
      <x:c r="G174" s="85" t="n">
        <x:v>62</x:v>
      </x:c>
      <x:c r="H174" s="85" t="n">
        <x:v>95</x:v>
      </x:c>
      <x:c r="I174" s="91" t="str">
        <x:v>アシスト / ロードキャプテン</x:v>
      </x:c>
      <x:c r="J174" s="91" t="str"/>
      <x:c r="K174" s="91" t="str">
        <x:v>バイクコントロール / 反復加速</x:v>
      </x:c>
      <x:c r="L174" s="88" t="n">
        <x:v>6500</x:v>
      </x:c>
      <x:c r="M174" s="91" t="str">
        <x:v>悪路護衛、落車回避、位置取り</x:v>
      </x:c>
      <x:c r="N174" s="91" t="str">
        <x:v>https://en.wikipedia.org/wiki/Special:Search?search=Sebastian%20Langeveld%20cyclist</x:v>
      </x:c>
    </x:row>
    <x:row r="175" ht="22" customHeight="1">
      <x:c r="A175" s="82" t="n">
        <x:v>171</x:v>
      </x:c>
      <x:c r="B175" s="82" t="str">
        <x:v>Marco Haller</x:v>
      </x:c>
      <x:c r="C175" s="82" t="str">
        <x:v>オーストリア</x:v>
      </x:c>
      <x:c r="D175" s="82" t="str">
        <x:v>現代</x:v>
      </x:c>
      <x:c r="E175" s="82" t="str">
        <x:v>クラシック型</x:v>
      </x:c>
      <x:c r="F175" s="82" t="str">
        <x:v>パンチャー</x:v>
      </x:c>
      <x:c r="G175" s="85" t="n">
        <x:v>60</x:v>
      </x:c>
      <x:c r="H175" s="85" t="n">
        <x:v>94</x:v>
      </x:c>
      <x:c r="I175" s="91" t="str">
        <x:v>アシスト / ロードキャプテン</x:v>
      </x:c>
      <x:c r="J175" s="91" t="str"/>
      <x:c r="K175" s="91" t="str">
        <x:v>バイクコントロール / 反復加速</x:v>
      </x:c>
      <x:c r="L175" s="88" t="n">
        <x:v>6000</x:v>
      </x:c>
      <x:c r="M175" s="91" t="str">
        <x:v>悪路護衛、落車回避、位置取り</x:v>
      </x:c>
      <x:c r="N175" s="91" t="str">
        <x:v>https://en.wikipedia.org/wiki/Special:Search?search=Marco%20Haller%20cyclist</x:v>
      </x:c>
    </x:row>
    <x:row r="176" ht="22" customHeight="1">
      <x:c r="A176" s="82" t="n">
        <x:v>172</x:v>
      </x:c>
      <x:c r="B176" s="82" t="str">
        <x:v>Taco van der Hoorn</x:v>
      </x:c>
      <x:c r="C176" s="82" t="str">
        <x:v>オランダ</x:v>
      </x:c>
      <x:c r="D176" s="82" t="str">
        <x:v>現代</x:v>
      </x:c>
      <x:c r="E176" s="82" t="str">
        <x:v>クラシック型</x:v>
      </x:c>
      <x:c r="F176" s="82" t="str">
        <x:v>パンチャー</x:v>
      </x:c>
      <x:c r="G176" s="85" t="n">
        <x:v>61</x:v>
      </x:c>
      <x:c r="H176" s="85" t="n">
        <x:v>93</x:v>
      </x:c>
      <x:c r="I176" s="91" t="str">
        <x:v>アシスト / ロードキャプテン</x:v>
      </x:c>
      <x:c r="J176" s="91" t="str">
        <x:v>逃げ屋</x:v>
      </x:c>
      <x:c r="K176" s="91" t="str">
        <x:v>バイクコントロール / 反復加速 / 逃げ屋</x:v>
      </x:c>
      <x:c r="L176" s="88" t="n">
        <x:v>5500</x:v>
      </x:c>
      <x:c r="M176" s="91" t="str">
        <x:v>悪路護衛、落車回避、位置取り</x:v>
      </x:c>
      <x:c r="N176" s="91" t="str">
        <x:v>https://en.wikipedia.org/wiki/Special:Search?search=Taco%20van%20der%20Hoorn%20cyclist</x:v>
      </x:c>
    </x:row>
    <x:row r="177" ht="22" customHeight="1">
      <x:c r="A177" s="82" t="n">
        <x:v>173</x:v>
      </x:c>
      <x:c r="B177" s="82" t="str">
        <x:v>Amund Grondahl Jansen</x:v>
      </x:c>
      <x:c r="C177" s="82" t="str">
        <x:v>ノルウェー</x:v>
      </x:c>
      <x:c r="D177" s="82" t="str">
        <x:v>現代</x:v>
      </x:c>
      <x:c r="E177" s="82" t="str">
        <x:v>クラシック型</x:v>
      </x:c>
      <x:c r="F177" s="82" t="str">
        <x:v>パンチャー</x:v>
      </x:c>
      <x:c r="G177" s="85" t="n">
        <x:v>62</x:v>
      </x:c>
      <x:c r="H177" s="85" t="n">
        <x:v>92</x:v>
      </x:c>
      <x:c r="I177" s="91" t="str">
        <x:v>アシスト / ロードキャプテン</x:v>
      </x:c>
      <x:c r="J177" s="91" t="str"/>
      <x:c r="K177" s="91" t="str">
        <x:v>バイクコントロール / 反復加速</x:v>
      </x:c>
      <x:c r="L177" s="88" t="n">
        <x:v>5000</x:v>
      </x:c>
      <x:c r="M177" s="91" t="str">
        <x:v>悪路護衛、落車回避、位置取り</x:v>
      </x:c>
      <x:c r="N177" s="91" t="str">
        <x:v>https://en.wikipedia.org/wiki/Special:Search?search=Amund%20Grondahl%20Jansen%20cyclist</x:v>
      </x:c>
    </x:row>
    <x:row r="178" ht="22" customHeight="1">
      <x:c r="A178" s="82" t="n">
        <x:v>174</x:v>
      </x:c>
      <x:c r="B178" s="82" t="str">
        <x:v>Aime De Gendt</x:v>
      </x:c>
      <x:c r="C178" s="82" t="str">
        <x:v>ベルギー</x:v>
      </x:c>
      <x:c r="D178" s="82" t="str">
        <x:v>現代</x:v>
      </x:c>
      <x:c r="E178" s="82" t="str">
        <x:v>クラシック型</x:v>
      </x:c>
      <x:c r="F178" s="82" t="str">
        <x:v>パンチャー</x:v>
      </x:c>
      <x:c r="G178" s="85" t="n">
        <x:v>63</x:v>
      </x:c>
      <x:c r="H178" s="85" t="n">
        <x:v>91</x:v>
      </x:c>
      <x:c r="I178" s="91" t="str">
        <x:v>アシスト / ロードキャプテン</x:v>
      </x:c>
      <x:c r="J178" s="91" t="str"/>
      <x:c r="K178" s="91" t="str">
        <x:v>バイクコントロール / 反復加速</x:v>
      </x:c>
      <x:c r="L178" s="88" t="n">
        <x:v>4500</x:v>
      </x:c>
      <x:c r="M178" s="91" t="str">
        <x:v>悪路護衛、落車回避、位置取り</x:v>
      </x:c>
      <x:c r="N178" s="91" t="str">
        <x:v>https://en.wikipedia.org/wiki/Special:Search?search=Aime%20De%20Gendt%20cyclist</x:v>
      </x:c>
    </x:row>
    <x:row r="179" ht="22" customHeight="1">
      <x:c r="A179" s="82" t="n">
        <x:v>175</x:v>
      </x:c>
      <x:c r="B179" s="82" t="str">
        <x:v>Florian Vermeersch</x:v>
      </x:c>
      <x:c r="C179" s="82" t="str">
        <x:v>ベルギー</x:v>
      </x:c>
      <x:c r="D179" s="82" t="str">
        <x:v>現代</x:v>
      </x:c>
      <x:c r="E179" s="82" t="str">
        <x:v>クラシック型</x:v>
      </x:c>
      <x:c r="F179" s="82" t="str">
        <x:v>パンチャー</x:v>
      </x:c>
      <x:c r="G179" s="85" t="n">
        <x:v>59</x:v>
      </x:c>
      <x:c r="H179" s="85" t="n">
        <x:v>95</x:v>
      </x:c>
      <x:c r="I179" s="91" t="str">
        <x:v>アシスト / ロードキャプテン</x:v>
      </x:c>
      <x:c r="J179" s="91" t="str"/>
      <x:c r="K179" s="91" t="str">
        <x:v>バイクコントロール / 反復加速</x:v>
      </x:c>
      <x:c r="L179" s="88" t="n">
        <x:v>4000</x:v>
      </x:c>
      <x:c r="M179" s="91" t="str">
        <x:v>悪路護衛、落車回避、位置取り</x:v>
      </x:c>
      <x:c r="N179" s="91" t="str">
        <x:v>https://en.wikipedia.org/wiki/Special:Search?search=Florian%20Vermeersch%20cyclist</x:v>
      </x:c>
    </x:row>
    <x:row r="180" ht="22" customHeight="1">
      <x:c r="A180" s="82" t="n">
        <x:v>176</x:v>
      </x:c>
      <x:c r="B180" s="82" t="str">
        <x:v>Frederik Frison</x:v>
      </x:c>
      <x:c r="C180" s="82" t="str">
        <x:v>ベルギー</x:v>
      </x:c>
      <x:c r="D180" s="82" t="str">
        <x:v>現代</x:v>
      </x:c>
      <x:c r="E180" s="82" t="str">
        <x:v>クラシック型</x:v>
      </x:c>
      <x:c r="F180" s="82" t="str">
        <x:v>パンチャー</x:v>
      </x:c>
      <x:c r="G180" s="85" t="n">
        <x:v>58</x:v>
      </x:c>
      <x:c r="H180" s="85" t="n">
        <x:v>94</x:v>
      </x:c>
      <x:c r="I180" s="91" t="str">
        <x:v>アシスト / ロードキャプテン</x:v>
      </x:c>
      <x:c r="J180" s="91" t="str"/>
      <x:c r="K180" s="91" t="str">
        <x:v>バイクコントロール / 反復加速</x:v>
      </x:c>
      <x:c r="L180" s="88" t="n">
        <x:v>3500</x:v>
      </x:c>
      <x:c r="M180" s="91" t="str">
        <x:v>悪路護衛、落車回避、位置取り</x:v>
      </x:c>
      <x:c r="N180" s="91" t="str">
        <x:v>https://en.wikipedia.org/wiki/Special:Search?search=Frederik%20Frison%20cyclist</x:v>
      </x:c>
    </x:row>
    <x:row r="181" ht="22" customHeight="1">
      <x:c r="A181" s="82" t="n">
        <x:v>177</x:v>
      </x:c>
      <x:c r="B181" s="82" t="str">
        <x:v>Jens Keukeleire</x:v>
      </x:c>
      <x:c r="C181" s="82" t="str">
        <x:v>ベルギー</x:v>
      </x:c>
      <x:c r="D181" s="82" t="str">
        <x:v>近代</x:v>
      </x:c>
      <x:c r="E181" s="82" t="str">
        <x:v>クラシック型</x:v>
      </x:c>
      <x:c r="F181" s="82" t="str">
        <x:v>パンチャー</x:v>
      </x:c>
      <x:c r="G181" s="85" t="n">
        <x:v>64</x:v>
      </x:c>
      <x:c r="H181" s="85" t="n">
        <x:v>93</x:v>
      </x:c>
      <x:c r="I181" s="91" t="str">
        <x:v>アシスト / ロードキャプテン</x:v>
      </x:c>
      <x:c r="J181" s="91" t="str"/>
      <x:c r="K181" s="91" t="str">
        <x:v>バイクコントロール / 反復加速</x:v>
      </x:c>
      <x:c r="L181" s="88" t="n">
        <x:v>6500</x:v>
      </x:c>
      <x:c r="M181" s="91" t="str">
        <x:v>悪路護衛、落車回避、位置取り</x:v>
      </x:c>
      <x:c r="N181" s="91" t="str">
        <x:v>https://en.wikipedia.org/wiki/Special:Search?search=Jens%20Keukeleire%20cyclist</x:v>
      </x:c>
    </x:row>
    <x:row r="182" ht="22" customHeight="1">
      <x:c r="A182" s="82" t="n">
        <x:v>178</x:v>
      </x:c>
      <x:c r="B182" s="82" t="str">
        <x:v>Zdenek Stybar</x:v>
      </x:c>
      <x:c r="C182" s="82" t="str">
        <x:v>チェコ</x:v>
      </x:c>
      <x:c r="D182" s="82" t="str">
        <x:v>近代</x:v>
      </x:c>
      <x:c r="E182" s="82" t="str">
        <x:v>クラシック型</x:v>
      </x:c>
      <x:c r="F182" s="82" t="str">
        <x:v>パンチャー</x:v>
      </x:c>
      <x:c r="G182" s="85" t="n">
        <x:v>62</x:v>
      </x:c>
      <x:c r="H182" s="85" t="n">
        <x:v>92</x:v>
      </x:c>
      <x:c r="I182" s="91" t="str">
        <x:v>アシスト / ロードキャプテン</x:v>
      </x:c>
      <x:c r="J182" s="91" t="str"/>
      <x:c r="K182" s="91" t="str">
        <x:v>バイクコントロール / 反復加速</x:v>
      </x:c>
      <x:c r="L182" s="88" t="n">
        <x:v>6000</x:v>
      </x:c>
      <x:c r="M182" s="91" t="str">
        <x:v>悪路護衛、落車回避、位置取り</x:v>
      </x:c>
      <x:c r="N182" s="91" t="str">
        <x:v>https://en.wikipedia.org/wiki/Special:Search?search=Zdenek%20Stybar%20cyclist</x:v>
      </x:c>
    </x:row>
    <x:row r="183" ht="22" customHeight="1">
      <x:c r="A183" s="82" t="n">
        <x:v>179</x:v>
      </x:c>
      <x:c r="B183" s="82" t="str">
        <x:v>Greg Van Avermaet</x:v>
      </x:c>
      <x:c r="C183" s="82" t="str">
        <x:v>ベルギー</x:v>
      </x:c>
      <x:c r="D183" s="82" t="str">
        <x:v>近代</x:v>
      </x:c>
      <x:c r="E183" s="82" t="str">
        <x:v>クラシック型</x:v>
      </x:c>
      <x:c r="F183" s="82" t="str">
        <x:v>パンチャー</x:v>
      </x:c>
      <x:c r="G183" s="85" t="n">
        <x:v>63</x:v>
      </x:c>
      <x:c r="H183" s="85" t="n">
        <x:v>91</x:v>
      </x:c>
      <x:c r="I183" s="91" t="str">
        <x:v>アシスト / ロードキャプテン</x:v>
      </x:c>
      <x:c r="J183" s="91" t="str"/>
      <x:c r="K183" s="91" t="str">
        <x:v>バイクコントロール / 反復加速</x:v>
      </x:c>
      <x:c r="L183" s="88" t="n">
        <x:v>5500</x:v>
      </x:c>
      <x:c r="M183" s="91" t="str">
        <x:v>悪路護衛、落車回避、位置取り</x:v>
      </x:c>
      <x:c r="N183" s="91" t="str">
        <x:v>https://en.wikipedia.org/wiki/Special:Search?search=Greg%20Van%20Avermaet%20cyclist</x:v>
      </x:c>
    </x:row>
    <x:row r="184" ht="22" customHeight="1">
      <x:c r="A184" s="82" t="n">
        <x:v>180</x:v>
      </x:c>
      <x:c r="B184" s="82" t="str">
        <x:v>Wout van Aert</x:v>
      </x:c>
      <x:c r="C184" s="82" t="str">
        <x:v>ベルギー</x:v>
      </x:c>
      <x:c r="D184" s="82" t="str">
        <x:v>現代</x:v>
      </x:c>
      <x:c r="E184" s="82" t="str">
        <x:v>クラシック型</x:v>
      </x:c>
      <x:c r="F184" s="82" t="str">
        <x:v>パンチャー</x:v>
      </x:c>
      <x:c r="G184" s="85" t="n">
        <x:v>92</x:v>
      </x:c>
      <x:c r="H184" s="85" t="n">
        <x:v>94</x:v>
      </x:c>
      <x:c r="I184" s="91" t="str">
        <x:v>当日エース / 副エース / アシスト</x:v>
      </x:c>
      <x:c r="J184" s="91" t="str"/>
      <x:c r="K184" s="91" t="str">
        <x:v>最高速 / TT適性 / ステージハンター</x:v>
      </x:c>
      <x:c r="L184" s="88" t="n">
        <x:v>9800</x:v>
      </x:c>
      <x:c r="M184" s="91" t="str">
        <x:v>悪路護衛、落車回避、位置取り</x:v>
      </x:c>
      <x:c r="N184" s="91" t="str">
        <x:v>https://en.wikipedia.org/wiki/Special:Search?search=Wout%20van%20Aert%20cyclist</x:v>
      </x:c>
    </x:row>
    <x:row r="185" ht="22" customHeight="1">
      <x:c r="A185" s="82" t="n">
        <x:v>181</x:v>
      </x:c>
      <x:c r="B185" s="82" t="str">
        <x:v>Bob Jungels</x:v>
      </x:c>
      <x:c r="C185" s="82" t="str">
        <x:v>ルクセンブルク</x:v>
      </x:c>
      <x:c r="D185" s="82" t="str">
        <x:v>現代</x:v>
      </x:c>
      <x:c r="E185" s="82" t="str">
        <x:v>TT・ルーラー型</x:v>
      </x:c>
      <x:c r="F185" s="82" t="str">
        <x:v>総合型</x:v>
      </x:c>
      <x:c r="G185" s="85" t="n">
        <x:v>60</x:v>
      </x:c>
      <x:c r="H185" s="85" t="n">
        <x:v>95</x:v>
      </x:c>
      <x:c r="I185" s="91" t="str">
        <x:v>アシスト / ロードキャプテン</x:v>
      </x:c>
      <x:c r="J185" s="91" t="str">
        <x:v>逃げ屋</x:v>
      </x:c>
      <x:c r="K185" s="91" t="str">
        <x:v>巡航力 / 総合安定 / 逃げ屋</x:v>
      </x:c>
      <x:c r="L185" s="88" t="n">
        <x:v>6500</x:v>
      </x:c>
      <x:c r="M185" s="91" t="str">
        <x:v>隊列同期、巡航、複数局面への対応</x:v>
      </x:c>
      <x:c r="N185" s="91" t="str">
        <x:v>https://en.wikipedia.org/wiki/Special:Search?search=Bob%20Jungels%20cyclist</x:v>
      </x:c>
    </x:row>
    <x:row r="186" ht="22" customHeight="1">
      <x:c r="A186" s="82" t="n">
        <x:v>182</x:v>
      </x:c>
      <x:c r="B186" s="82" t="str">
        <x:v>Michael Matthews</x:v>
      </x:c>
      <x:c r="C186" s="82" t="str">
        <x:v>オーストラリア</x:v>
      </x:c>
      <x:c r="D186" s="82" t="str">
        <x:v>現代</x:v>
      </x:c>
      <x:c r="E186" s="82" t="str">
        <x:v>TT・ルーラー型</x:v>
      </x:c>
      <x:c r="F186" s="82" t="str">
        <x:v>総合型</x:v>
      </x:c>
      <x:c r="G186" s="85" t="n">
        <x:v>58</x:v>
      </x:c>
      <x:c r="H186" s="85" t="n">
        <x:v>94</x:v>
      </x:c>
      <x:c r="I186" s="91" t="str">
        <x:v>アシスト / ロードキャプテン</x:v>
      </x:c>
      <x:c r="J186" s="91" t="str"/>
      <x:c r="K186" s="91" t="str">
        <x:v>巡航力 / 総合安定</x:v>
      </x:c>
      <x:c r="L186" s="88" t="n">
        <x:v>6050</x:v>
      </x:c>
      <x:c r="M186" s="91" t="str">
        <x:v>隊列同期、巡航、複数局面への対応</x:v>
      </x:c>
      <x:c r="N186" s="91" t="str">
        <x:v>https://en.wikipedia.org/wiki/Special:Search?search=Michael%20Matthews%20cyclist</x:v>
      </x:c>
    </x:row>
    <x:row r="187" ht="22" customHeight="1">
      <x:c r="A187" s="82" t="n">
        <x:v>183</x:v>
      </x:c>
      <x:c r="B187" s="82" t="str">
        <x:v>Arnaud De Lie</x:v>
      </x:c>
      <x:c r="C187" s="82" t="str">
        <x:v>ベルギー</x:v>
      </x:c>
      <x:c r="D187" s="82" t="str">
        <x:v>現代</x:v>
      </x:c>
      <x:c r="E187" s="82" t="str">
        <x:v>パンチャー</x:v>
      </x:c>
      <x:c r="F187" s="82" t="str">
        <x:v>スプリンター</x:v>
      </x:c>
      <x:c r="G187" s="85" t="n">
        <x:v>91</x:v>
      </x:c>
      <x:c r="H187" s="85" t="n">
        <x:v>78</x:v>
      </x:c>
      <x:c r="I187" s="91" t="str">
        <x:v>当日エース / 副エース</x:v>
      </x:c>
      <x:c r="J187" s="91" t="str"/>
      <x:c r="K187" s="91" t="str">
        <x:v>パンチ力 / 最高速 / 悪路耐性</x:v>
      </x:c>
      <x:c r="L187" s="88" t="n">
        <x:v>8200</x:v>
      </x:c>
      <x:c r="M187" s="91" t="str">
        <x:v>登りスプリント、悪路、爆発力、力強い加速</x:v>
      </x:c>
      <x:c r="N187" s="91" t="str">
        <x:v>https://en.wikipedia.org/wiki/Special:Search?search=Arnaud%20De%20Lie%20cyclist</x:v>
      </x:c>
    </x:row>
    <x:row r="188" ht="22" customHeight="1">
      <x:c r="A188" s="82" t="n">
        <x:v>184</x:v>
      </x:c>
      <x:c r="B188" s="82" t="str">
        <x:v>Jonathan Castroviejo</x:v>
      </x:c>
      <x:c r="C188" s="82" t="str">
        <x:v>スペイン</x:v>
      </x:c>
      <x:c r="D188" s="82" t="str">
        <x:v>現代</x:v>
      </x:c>
      <x:c r="E188" s="82" t="str">
        <x:v>TT・ルーラー型</x:v>
      </x:c>
      <x:c r="F188" s="82" t="str">
        <x:v>総合型</x:v>
      </x:c>
      <x:c r="G188" s="85" t="n">
        <x:v>60</x:v>
      </x:c>
      <x:c r="H188" s="85" t="n">
        <x:v>92</x:v>
      </x:c>
      <x:c r="I188" s="91" t="str">
        <x:v>アシスト / ロードキャプテン</x:v>
      </x:c>
      <x:c r="J188" s="91" t="str"/>
      <x:c r="K188" s="91" t="str">
        <x:v>巡航力 / 総合安定</x:v>
      </x:c>
      <x:c r="L188" s="88" t="n">
        <x:v>5150</x:v>
      </x:c>
      <x:c r="M188" s="91" t="str">
        <x:v>隊列同期、巡航、複数局面への対応</x:v>
      </x:c>
      <x:c r="N188" s="91" t="str">
        <x:v>https://en.wikipedia.org/wiki/Special:Search?search=Jonathan%20Castroviejo%20cyclist</x:v>
      </x:c>
    </x:row>
    <x:row r="189" ht="22" customHeight="1">
      <x:c r="A189" s="82" t="n">
        <x:v>185</x:v>
      </x:c>
      <x:c r="B189" s="82" t="str">
        <x:v>Vasil Kiryienka</x:v>
      </x:c>
      <x:c r="C189" s="82" t="str">
        <x:v>ベラルーシ</x:v>
      </x:c>
      <x:c r="D189" s="82" t="str">
        <x:v>近代</x:v>
      </x:c>
      <x:c r="E189" s="82" t="str">
        <x:v>TT・ルーラー型</x:v>
      </x:c>
      <x:c r="F189" s="82" t="str">
        <x:v>総合型</x:v>
      </x:c>
      <x:c r="G189" s="85" t="n">
        <x:v>56</x:v>
      </x:c>
      <x:c r="H189" s="85" t="n">
        <x:v>96</x:v>
      </x:c>
      <x:c r="I189" s="91" t="str">
        <x:v>アシスト / ロードキャプテン</x:v>
      </x:c>
      <x:c r="J189" s="91" t="str"/>
      <x:c r="K189" s="91" t="str">
        <x:v>巡航力 / 総合安定</x:v>
      </x:c>
      <x:c r="L189" s="88" t="n">
        <x:v>4700</x:v>
      </x:c>
      <x:c r="M189" s="91" t="str">
        <x:v>隊列同期、巡航、複数局面への対応</x:v>
      </x:c>
      <x:c r="N189" s="91" t="str">
        <x:v>https://en.wikipedia.org/wiki/Special:Search?search=Vasil%20Kiryienka%20cyclist</x:v>
      </x:c>
    </x:row>
    <x:row r="190" ht="22" customHeight="1">
      <x:c r="A190" s="82" t="n">
        <x:v>186</x:v>
      </x:c>
      <x:c r="B190" s="82" t="str">
        <x:v>Nelson Oliveira</x:v>
      </x:c>
      <x:c r="C190" s="82" t="str">
        <x:v>ポルトガル</x:v>
      </x:c>
      <x:c r="D190" s="82" t="str">
        <x:v>現代</x:v>
      </x:c>
      <x:c r="E190" s="82" t="str">
        <x:v>TT・ルーラー型</x:v>
      </x:c>
      <x:c r="F190" s="82" t="str">
        <x:v>総合型</x:v>
      </x:c>
      <x:c r="G190" s="85" t="n">
        <x:v>57</x:v>
      </x:c>
      <x:c r="H190" s="85" t="n">
        <x:v>95</x:v>
      </x:c>
      <x:c r="I190" s="91" t="str">
        <x:v>アシスト / ロードキャプテン</x:v>
      </x:c>
      <x:c r="J190" s="91" t="str"/>
      <x:c r="K190" s="91" t="str">
        <x:v>巡航力 / 総合安定</x:v>
      </x:c>
      <x:c r="L190" s="88" t="n">
        <x:v>4250</x:v>
      </x:c>
      <x:c r="M190" s="91" t="str">
        <x:v>隊列同期、巡航、複数局面への対応</x:v>
      </x:c>
      <x:c r="N190" s="91" t="str">
        <x:v>https://en.wikipedia.org/wiki/Special:Search?search=Nelson%20Oliveira%20cyclist</x:v>
      </x:c>
    </x:row>
    <x:row r="191" ht="22" customHeight="1">
      <x:c r="A191" s="82" t="n">
        <x:v>187</x:v>
      </x:c>
      <x:c r="B191" s="82" t="str">
        <x:v>Jan Barta</x:v>
      </x:c>
      <x:c r="C191" s="82" t="str">
        <x:v>チェコ</x:v>
      </x:c>
      <x:c r="D191" s="82" t="str">
        <x:v>近代</x:v>
      </x:c>
      <x:c r="E191" s="82" t="str">
        <x:v>TT・ルーラー型</x:v>
      </x:c>
      <x:c r="F191" s="82" t="str">
        <x:v>総合型</x:v>
      </x:c>
      <x:c r="G191" s="85" t="n">
        <x:v>56</x:v>
      </x:c>
      <x:c r="H191" s="85" t="n">
        <x:v>94</x:v>
      </x:c>
      <x:c r="I191" s="91" t="str">
        <x:v>アシスト / ロードキャプテン</x:v>
      </x:c>
      <x:c r="J191" s="91" t="str"/>
      <x:c r="K191" s="91" t="str">
        <x:v>巡航力 / 総合安定</x:v>
      </x:c>
      <x:c r="L191" s="88" t="n">
        <x:v>3800</x:v>
      </x:c>
      <x:c r="M191" s="91" t="str">
        <x:v>隊列同期、巡航、複数局面への対応</x:v>
      </x:c>
      <x:c r="N191" s="91" t="str">
        <x:v>https://en.wikipedia.org/wiki/Special:Search?search=Jan%20Barta%20cyclist</x:v>
      </x:c>
    </x:row>
    <x:row r="192" ht="22" customHeight="1">
      <x:c r="A192" s="82" t="n">
        <x:v>188</x:v>
      </x:c>
      <x:c r="B192" s="82" t="str">
        <x:v>Alex Dowsett</x:v>
      </x:c>
      <x:c r="C192" s="82" t="str">
        <x:v>イギリス</x:v>
      </x:c>
      <x:c r="D192" s="82" t="str">
        <x:v>近代</x:v>
      </x:c>
      <x:c r="E192" s="82" t="str">
        <x:v>TT・ルーラー型</x:v>
      </x:c>
      <x:c r="F192" s="82" t="str">
        <x:v>総合型</x:v>
      </x:c>
      <x:c r="G192" s="85" t="n">
        <x:v>57</x:v>
      </x:c>
      <x:c r="H192" s="85" t="n">
        <x:v>93</x:v>
      </x:c>
      <x:c r="I192" s="91" t="str">
        <x:v>アシスト / ロードキャプテン</x:v>
      </x:c>
      <x:c r="J192" s="91" t="str"/>
      <x:c r="K192" s="91" t="str">
        <x:v>巡航力 / 総合安定</x:v>
      </x:c>
      <x:c r="L192" s="88" t="n">
        <x:v>3350</x:v>
      </x:c>
      <x:c r="M192" s="91" t="str">
        <x:v>隊列同期、巡航、複数局面への対応</x:v>
      </x:c>
      <x:c r="N192" s="91" t="str">
        <x:v>https://en.wikipedia.org/wiki/Special:Search?search=Alex%20Dowsett%20cyclist</x:v>
      </x:c>
    </x:row>
    <x:row r="193" ht="22" customHeight="1">
      <x:c r="A193" s="82" t="n">
        <x:v>189</x:v>
      </x:c>
      <x:c r="B193" s="82" t="str">
        <x:v>Luke Plapp</x:v>
      </x:c>
      <x:c r="C193" s="82" t="str">
        <x:v>オーストラリア</x:v>
      </x:c>
      <x:c r="D193" s="82" t="str">
        <x:v>現代</x:v>
      </x:c>
      <x:c r="E193" s="82" t="str">
        <x:v>TT・ルーラー型</x:v>
      </x:c>
      <x:c r="F193" s="82" t="str">
        <x:v>総合型</x:v>
      </x:c>
      <x:c r="G193" s="85" t="n">
        <x:v>63</x:v>
      </x:c>
      <x:c r="H193" s="85" t="n">
        <x:v>92</x:v>
      </x:c>
      <x:c r="I193" s="91" t="str">
        <x:v>アシスト / ロードキャプテン</x:v>
      </x:c>
      <x:c r="J193" s="91" t="str"/>
      <x:c r="K193" s="91" t="str">
        <x:v>巡航力 / 総合安定</x:v>
      </x:c>
      <x:c r="L193" s="88" t="n">
        <x:v>6500</x:v>
      </x:c>
      <x:c r="M193" s="91" t="str">
        <x:v>隊列同期、巡航、複数局面への対応</x:v>
      </x:c>
      <x:c r="N193" s="91" t="str">
        <x:v>https://en.wikipedia.org/wiki/Special:Search?search=Luke%20Plapp%20cyclist</x:v>
      </x:c>
    </x:row>
    <x:row r="194" ht="22" customHeight="1">
      <x:c r="A194" s="82" t="n">
        <x:v>190</x:v>
      </x:c>
      <x:c r="B194" s="82" t="str">
        <x:v>Edoardo Affini</x:v>
      </x:c>
      <x:c r="C194" s="82" t="str">
        <x:v>イタリア</x:v>
      </x:c>
      <x:c r="D194" s="82" t="str">
        <x:v>現代</x:v>
      </x:c>
      <x:c r="E194" s="82" t="str">
        <x:v>TT・ルーラー型</x:v>
      </x:c>
      <x:c r="F194" s="82" t="str">
        <x:v>総合型</x:v>
      </x:c>
      <x:c r="G194" s="85" t="n">
        <x:v>56</x:v>
      </x:c>
      <x:c r="H194" s="85" t="n">
        <x:v>96</x:v>
      </x:c>
      <x:c r="I194" s="91" t="str">
        <x:v>アシスト / ロードキャプテン</x:v>
      </x:c>
      <x:c r="J194" s="91" t="str"/>
      <x:c r="K194" s="91" t="str">
        <x:v>巡航力 / 総合安定</x:v>
      </x:c>
      <x:c r="L194" s="88" t="n">
        <x:v>6050</x:v>
      </x:c>
      <x:c r="M194" s="91" t="str">
        <x:v>隊列同期、巡航、複数局面への対応</x:v>
      </x:c>
      <x:c r="N194" s="91" t="str">
        <x:v>https://en.wikipedia.org/wiki/Special:Search?search=Edoardo%20Affini%20cyclist</x:v>
      </x:c>
    </x:row>
    <x:row r="195" ht="22" customHeight="1">
      <x:c r="A195" s="82" t="n">
        <x:v>191</x:v>
      </x:c>
      <x:c r="B195" s="82" t="str">
        <x:v>Tobias Foss</x:v>
      </x:c>
      <x:c r="C195" s="82" t="str">
        <x:v>ノルウェー</x:v>
      </x:c>
      <x:c r="D195" s="82" t="str">
        <x:v>現代</x:v>
      </x:c>
      <x:c r="E195" s="82" t="str">
        <x:v>TT・ルーラー型</x:v>
      </x:c>
      <x:c r="F195" s="82" t="str">
        <x:v>総合型</x:v>
      </x:c>
      <x:c r="G195" s="85" t="n">
        <x:v>57</x:v>
      </x:c>
      <x:c r="H195" s="85" t="n">
        <x:v>95</x:v>
      </x:c>
      <x:c r="I195" s="91" t="str">
        <x:v>アシスト / ロードキャプテン</x:v>
      </x:c>
      <x:c r="J195" s="91" t="str"/>
      <x:c r="K195" s="91" t="str">
        <x:v>巡航力 / 総合安定</x:v>
      </x:c>
      <x:c r="L195" s="88" t="n">
        <x:v>5600</x:v>
      </x:c>
      <x:c r="M195" s="91" t="str">
        <x:v>隊列同期、巡航、複数局面への対応</x:v>
      </x:c>
      <x:c r="N195" s="91" t="str">
        <x:v>https://en.wikipedia.org/wiki/Special:Search?search=Tobias%20Foss%20cyclist</x:v>
      </x:c>
    </x:row>
    <x:row r="196" ht="22" customHeight="1">
      <x:c r="A196" s="82" t="n">
        <x:v>192</x:v>
      </x:c>
      <x:c r="B196" s="82" t="str">
        <x:v>Magnus Sheffield</x:v>
      </x:c>
      <x:c r="C196" s="82" t="str">
        <x:v>アメリカ</x:v>
      </x:c>
      <x:c r="D196" s="82" t="str">
        <x:v>現代</x:v>
      </x:c>
      <x:c r="E196" s="82" t="str">
        <x:v>TT・ルーラー型</x:v>
      </x:c>
      <x:c r="F196" s="82" t="str">
        <x:v>総合型</x:v>
      </x:c>
      <x:c r="G196" s="85" t="n">
        <x:v>58</x:v>
      </x:c>
      <x:c r="H196" s="85" t="n">
        <x:v>94</x:v>
      </x:c>
      <x:c r="I196" s="91" t="str">
        <x:v>アシスト / ロードキャプテン</x:v>
      </x:c>
      <x:c r="J196" s="91" t="str"/>
      <x:c r="K196" s="91" t="str">
        <x:v>巡航力 / 総合安定</x:v>
      </x:c>
      <x:c r="L196" s="88" t="n">
        <x:v>5150</x:v>
      </x:c>
      <x:c r="M196" s="91" t="str">
        <x:v>隊列同期、巡航、複数局面への対応</x:v>
      </x:c>
      <x:c r="N196" s="91" t="str">
        <x:v>https://en.wikipedia.org/wiki/Special:Search?search=Magnus%20Sheffield%20cyclist</x:v>
      </x:c>
    </x:row>
    <x:row r="197" ht="22" customHeight="1">
      <x:c r="A197" s="82" t="n">
        <x:v>193</x:v>
      </x:c>
      <x:c r="B197" s="82" t="str">
        <x:v>Remi Cavagna</x:v>
      </x:c>
      <x:c r="C197" s="82" t="str">
        <x:v>フランス</x:v>
      </x:c>
      <x:c r="D197" s="82" t="str">
        <x:v>現代</x:v>
      </x:c>
      <x:c r="E197" s="82" t="str">
        <x:v>TT・ルーラー型</x:v>
      </x:c>
      <x:c r="F197" s="82" t="str">
        <x:v>総合型</x:v>
      </x:c>
      <x:c r="G197" s="85" t="n">
        <x:v>59</x:v>
      </x:c>
      <x:c r="H197" s="85" t="n">
        <x:v>93</x:v>
      </x:c>
      <x:c r="I197" s="91" t="str">
        <x:v>アシスト / ロードキャプテン</x:v>
      </x:c>
      <x:c r="J197" s="91" t="str"/>
      <x:c r="K197" s="91" t="str">
        <x:v>巡航力 / 総合安定</x:v>
      </x:c>
      <x:c r="L197" s="88" t="n">
        <x:v>4700</x:v>
      </x:c>
      <x:c r="M197" s="91" t="str">
        <x:v>隊列同期、巡航、複数局面への対応</x:v>
      </x:c>
      <x:c r="N197" s="91" t="str">
        <x:v>https://en.wikipedia.org/wiki/Special:Search?search=Remi%20Cavagna%20cyclist</x:v>
      </x:c>
    </x:row>
    <x:row r="198" ht="22" customHeight="1">
      <x:c r="A198" s="82" t="n">
        <x:v>194</x:v>
      </x:c>
      <x:c r="B198" s="82" t="str">
        <x:v>Chad Haga</x:v>
      </x:c>
      <x:c r="C198" s="82" t="str">
        <x:v>アメリカ</x:v>
      </x:c>
      <x:c r="D198" s="82" t="str">
        <x:v>近代</x:v>
      </x:c>
      <x:c r="E198" s="82" t="str">
        <x:v>TT・ルーラー型</x:v>
      </x:c>
      <x:c r="F198" s="82" t="str">
        <x:v>総合型</x:v>
      </x:c>
      <x:c r="G198" s="85" t="n">
        <x:v>60</x:v>
      </x:c>
      <x:c r="H198" s="85" t="n">
        <x:v>92</x:v>
      </x:c>
      <x:c r="I198" s="91" t="str">
        <x:v>アシスト / ロードキャプテン</x:v>
      </x:c>
      <x:c r="J198" s="91" t="str"/>
      <x:c r="K198" s="91" t="str">
        <x:v>巡航力 / 総合安定</x:v>
      </x:c>
      <x:c r="L198" s="88" t="n">
        <x:v>4250</x:v>
      </x:c>
      <x:c r="M198" s="91" t="str">
        <x:v>隊列同期、巡航、複数局面への対応</x:v>
      </x:c>
      <x:c r="N198" s="91" t="str">
        <x:v>https://en.wikipedia.org/wiki/Special:Search?search=Chad%20Haga%20cyclist</x:v>
      </x:c>
    </x:row>
    <x:row r="199" ht="22" customHeight="1">
      <x:c r="A199" s="82" t="n">
        <x:v>195</x:v>
      </x:c>
      <x:c r="B199" s="82" t="str">
        <x:v>Tejay van Garderen</x:v>
      </x:c>
      <x:c r="C199" s="82" t="str">
        <x:v>アメリカ</x:v>
      </x:c>
      <x:c r="D199" s="82" t="str">
        <x:v>近代</x:v>
      </x:c>
      <x:c r="E199" s="82" t="str">
        <x:v>TT・ルーラー型</x:v>
      </x:c>
      <x:c r="F199" s="82" t="str">
        <x:v>総合型</x:v>
      </x:c>
      <x:c r="G199" s="85" t="n">
        <x:v>54</x:v>
      </x:c>
      <x:c r="H199" s="85" t="n">
        <x:v>96</x:v>
      </x:c>
      <x:c r="I199" s="91" t="str">
        <x:v>アシスト / ロードキャプテン</x:v>
      </x:c>
      <x:c r="J199" s="91" t="str"/>
      <x:c r="K199" s="91" t="str">
        <x:v>巡航力 / 総合安定</x:v>
      </x:c>
      <x:c r="L199" s="88" t="n">
        <x:v>3800</x:v>
      </x:c>
      <x:c r="M199" s="91" t="str">
        <x:v>隊列同期、巡航、複数局面への対応</x:v>
      </x:c>
      <x:c r="N199" s="91" t="str">
        <x:v>https://en.wikipedia.org/wiki/Special:Search?search=Tejay%20van%20Garderen%20cyclist</x:v>
      </x:c>
    </x:row>
    <x:row r="200" ht="22" customHeight="1">
      <x:c r="A200" s="82" t="n">
        <x:v>196</x:v>
      </x:c>
      <x:c r="B200" s="82" t="str">
        <x:v>Brent Bookwalter</x:v>
      </x:c>
      <x:c r="C200" s="82" t="str">
        <x:v>アメリカ</x:v>
      </x:c>
      <x:c r="D200" s="82" t="str">
        <x:v>近代</x:v>
      </x:c>
      <x:c r="E200" s="82" t="str">
        <x:v>TT・ルーラー型</x:v>
      </x:c>
      <x:c r="F200" s="82" t="str">
        <x:v>総合型</x:v>
      </x:c>
      <x:c r="G200" s="85" t="n">
        <x:v>55</x:v>
      </x:c>
      <x:c r="H200" s="85" t="n">
        <x:v>95</x:v>
      </x:c>
      <x:c r="I200" s="91" t="str">
        <x:v>アシスト / ロードキャプテン</x:v>
      </x:c>
      <x:c r="J200" s="91" t="str"/>
      <x:c r="K200" s="91" t="str">
        <x:v>巡航力 / 総合安定</x:v>
      </x:c>
      <x:c r="L200" s="88" t="n">
        <x:v>3350</x:v>
      </x:c>
      <x:c r="M200" s="91" t="str">
        <x:v>隊列同期、巡航、複数局面への対応</x:v>
      </x:c>
      <x:c r="N200" s="91" t="str">
        <x:v>https://en.wikipedia.org/wiki/Special:Search?search=Brent%20Bookwalter%20cyclist</x:v>
      </x:c>
    </x:row>
    <x:row r="201" ht="22" customHeight="1">
      <x:c r="A201" s="82" t="n">
        <x:v>197</x:v>
      </x:c>
      <x:c r="B201" s="82" t="str">
        <x:v>Kanstantsin Siutsou</x:v>
      </x:c>
      <x:c r="C201" s="82" t="str">
        <x:v>ベラルーシ</x:v>
      </x:c>
      <x:c r="D201" s="82" t="str">
        <x:v>近代</x:v>
      </x:c>
      <x:c r="E201" s="82" t="str">
        <x:v>TT・ルーラー型</x:v>
      </x:c>
      <x:c r="F201" s="82" t="str">
        <x:v>総合型</x:v>
      </x:c>
      <x:c r="G201" s="85" t="n">
        <x:v>61</x:v>
      </x:c>
      <x:c r="H201" s="85" t="n">
        <x:v>94</x:v>
      </x:c>
      <x:c r="I201" s="91" t="str">
        <x:v>アシスト / ロードキャプテン</x:v>
      </x:c>
      <x:c r="J201" s="91" t="str"/>
      <x:c r="K201" s="91" t="str">
        <x:v>巡航力 / 総合安定</x:v>
      </x:c>
      <x:c r="L201" s="88" t="n">
        <x:v>6500</x:v>
      </x:c>
      <x:c r="M201" s="91" t="str">
        <x:v>隊列同期、巡航、複数局面への対応</x:v>
      </x:c>
      <x:c r="N201" s="91" t="str">
        <x:v>https://en.wikipedia.org/wiki/Special:Search?search=Kanstantsin%20Siutsou%20cyclist</x:v>
      </x:c>
    </x:row>
    <x:row r="202" ht="22" customHeight="1">
      <x:c r="A202" s="82" t="n">
        <x:v>198</x:v>
      </x:c>
      <x:c r="B202" s="82" t="str">
        <x:v>Cameron Wurf</x:v>
      </x:c>
      <x:c r="C202" s="82" t="str">
        <x:v>オーストラリア</x:v>
      </x:c>
      <x:c r="D202" s="82" t="str">
        <x:v>現代</x:v>
      </x:c>
      <x:c r="E202" s="82" t="str">
        <x:v>TT・ルーラー型</x:v>
      </x:c>
      <x:c r="F202" s="82" t="str">
        <x:v>総合型</x:v>
      </x:c>
      <x:c r="G202" s="85" t="n">
        <x:v>59</x:v>
      </x:c>
      <x:c r="H202" s="85" t="n">
        <x:v>93</x:v>
      </x:c>
      <x:c r="I202" s="91" t="str">
        <x:v>アシスト / ロードキャプテン</x:v>
      </x:c>
      <x:c r="J202" s="91" t="str"/>
      <x:c r="K202" s="91" t="str">
        <x:v>巡航力 / 総合安定</x:v>
      </x:c>
      <x:c r="L202" s="88" t="n">
        <x:v>6050</x:v>
      </x:c>
      <x:c r="M202" s="91" t="str">
        <x:v>隊列同期、巡航、複数局面への対応</x:v>
      </x:c>
      <x:c r="N202" s="91" t="str">
        <x:v>https://en.wikipedia.org/wiki/Special:Search?search=Cameron%20Wurf%20cyclist</x:v>
      </x:c>
    </x:row>
    <x:row r="203" ht="22" customHeight="1">
      <x:c r="A203" s="82" t="n">
        <x:v>199</x:v>
      </x:c>
      <x:c r="B203" s="82" t="str">
        <x:v>Lawson Craddock</x:v>
      </x:c>
      <x:c r="C203" s="82" t="str">
        <x:v>アメリカ</x:v>
      </x:c>
      <x:c r="D203" s="82" t="str">
        <x:v>現代</x:v>
      </x:c>
      <x:c r="E203" s="82" t="str">
        <x:v>TT・ルーラー型</x:v>
      </x:c>
      <x:c r="F203" s="82" t="str">
        <x:v>総合型</x:v>
      </x:c>
      <x:c r="G203" s="85" t="n">
        <x:v>60</x:v>
      </x:c>
      <x:c r="H203" s="85" t="n">
        <x:v>92</x:v>
      </x:c>
      <x:c r="I203" s="91" t="str">
        <x:v>アシスト / ロードキャプテン</x:v>
      </x:c>
      <x:c r="J203" s="91" t="str">
        <x:v>逃げ屋</x:v>
      </x:c>
      <x:c r="K203" s="91" t="str">
        <x:v>巡航力 / 総合安定 / 逃げ屋</x:v>
      </x:c>
      <x:c r="L203" s="88" t="n">
        <x:v>5600</x:v>
      </x:c>
      <x:c r="M203" s="91" t="str">
        <x:v>隊列同期、巡航、複数局面への対応</x:v>
      </x:c>
      <x:c r="N203" s="91" t="str">
        <x:v>https://en.wikipedia.org/wiki/Special:Search?search=Lawson%20Craddock%20cyclist</x:v>
      </x:c>
    </x:row>
    <x:row r="204" ht="22" customHeight="1">
      <x:c r="A204" s="83" t="n">
        <x:v>200</x:v>
      </x:c>
      <x:c r="B204" s="83" t="str">
        <x:v>Jan Tratnik</x:v>
      </x:c>
      <x:c r="C204" s="83" t="str">
        <x:v>スロベニア</x:v>
      </x:c>
      <x:c r="D204" s="83" t="str">
        <x:v>現代</x:v>
      </x:c>
      <x:c r="E204" s="83" t="str">
        <x:v>TT・ルーラー型</x:v>
      </x:c>
      <x:c r="F204" s="83" t="str">
        <x:v>総合型</x:v>
      </x:c>
      <x:c r="G204" s="86" t="n">
        <x:v>56</x:v>
      </x:c>
      <x:c r="H204" s="86" t="n">
        <x:v>96</x:v>
      </x:c>
      <x:c r="I204" s="92" t="str">
        <x:v>アシスト / ロードキャプテン</x:v>
      </x:c>
      <x:c r="J204" s="92" t="str">
        <x:v>逃げ屋</x:v>
      </x:c>
      <x:c r="K204" s="92" t="str">
        <x:v>巡航力 / 総合安定 / 逃げ屋</x:v>
      </x:c>
      <x:c r="L204" s="89" t="n">
        <x:v>5150</x:v>
      </x:c>
      <x:c r="M204" s="92" t="str">
        <x:v>隊列同期、巡航、複数局面への対応</x:v>
      </x:c>
      <x:c r="N204" s="92" t="str">
        <x:v>https://en.wikipedia.org/wiki/Special:Search?search=Jan%20Tratnik%20cyclist</x:v>
      </x:c>
    </x:row>
  </x:sheetData>
  <x:mergeCells>
    <x:mergeCell ref="A1:N1"/>
    <x:mergeCell ref="A2:N2"/>
  </x:mergeCells>
  <x:conditionalFormatting sqref="G5:H204">
    <x:cfRule type="colorScale" priority="1">
      <x:colorScale>
        <x:cfvo type="min"/>
        <x:cfvo type="percentile" val="50"/>
        <x:cfvo type="max"/>
        <x:color rgb="FFFCE8E6"/>
        <x:color rgb="FFFFF4CC"/>
        <x:color rgb="FFD9EAD3"/>
      </x:colorScale>
    </x:cfRule>
  </x:conditionalFormatting>
  <x:conditionalFormatting sqref="L5:L204">
    <x:cfRule type="cellIs" dxfId="0" priority="2" operator="equal">
      <x:formula>15000</x:formula>
    </x:cfRule>
  </x:conditionalFormatting>
  <x:dataValidations count="1">
    <x:dataValidation type="list" sqref="E5:F204">
      <x:formula1>"総合型,スプリンター,クライマー,パンチャー,クラシック型,TT・ルーラー型"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78fc96696fe4b5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5" hidden="0" customWidth="1"/>
    <x:col min="3" max="3" width="14" hidden="0" customWidth="1"/>
    <x:col min="4" max="4" width="11" hidden="0" customWidth="1"/>
    <x:col min="5" max="5" width="17" hidden="0" customWidth="1"/>
    <x:col min="6" max="6" width="17" hidden="0" customWidth="1"/>
    <x:col min="7" max="7" width="12" hidden="0" customWidth="1"/>
    <x:col min="8" max="8" width="14" hidden="0" customWidth="1"/>
    <x:col min="9" max="9" width="30" hidden="0" customWidth="1"/>
    <x:col min="10" max="10" width="13" hidden="0" customWidth="1"/>
    <x:col min="11" max="11" width="64" hidden="0" customWidth="1"/>
  </x:cols>
  <x:sheetData>
    <x:row r="1" ht="34" customHeight="1">
      <x:c r="A1" s="3" t="str">
        <x:v>後日登場候補 — 歴史・クラシック選手 11名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4" customHeight="1">
      <x:c r="A2" s="6" t="str">
        <x:v>初期200名には含めず、後日登場させる別枠。主脚質・副脚質・適性タグの構造は本編と共通です。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</x:row>
    <x:row r="3" ht="22" customHeight="1"/>
    <x:row r="4" ht="32" customHeight="1">
      <x:c r="A4" s="15" t="str">
        <x:v>No.</x:v>
      </x:c>
      <x:c r="B4" s="20" t="str">
        <x:v>実在選手名</x:v>
      </x:c>
      <x:c r="C4" s="20" t="str">
        <x:v>国・地域</x:v>
      </x:c>
      <x:c r="D4" s="20" t="str">
        <x:v>時代区分</x:v>
      </x:c>
      <x:c r="E4" s="20" t="str">
        <x:v>主脚質</x:v>
      </x:c>
      <x:c r="F4" s="20" t="str">
        <x:v>副脚質</x:v>
      </x:c>
      <x:c r="G4" s="20" t="str">
        <x:v>エース適性</x:v>
      </x:c>
      <x:c r="H4" s="20" t="str">
        <x:v>アシスト適性</x:v>
      </x:c>
      <x:c r="I4" s="20" t="str">
        <x:v>適性タグ</x:v>
      </x:c>
      <x:c r="J4" s="20" t="str">
        <x:v>仮Credit</x:v>
      </x:c>
      <x:c r="K4" s="16" t="str">
        <x:v>人物確認URL</x:v>
      </x:c>
    </x:row>
    <x:row r="5" ht="34" customHeight="1">
      <x:c r="A5" s="78" t="n">
        <x:v>1</x:v>
      </x:c>
      <x:c r="B5" s="78" t="str">
        <x:v>Eddy Merckx</x:v>
      </x:c>
      <x:c r="C5" s="78" t="str">
        <x:v>ベルギー</x:v>
      </x:c>
      <x:c r="D5" s="78" t="str">
        <x:v>クラシック</x:v>
      </x:c>
      <x:c r="E5" s="78" t="str">
        <x:v>総合型</x:v>
      </x:c>
      <x:c r="F5" s="78" t="str">
        <x:v>クライマー</x:v>
      </x:c>
      <x:c r="G5" s="93" t="n">
        <x:v>96</x:v>
      </x:c>
      <x:c r="H5" s="93" t="n">
        <x:v>66</x:v>
      </x:c>
      <x:c r="I5" s="99" t="str">
        <x:v>日別回復 / 登坂力</x:v>
      </x:c>
      <x:c r="J5" s="100" t="n">
        <x:v>12000</x:v>
      </x:c>
      <x:c r="K5" s="99" t="str">
        <x:v>https://en.wikipedia.org/wiki/Special:Search?search=Eddy%20Merckx%20cyclist</x:v>
      </x:c>
    </x:row>
    <x:row r="6" ht="34" customHeight="1">
      <x:c r="A6" s="79" t="n">
        <x:v>2</x:v>
      </x:c>
      <x:c r="B6" s="79" t="str">
        <x:v>Bernard Hinault</x:v>
      </x:c>
      <x:c r="C6" s="79" t="str">
        <x:v>フランス</x:v>
      </x:c>
      <x:c r="D6" s="79" t="str">
        <x:v>クラシック</x:v>
      </x:c>
      <x:c r="E6" s="79" t="str">
        <x:v>総合型</x:v>
      </x:c>
      <x:c r="F6" s="79" t="str">
        <x:v>クライマー</x:v>
      </x:c>
      <x:c r="G6" s="94" t="n">
        <x:v>95</x:v>
      </x:c>
      <x:c r="H6" s="94" t="n">
        <x:v>67</x:v>
      </x:c>
      <x:c r="I6" s="101" t="str">
        <x:v>日別回復 / 登坂力</x:v>
      </x:c>
      <x:c r="J6" s="102" t="n">
        <x:v>11600</x:v>
      </x:c>
      <x:c r="K6" s="101" t="str">
        <x:v>https://en.wikipedia.org/wiki/Special:Search?search=Bernard%20Hinault%20cyclist</x:v>
      </x:c>
    </x:row>
    <x:row r="7" ht="34" customHeight="1">
      <x:c r="A7" s="79" t="n">
        <x:v>3</x:v>
      </x:c>
      <x:c r="B7" s="79" t="str">
        <x:v>Fausto Coppi</x:v>
      </x:c>
      <x:c r="C7" s="79" t="str">
        <x:v>イタリア</x:v>
      </x:c>
      <x:c r="D7" s="79" t="str">
        <x:v>歴史</x:v>
      </x:c>
      <x:c r="E7" s="79" t="str">
        <x:v>総合型</x:v>
      </x:c>
      <x:c r="F7" s="79" t="str">
        <x:v>クライマー</x:v>
      </x:c>
      <x:c r="G7" s="94" t="n">
        <x:v>94</x:v>
      </x:c>
      <x:c r="H7" s="94" t="n">
        <x:v>68</x:v>
      </x:c>
      <x:c r="I7" s="101" t="str">
        <x:v>日別回復 / 登坂力</x:v>
      </x:c>
      <x:c r="J7" s="102" t="n">
        <x:v>11500</x:v>
      </x:c>
      <x:c r="K7" s="101" t="str">
        <x:v>https://en.wikipedia.org/wiki/Special:Search?search=Fausto%20Coppi%20cyclist</x:v>
      </x:c>
    </x:row>
    <x:row r="8" ht="34" customHeight="1">
      <x:c r="A8" s="79" t="n">
        <x:v>4</x:v>
      </x:c>
      <x:c r="B8" s="79" t="str">
        <x:v>Jacques Anquetil</x:v>
      </x:c>
      <x:c r="C8" s="79" t="str">
        <x:v>フランス</x:v>
      </x:c>
      <x:c r="D8" s="79" t="str">
        <x:v>歴史</x:v>
      </x:c>
      <x:c r="E8" s="79" t="str">
        <x:v>総合型</x:v>
      </x:c>
      <x:c r="F8" s="79" t="str">
        <x:v>クライマー</x:v>
      </x:c>
      <x:c r="G8" s="94" t="n">
        <x:v>97</x:v>
      </x:c>
      <x:c r="H8" s="94" t="n">
        <x:v>69</x:v>
      </x:c>
      <x:c r="I8" s="101" t="str">
        <x:v>日別回復 / 登坂力</x:v>
      </x:c>
      <x:c r="J8" s="102" t="n">
        <x:v>11000</x:v>
      </x:c>
      <x:c r="K8" s="101" t="str">
        <x:v>https://en.wikipedia.org/wiki/Special:Search?search=Jacques%20Anquetil%20cyclist</x:v>
      </x:c>
    </x:row>
    <x:row r="9" ht="34" customHeight="1">
      <x:c r="A9" s="79" t="n">
        <x:v>5</x:v>
      </x:c>
      <x:c r="B9" s="79" t="str">
        <x:v>Gino Bartali</x:v>
      </x:c>
      <x:c r="C9" s="79" t="str">
        <x:v>イタリア</x:v>
      </x:c>
      <x:c r="D9" s="79" t="str">
        <x:v>歴史</x:v>
      </x:c>
      <x:c r="E9" s="79" t="str">
        <x:v>総合型</x:v>
      </x:c>
      <x:c r="F9" s="79" t="str">
        <x:v>クライマー</x:v>
      </x:c>
      <x:c r="G9" s="94" t="n">
        <x:v>96</x:v>
      </x:c>
      <x:c r="H9" s="94" t="n">
        <x:v>65</x:v>
      </x:c>
      <x:c r="I9" s="101" t="str">
        <x:v>日別回復 / 登坂力</x:v>
      </x:c>
      <x:c r="J9" s="102" t="n">
        <x:v>10000</x:v>
      </x:c>
      <x:c r="K9" s="101" t="str">
        <x:v>https://en.wikipedia.org/wiki/Special:Search?search=Gino%20Bartali%20cyclist</x:v>
      </x:c>
    </x:row>
    <x:row r="10" ht="34" customHeight="1">
      <x:c r="A10" s="79" t="n">
        <x:v>6</x:v>
      </x:c>
      <x:c r="B10" s="79" t="str">
        <x:v>Felice Gimondi</x:v>
      </x:c>
      <x:c r="C10" s="79" t="str">
        <x:v>イタリア</x:v>
      </x:c>
      <x:c r="D10" s="79" t="str">
        <x:v>クラシック</x:v>
      </x:c>
      <x:c r="E10" s="79" t="str">
        <x:v>総合型</x:v>
      </x:c>
      <x:c r="F10" s="79" t="str">
        <x:v>クライマー</x:v>
      </x:c>
      <x:c r="G10" s="94" t="n">
        <x:v>95</x:v>
      </x:c>
      <x:c r="H10" s="94" t="n">
        <x:v>66</x:v>
      </x:c>
      <x:c r="I10" s="101" t="str">
        <x:v>日別回復 / 登坂力</x:v>
      </x:c>
      <x:c r="J10" s="102" t="n">
        <x:v>9800</x:v>
      </x:c>
      <x:c r="K10" s="101" t="str">
        <x:v>https://en.wikipedia.org/wiki/Special:Search?search=Felice%20Gimondi%20cyclist</x:v>
      </x:c>
    </x:row>
    <x:row r="11" ht="34" customHeight="1">
      <x:c r="A11" s="79" t="n">
        <x:v>7</x:v>
      </x:c>
      <x:c r="B11" s="79" t="str">
        <x:v>Federico Bahamontes</x:v>
      </x:c>
      <x:c r="C11" s="79" t="str">
        <x:v>スペイン</x:v>
      </x:c>
      <x:c r="D11" s="79" t="str">
        <x:v>歴史</x:v>
      </x:c>
      <x:c r="E11" s="79" t="str">
        <x:v>クライマー</x:v>
      </x:c>
      <x:c r="F11" s="79" t="str">
        <x:v>パンチャー</x:v>
      </x:c>
      <x:c r="G11" s="94" t="n">
        <x:v>94</x:v>
      </x:c>
      <x:c r="H11" s="94" t="n">
        <x:v>67</x:v>
      </x:c>
      <x:c r="I11" s="101" t="str">
        <x:v>山岳耐久 / 反復加速</x:v>
      </x:c>
      <x:c r="J11" s="102" t="n">
        <x:v>8800</x:v>
      </x:c>
      <x:c r="K11" s="101" t="str">
        <x:v>https://en.wikipedia.org/wiki/Special:Search?search=Federico%20Bahamontes%20cyclist</x:v>
      </x:c>
    </x:row>
    <x:row r="12" ht="34" customHeight="1">
      <x:c r="A12" s="79" t="n">
        <x:v>8</x:v>
      </x:c>
      <x:c r="B12" s="79" t="str">
        <x:v>Luis Herrera</x:v>
      </x:c>
      <x:c r="C12" s="79" t="str">
        <x:v>コロンビア</x:v>
      </x:c>
      <x:c r="D12" s="79" t="str">
        <x:v>クラシック</x:v>
      </x:c>
      <x:c r="E12" s="79" t="str">
        <x:v>クライマー</x:v>
      </x:c>
      <x:c r="F12" s="79" t="str">
        <x:v>パンチャー</x:v>
      </x:c>
      <x:c r="G12" s="94" t="n">
        <x:v>97</x:v>
      </x:c>
      <x:c r="H12" s="94" t="n">
        <x:v>68</x:v>
      </x:c>
      <x:c r="I12" s="101" t="str">
        <x:v>山岳耐久 / 反復加速</x:v>
      </x:c>
      <x:c r="J12" s="102" t="n">
        <x:v>8200</x:v>
      </x:c>
      <x:c r="K12" s="101" t="str">
        <x:v>https://en.wikipedia.org/wiki/Special:Search?search=Luis%20Herrera%20cyclist</x:v>
      </x:c>
    </x:row>
    <x:row r="13" ht="34" customHeight="1">
      <x:c r="A13" s="79" t="n">
        <x:v>9</x:v>
      </x:c>
      <x:c r="B13" s="79" t="str">
        <x:v>Charly Gaul</x:v>
      </x:c>
      <x:c r="C13" s="79" t="str">
        <x:v>ルクセンブルク</x:v>
      </x:c>
      <x:c r="D13" s="79" t="str">
        <x:v>歴史</x:v>
      </x:c>
      <x:c r="E13" s="79" t="str">
        <x:v>クライマー</x:v>
      </x:c>
      <x:c r="F13" s="79" t="str">
        <x:v>パンチャー</x:v>
      </x:c>
      <x:c r="G13" s="94" t="n">
        <x:v>96</x:v>
      </x:c>
      <x:c r="H13" s="94" t="n">
        <x:v>69</x:v>
      </x:c>
      <x:c r="I13" s="101" t="str">
        <x:v>山岳耐久 / 反復加速</x:v>
      </x:c>
      <x:c r="J13" s="102" t="n">
        <x:v>9000</x:v>
      </x:c>
      <x:c r="K13" s="101" t="str">
        <x:v>https://en.wikipedia.org/wiki/Special:Search?search=Charly%20Gaul%20cyclist</x:v>
      </x:c>
    </x:row>
    <x:row r="14" ht="34" customHeight="1">
      <x:c r="A14" s="79" t="n">
        <x:v>10</x:v>
      </x:c>
      <x:c r="B14" s="79" t="str">
        <x:v>Lucien Van Impe</x:v>
      </x:c>
      <x:c r="C14" s="79" t="str">
        <x:v>ベルギー</x:v>
      </x:c>
      <x:c r="D14" s="79" t="str">
        <x:v>クラシック</x:v>
      </x:c>
      <x:c r="E14" s="79" t="str">
        <x:v>クライマー</x:v>
      </x:c>
      <x:c r="F14" s="79" t="str">
        <x:v>パンチャー</x:v>
      </x:c>
      <x:c r="G14" s="94" t="n">
        <x:v>95</x:v>
      </x:c>
      <x:c r="H14" s="94" t="n">
        <x:v>65</x:v>
      </x:c>
      <x:c r="I14" s="101" t="str">
        <x:v>山岳耐久 / 反復加速</x:v>
      </x:c>
      <x:c r="J14" s="102" t="n">
        <x:v>8500</x:v>
      </x:c>
      <x:c r="K14" s="101" t="str">
        <x:v>https://en.wikipedia.org/wiki/Special:Search?search=Lucien%20Van%20Impe%20cyclist</x:v>
      </x:c>
    </x:row>
    <x:row r="15" ht="34" customHeight="1">
      <x:c r="A15" s="80" t="n">
        <x:v>11</x:v>
      </x:c>
      <x:c r="B15" s="80" t="str">
        <x:v>Roger De Vlaeminck</x:v>
      </x:c>
      <x:c r="C15" s="80" t="str">
        <x:v>ベルギー</x:v>
      </x:c>
      <x:c r="D15" s="80" t="str">
        <x:v>クラシック</x:v>
      </x:c>
      <x:c r="E15" s="80" t="str">
        <x:v>クラシック型</x:v>
      </x:c>
      <x:c r="F15" s="80" t="str">
        <x:v>パンチャー</x:v>
      </x:c>
      <x:c r="G15" s="95" t="n">
        <x:v>94</x:v>
      </x:c>
      <x:c r="H15" s="95" t="n">
        <x:v>66</x:v>
      </x:c>
      <x:c r="I15" s="103" t="str">
        <x:v>バイクコントロール / 反復加速</x:v>
      </x:c>
      <x:c r="J15" s="104" t="n">
        <x:v>10000</x:v>
      </x:c>
      <x:c r="K15" s="103" t="str">
        <x:v>https://en.wikipedia.org/wiki/Special:Search?search=Roger%20De%20Vlaeminck%20cyclist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335ffa8aae4f4af4"/>
  </x:tableParts>
</x:worksheet>
</file>