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827b0453f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カード性能一覧" sheetId="1" r:id="Rac99d557f5b54c51"/>
    <x:sheet xmlns:r="http://schemas.openxmlformats.org/officeDocument/2006/relationships" name="選手別採用" sheetId="2" r:id="R426fe347b605461d"/>
    <x:sheet xmlns:r="http://schemas.openxmlformats.org/officeDocument/2006/relationships" name="未割当カード" sheetId="3" r:id="Ra68427d51b574002"/>
    <x:sheet xmlns:r="http://schemas.openxmlformats.org/officeDocument/2006/relationships" name="カードルール" sheetId="4" r:id="Raff70a70f2fb4289"/>
    <x:sheet xmlns:r="http://schemas.openxmlformats.org/officeDocument/2006/relationships" name="概要" sheetId="5" r:id="R2510a88b1ee4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b/>
      <x:sz val="16"/>
      <x:color rgb="FF202124"/>
      <x:name val="Carlito"/>
    </x:font>
    <x:font>
      <x:sz val="10"/>
      <x:color rgb="FF5F6368"/>
      <x:name val="Carlito"/>
    </x:font>
    <x:font>
      <x:b/>
      <x:sz val="11"/>
      <x:color rgb="FF202124"/>
      <x:name val="Carlito"/>
    </x:font>
    <x:font>
      <x:sz val="9"/>
      <x:color rgb="FF202124"/>
      <x:name val="Carlito"/>
    </x:font>
    <x:font>
      <x:b/>
      <x:sz val="18"/>
      <x:color rgb="FF202124"/>
      <x:name val="Carlito"/>
    </x:font>
    <x:font>
      <x:sz val="11"/>
      <x:color rgb="FF5F6368"/>
      <x:name val="Carlito"/>
    </x:font>
    <x:font>
      <x:sz val="11"/>
      <x:color rgb="FF20212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1F3F4"/>
      </x:patternFill>
    </x:fill>
    <x:fill>
      <x:patternFill patternType="solid">
        <x:fgColor rgb="FFFFFFFF"/>
      </x:patternFill>
    </x:fill>
    <x:fill>
      <x:patternFill patternType="solid">
        <x:fgColor rgb="FFE0E0E0"/>
      </x:patternFill>
    </x:fill>
    <x:fill>
      <x:patternFill patternType="solid">
        <x:fgColor rgb="FFFFF4CE"/>
      </x:patternFill>
    </x:fill>
  </x:fills>
  <x:borders count="5">
    <x:border/>
    <x:border>
      <x:bottom style="thin">
        <x:color rgb="FFDADCE0"/>
      </x:bottom>
    </x:border>
    <x:border>
      <x:bottom style="double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top style="thin">
        <x:color rgb="FFDADCE0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201" fontId="7" fillId="3" borderId="1" xfId="0" applyNumberFormat="1" applyFont="1" applyFill="1" applyBorder="1" applyAlignment="1">
      <x:alignment wrapText="1"/>
    </x:xf>
    <x:xf numFmtId="201" fontId="7" fillId="3" borderId="3" xfId="0" applyNumberFormat="1" applyFont="1" applyFill="1" applyBorder="1" applyAlignment="1">
      <x:alignment wrapText="1"/>
    </x:xf>
    <x:xf numFmtId="201" fontId="7" fillId="3" borderId="4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EF7E0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348a45c854fcf" /><Relationship Type="http://schemas.openxmlformats.org/officeDocument/2006/relationships/theme" Target="/xl/theme/theme1.xml" Id="R6271364efa9846a1" /><Relationship Type="http://schemas.openxmlformats.org/officeDocument/2006/relationships/sharedStrings" Target="/xl/sharedStrings.xml" Id="Rd1623b459ce24d07" /><Relationship Type="http://schemas.openxmlformats.org/officeDocument/2006/relationships/worksheet" Target="/xl/worksheets/sheet1.xml" Id="Rac99d557f5b54c51" /><Relationship Type="http://schemas.openxmlformats.org/officeDocument/2006/relationships/worksheet" Target="/xl/worksheets/sheet2.xml" Id="R426fe347b605461d" /><Relationship Type="http://schemas.openxmlformats.org/officeDocument/2006/relationships/worksheet" Target="/xl/worksheets/sheet3.xml" Id="Ra68427d51b574002" /><Relationship Type="http://schemas.openxmlformats.org/officeDocument/2006/relationships/worksheet" Target="/xl/worksheets/sheet4.xml" Id="Raff70a70f2fb4289" /><Relationship Type="http://schemas.openxmlformats.org/officeDocument/2006/relationships/worksheet" Target="/xl/worksheets/sheet5.xml" Id="R2510a88b1ee44fa3" /></Relationships>
</file>

<file path=xl/tables/table1.xml><?xml version="1.0" encoding="utf-8"?>
<x:table xmlns:x="http://schemas.openxmlformats.org/spreadsheetml/2006/main" id="1" name="CardPerformanceTable" displayName="CardPerformanceTable" ref="A4:N161" headerRowCount="1" totalsRowCount="0" totalsRowShown="0">
  <x:autoFilter ref="A4:N161"/>
  <x:tableColumns count="14">
    <x:tableColumn id="1" name="分類"/>
    <x:tableColumn id="2" name="枠"/>
    <x:tableColumn id="3" name="コスト"/>
    <x:tableColumn id="4" name="回数上限"/>
    <x:tableColumn id="5" name="カード名"/>
    <x:tableColumn id="6" name="対応役割・本人"/>
    <x:tableColumn id="7" name="地形"/>
    <x:tableColumn id="8" name="対象"/>
    <x:tableColumn id="9" name="効果"/>
    <x:tableColumn id="10" name="参照能力・根拠"/>
    <x:tableColumn id="11" name="発展元・二つ名"/>
    <x:tableColumn id="12" name="採用人数"/>
    <x:tableColumn id="13" name="代表選手（最大5名）"/>
    <x:tableColumn id="14" name="状態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iderCardUseTable" displayName="RiderCardUseTable" ref="A4:M514" headerRowCount="1" totalsRowCount="0" totalsRowShown="0">
  <x:autoFilter ref="A4:M514"/>
  <x:tableColumns count="13">
    <x:tableColumn id="1" name="区分"/>
    <x:tableColumn id="2" name="No."/>
    <x:tableColumn id="3" name="選手名"/>
    <x:tableColumn id="4" name="主脚質"/>
    <x:tableColumn id="5" name="副脚質"/>
    <x:tableColumn id="6" name="カード型"/>
    <x:tableColumn id="7" name="役割（3つ）"/>
    <x:tableColumn id="8" name="基本1"/>
    <x:tableColumn id="9" name="基本2"/>
    <x:tableColumn id="10" name="基本3"/>
    <x:tableColumn id="11" name="得意1"/>
    <x:tableColumn id="12" name="得意2"/>
    <x:tableColumn id="13" name="勝負手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UnusedCardsTable" displayName="UnusedCardsTable" ref="A4:H18" headerRowCount="1" totalsRowCount="0" totalsRowShown="0">
  <x:autoFilter ref="A4:H18"/>
  <x:tableColumns count="8">
    <x:tableColumn id="1" name="分類"/>
    <x:tableColumn id="2" name="枠"/>
    <x:tableColumn id="3" name="コスト"/>
    <x:tableColumn id="4" name="カード名"/>
    <x:tableColumn id="5" name="対応役割"/>
    <x:tableColumn id="6" name="効果"/>
    <x:tableColumn id="7" name="参照能力"/>
    <x:tableColumn id="8" name="扱い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ardRulesTable" displayName="CardRulesTable" ref="A4:C14" headerRowCount="1" totalsRowCount="0" totalsRowShown="0">
  <x:autoFilter ref="A4:C14"/>
  <x:tableColumns count="3">
    <x:tableColumn id="1" name="項目"/>
    <x:tableColumn id="2" name="設定"/>
    <x:tableColumn id="3" name="意味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0ed2e3b06f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cbbbe01f6247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ad7d103a324e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33245e60b249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9" hidden="0" customWidth="1"/>
    <x:col min="4" max="4" width="12" hidden="0" customWidth="1"/>
    <x:col min="5" max="5" width="27" hidden="0" customWidth="1"/>
    <x:col min="6" max="6" width="25" hidden="0" customWidth="1"/>
    <x:col min="7" max="7" width="18" hidden="0" customWidth="1"/>
    <x:col min="8" max="8" width="18" hidden="0" customWidth="1"/>
    <x:col min="9" max="9" width="58" hidden="0" customWidth="1"/>
    <x:col min="10" max="10" width="40" hidden="0" customWidth="1"/>
    <x:col min="11" max="11" width="36" hidden="0" customWidth="1"/>
    <x:col min="12" max="12" width="12" hidden="0" customWidth="1"/>
    <x:col min="13" max="13" width="70" hidden="0" customWidth="1"/>
    <x:col min="14" max="14" width="12" hidden="0" customWidth="1"/>
  </x:cols>
  <x:sheetData>
    <x:row r="1" ht="34" customHeight="1">
      <x:c r="A1" s="3" t="str">
        <x:v>カード性能一覧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正本で定義済みの全157カード。個別の威力係数・体力/SP消費値は未定義のため、現時点の性能はコスト・回数・対象・効果・参照能力で管理します。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14" t="str">
        <x:v>分類</x:v>
      </x:c>
      <x:c r="B4" s="14" t="str">
        <x:v>枠</x:v>
      </x:c>
      <x:c r="C4" s="14" t="str">
        <x:v>コスト</x:v>
      </x:c>
      <x:c r="D4" s="14" t="str">
        <x:v>回数上限</x:v>
      </x:c>
      <x:c r="E4" s="14" t="str">
        <x:v>カード名</x:v>
      </x:c>
      <x:c r="F4" s="14" t="str">
        <x:v>対応役割・本人</x:v>
      </x:c>
      <x:c r="G4" s="14" t="str">
        <x:v>地形</x:v>
      </x:c>
      <x:c r="H4" s="14" t="str">
        <x:v>対象</x:v>
      </x:c>
      <x:c r="I4" s="14" t="str">
        <x:v>効果</x:v>
      </x:c>
      <x:c r="J4" s="14" t="str">
        <x:v>参照能力・根拠</x:v>
      </x:c>
      <x:c r="K4" s="14" t="str">
        <x:v>発展元・二つ名</x:v>
      </x:c>
      <x:c r="L4" s="14" t="str">
        <x:v>採用人数</x:v>
      </x:c>
      <x:c r="M4" s="14" t="str">
        <x:v>代表選手（最大5名）</x:v>
      </x:c>
      <x:c r="N4" s="14" t="str">
        <x:v>状態</x:v>
      </x:c>
    </x:row>
    <x:row r="5" ht="40" customHeight="1">
      <x:c r="A5" s="22" t="str">
        <x:v>地形共通基本</x:v>
      </x:c>
      <x:c r="B5" s="22" t="str">
        <x:v>基本技</x:v>
      </x:c>
      <x:c r="C5" s="25" t="n">
        <x:v>1</x:v>
      </x:c>
      <x:c r="D5" s="22" t="str">
        <x:v>制限なし</x:v>
      </x:c>
      <x:c r="E5" s="22" t="str">
        <x:v>トラブル復帰</x:v>
      </x:c>
      <x:c r="F5" s="22" t="str">
        <x:v>パヴェアシスト</x:v>
      </x:c>
      <x:c r="G5" s="22" t="str">
        <x:v>パヴェ</x:v>
      </x:c>
      <x:c r="H5" s="22" t="str">
        <x:v>味方エース</x:v>
      </x:c>
      <x:c r="I5" s="22" t="str">
        <x:v>小さな遅れを牽引で取り戻し、味方エースを集団へ復帰させる。</x:v>
      </x:c>
      <x:c r="J5" s="22" t="str">
        <x:v>cruise / endurance / teamwork</x:v>
      </x:c>
      <x:c r="K5" s="22" t="str"/>
      <x:c r="L5" s="28" t="n">
        <x:v>111</x:v>
      </x:c>
      <x:c r="M5" s="22" t="str">
        <x:v>Florian Sénéchal / Stefan Bissegger / Harry Sweeny / Jefferson Alveiro Cepeda / Carl-Frederik Bévort</x:v>
      </x:c>
      <x:c r="N5" s="22" t="str">
        <x:v>採用中</x:v>
      </x:c>
    </x:row>
    <x:row r="6" ht="40" customHeight="1">
      <x:c r="A6" s="23" t="str">
        <x:v>地形共通基本</x:v>
      </x:c>
      <x:c r="B6" s="23" t="str">
        <x:v>基本技</x:v>
      </x:c>
      <x:c r="C6" s="26" t="n">
        <x:v>1</x:v>
      </x:c>
      <x:c r="D6" s="23" t="str">
        <x:v>制限なし</x:v>
      </x:c>
      <x:c r="E6" s="23" t="str">
        <x:v>パヴェ護衛</x:v>
      </x:c>
      <x:c r="F6" s="23" t="str">
        <x:v>パヴェアシスト</x:v>
      </x:c>
      <x:c r="G6" s="23" t="str">
        <x:v>パヴェ</x:v>
      </x:c>
      <x:c r="H6" s="23" t="str">
        <x:v>味方エース</x:v>
      </x:c>
      <x:c r="I6" s="23" t="str">
        <x:v>悪路で味方エースの進路を守り、分断とトラブルを軽減する。</x:v>
      </x:c>
      <x:c r="J6" s="23" t="str">
        <x:v>cobble / teamwork</x:v>
      </x:c>
      <x:c r="K6" s="23" t="str"/>
      <x:c r="L6" s="29" t="n">
        <x:v>68</x:v>
      </x:c>
      <x:c r="M6" s="23" t="str">
        <x:v>Florian Sénéchal / Harry Sweeny / Jefferson Alveiro Cepeda / Carl-Frederik Bévort / Albert Torres</x:v>
      </x:c>
      <x:c r="N6" s="23" t="str">
        <x:v>採用中</x:v>
      </x:c>
    </x:row>
    <x:row r="7" ht="40" customHeight="1">
      <x:c r="A7" s="23" t="str">
        <x:v>地形共通基本</x:v>
      </x:c>
      <x:c r="B7" s="23" t="str">
        <x:v>基本技</x:v>
      </x:c>
      <x:c r="C7" s="26" t="n">
        <x:v>1</x:v>
      </x:c>
      <x:c r="D7" s="23" t="str">
        <x:v>制限なし</x:v>
      </x:c>
      <x:c r="E7" s="23" t="str">
        <x:v>ポジション確保</x:v>
      </x:c>
      <x:c r="F7" s="23" t="str">
        <x:v>平坦エース</x:v>
      </x:c>
      <x:c r="G7" s="23" t="str">
        <x:v>平坦</x:v>
      </x:c>
      <x:c r="H7" s="23" t="str">
        <x:v>本人</x:v>
      </x:c>
      <x:c r="I7" s="23" t="str">
        <x:v>平坦区間で集団前方へ移動し、分断や落車に巻き込まれる危険を下げる。</x:v>
      </x:c>
      <x:c r="J7" s="23" t="str">
        <x:v>positioning / bike_control</x:v>
      </x:c>
      <x:c r="K7" s="23" t="str"/>
      <x:c r="L7" s="29" t="n">
        <x:v>40</x:v>
      </x:c>
      <x:c r="M7" s="23" t="str">
        <x:v>Jasper Philipsen / Filippo Ganna / Jonathan Milan / Biniam Girmay / Olav Kooij</x:v>
      </x:c>
      <x:c r="N7" s="23" t="str">
        <x:v>採用中</x:v>
      </x:c>
    </x:row>
    <x:row r="8" ht="40" customHeight="1">
      <x:c r="A8" s="23" t="str">
        <x:v>地形共通基本</x:v>
      </x:c>
      <x:c r="B8" s="23" t="str">
        <x:v>基本技</x:v>
      </x:c>
      <x:c r="C8" s="26" t="n">
        <x:v>1</x:v>
      </x:c>
      <x:c r="D8" s="23" t="str">
        <x:v>制限なし</x:v>
      </x:c>
      <x:c r="E8" s="23" t="str">
        <x:v>悪路ライン</x:v>
      </x:c>
      <x:c r="F8" s="23" t="str">
        <x:v>パヴェエース</x:v>
      </x:c>
      <x:c r="G8" s="23" t="str">
        <x:v>パヴェ</x:v>
      </x:c>
      <x:c r="H8" s="23" t="str">
        <x:v>本人</x:v>
      </x:c>
      <x:c r="I8" s="23" t="str">
        <x:v>凹凸の少ない走行線を選び、パヴェでの速度低下を抑える。</x:v>
      </x:c>
      <x:c r="J8" s="23" t="str">
        <x:v>cobble / bike_control</x:v>
      </x:c>
      <x:c r="K8" s="23" t="str"/>
      <x:c r="L8" s="29" t="n">
        <x:v>24</x:v>
      </x:c>
      <x:c r="M8" s="23" t="str">
        <x:v>Mathieu van der Poel / Wout van Aert / Alberto Bettiol / Jasper Stuyven / Tiesj Benoot</x:v>
      </x:c>
      <x:c r="N8" s="23" t="str">
        <x:v>採用中</x:v>
      </x:c>
    </x:row>
    <x:row r="9" ht="40" customHeight="1">
      <x:c r="A9" s="23" t="str">
        <x:v>地形共通基本</x:v>
      </x:c>
      <x:c r="B9" s="23" t="str">
        <x:v>基本技</x:v>
      </x:c>
      <x:c r="C9" s="26" t="n">
        <x:v>1</x:v>
      </x:c>
      <x:c r="D9" s="23" t="str">
        <x:v>制限なし</x:v>
      </x:c>
      <x:c r="E9" s="23" t="str">
        <x:v>位置引き上げ</x:v>
      </x:c>
      <x:c r="F9" s="23" t="str">
        <x:v>丘陵アシスト</x:v>
      </x:c>
      <x:c r="G9" s="23" t="str">
        <x:v>丘陵</x:v>
      </x:c>
      <x:c r="H9" s="23" t="str">
        <x:v>味方エース</x:v>
      </x:c>
      <x:c r="I9" s="23" t="str">
        <x:v>短坂の手前で味方エースを前方へ運び、仕掛けやすい位置を作る。</x:v>
      </x:c>
      <x:c r="J9" s="23" t="str">
        <x:v>positioning / acceleration / teamwork</x:v>
      </x:c>
      <x:c r="K9" s="23" t="str"/>
      <x:c r="L9" s="29" t="n">
        <x:v>89</x:v>
      </x:c>
      <x:c r="M9" s="23" t="str">
        <x:v>Krists Neilands / Alexey Lutsenko / Hugo Hofstetter / Itamar Einhorn / Kevin Geniets</x:v>
      </x:c>
      <x:c r="N9" s="23" t="str">
        <x:v>採用中</x:v>
      </x:c>
    </x:row>
    <x:row r="10" ht="40" customHeight="1">
      <x:c r="A10" s="23" t="str">
        <x:v>地形共通基本</x:v>
      </x:c>
      <x:c r="B10" s="23" t="str">
        <x:v>基本技</x:v>
      </x:c>
      <x:c r="C10" s="26" t="n">
        <x:v>1</x:v>
      </x:c>
      <x:c r="D10" s="23" t="str">
        <x:v>制限なし</x:v>
      </x:c>
      <x:c r="E10" s="23" t="str">
        <x:v>丘陵リズム</x:v>
      </x:c>
      <x:c r="F10" s="23" t="str">
        <x:v>丘陵エース</x:v>
      </x:c>
      <x:c r="G10" s="23" t="str">
        <x:v>丘陵</x:v>
      </x:c>
      <x:c r="H10" s="23" t="str">
        <x:v>本人</x:v>
      </x:c>
      <x:c r="I10" s="23" t="str">
        <x:v>起伏に合わせて出力を整え、短い登りでの消耗を抑える。</x:v>
      </x:c>
      <x:c r="J10" s="23" t="str">
        <x:v>punch / stamina</x:v>
      </x:c>
      <x:c r="K10" s="23" t="str"/>
      <x:c r="L10" s="29" t="n">
        <x:v>25</x:v>
      </x:c>
      <x:c r="M10" s="23" t="str">
        <x:v>Julian Alaphilippe / Tim Wellens / Mattias Skjelmose / Maxim Van Gils / Valentin Madouas</x:v>
      </x:c>
      <x:c r="N10" s="23" t="str">
        <x:v>採用中</x:v>
      </x:c>
    </x:row>
    <x:row r="11" ht="40" customHeight="1">
      <x:c r="A11" s="23" t="str">
        <x:v>地形共通基本</x:v>
      </x:c>
      <x:c r="B11" s="23" t="str">
        <x:v>基本技</x:v>
      </x:c>
      <x:c r="C11" s="26" t="n">
        <x:v>1</x:v>
      </x:c>
      <x:c r="D11" s="23" t="str">
        <x:v>制限なし</x:v>
      </x:c>
      <x:c r="E11" s="23" t="str">
        <x:v>丘陵牽引</x:v>
      </x:c>
      <x:c r="F11" s="23" t="str">
        <x:v>丘陵アシスト</x:v>
      </x:c>
      <x:c r="G11" s="23" t="str">
        <x:v>丘陵</x:v>
      </x:c>
      <x:c r="H11" s="23" t="str">
        <x:v>味方エース</x:v>
      </x:c>
      <x:c r="I11" s="23" t="str">
        <x:v>起伏区間を一定ペースで引き、味方エースの消耗を抑える。</x:v>
      </x:c>
      <x:c r="J11" s="23" t="str">
        <x:v>punch / stamina / teamwork</x:v>
      </x:c>
      <x:c r="K11" s="23" t="str"/>
      <x:c r="L11" s="29" t="n">
        <x:v>41</x:v>
      </x:c>
      <x:c r="M11" s="23" t="str">
        <x:v>Krists Neilands / Alexey Lutsenko / Kevin Geniets / Cedric Beullens / Diego Ulissi</x:v>
      </x:c>
      <x:c r="N11" s="23" t="str">
        <x:v>採用中</x:v>
      </x:c>
    </x:row>
    <x:row r="12" ht="40" customHeight="1">
      <x:c r="A12" s="23" t="str">
        <x:v>地形共通基本</x:v>
      </x:c>
      <x:c r="B12" s="23" t="str">
        <x:v>基本技</x:v>
      </x:c>
      <x:c r="C12" s="26" t="n">
        <x:v>1</x:v>
      </x:c>
      <x:c r="D12" s="23" t="str">
        <x:v>制限なし</x:v>
      </x:c>
      <x:c r="E12" s="23" t="str">
        <x:v>急勾配対応</x:v>
      </x:c>
      <x:c r="F12" s="23" t="str">
        <x:v>山岳エース</x:v>
      </x:c>
      <x:c r="G12" s="23" t="str">
        <x:v>山岳</x:v>
      </x:c>
      <x:c r="H12" s="23" t="str">
        <x:v>本人</x:v>
      </x:c>
      <x:c r="I12" s="23" t="str">
        <x:v>急勾配に合わせて出力を調整し、失速を防ぐ。</x:v>
      </x:c>
      <x:c r="J12" s="23" t="str">
        <x:v>climbing / recovery</x:v>
      </x:c>
      <x:c r="K12" s="23" t="str"/>
      <x:c r="L12" s="29" t="n">
        <x:v>57</x:v>
      </x:c>
      <x:c r="M12" s="23" t="str">
        <x:v>Tadej Pogacar / Paul Seixas / Isaac del Toro / Jonas Vingegaard / Remco Evenepoel</x:v>
      </x:c>
      <x:c r="N12" s="23" t="str">
        <x:v>採用中</x:v>
      </x:c>
    </x:row>
    <x:row r="13" ht="40" customHeight="1">
      <x:c r="A13" s="23" t="str">
        <x:v>地形共通基本</x:v>
      </x:c>
      <x:c r="B13" s="23" t="str">
        <x:v>基本技</x:v>
      </x:c>
      <x:c r="C13" s="26" t="n">
        <x:v>1</x:v>
      </x:c>
      <x:c r="D13" s="23" t="str">
        <x:v>制限なし</x:v>
      </x:c>
      <x:c r="E13" s="23" t="str">
        <x:v>山岳ガード</x:v>
      </x:c>
      <x:c r="F13" s="23" t="str">
        <x:v>山岳アシスト</x:v>
      </x:c>
      <x:c r="G13" s="23" t="str">
        <x:v>山岳</x:v>
      </x:c>
      <x:c r="H13" s="23" t="str">
        <x:v>味方エース</x:v>
      </x:c>
      <x:c r="I13" s="23" t="str">
        <x:v>登りで味方エースの前へ入り、風とペース変化から守る。</x:v>
      </x:c>
      <x:c r="J13" s="23" t="str">
        <x:v>climbing / recovery / teamwork</x:v>
      </x:c>
      <x:c r="K13" s="23" t="str"/>
      <x:c r="L13" s="29" t="n">
        <x:v>95</x:v>
      </x:c>
      <x:c r="M13" s="23" t="str">
        <x:v>Daniel Martínez / Hugo Houle / Bauke Mollema / George Bennett / Lennert Van Eetvelt</x:v>
      </x:c>
      <x:c r="N13" s="23" t="str">
        <x:v>採用中</x:v>
      </x:c>
    </x:row>
    <x:row r="14" ht="40" customHeight="1">
      <x:c r="A14" s="23" t="str">
        <x:v>地形共通基本</x:v>
      </x:c>
      <x:c r="B14" s="23" t="str">
        <x:v>基本技</x:v>
      </x:c>
      <x:c r="C14" s="26" t="n">
        <x:v>1</x:v>
      </x:c>
      <x:c r="D14" s="23" t="str">
        <x:v>制限なし</x:v>
      </x:c>
      <x:c r="E14" s="23" t="str">
        <x:v>山岳牽引</x:v>
      </x:c>
      <x:c r="F14" s="23" t="str">
        <x:v>山岳アシスト</x:v>
      </x:c>
      <x:c r="G14" s="23" t="str">
        <x:v>山岳</x:v>
      </x:c>
      <x:c r="H14" s="23" t="str">
        <x:v>味方エース</x:v>
      </x:c>
      <x:c r="I14" s="23" t="str">
        <x:v>登りで一定ペースを刻み、味方エースの体力消費を抑える。</x:v>
      </x:c>
      <x:c r="J14" s="23" t="str">
        <x:v>climbing / stamina / teamwork</x:v>
      </x:c>
      <x:c r="K14" s="23" t="str"/>
      <x:c r="L14" s="29" t="n">
        <x:v>94</x:v>
      </x:c>
      <x:c r="M14" s="23" t="str">
        <x:v>Daniel Martínez / Hugo Houle / Bauke Mollema / George Bennett / Lennert Van Eetvelt</x:v>
      </x:c>
      <x:c r="N14" s="23" t="str">
        <x:v>採用中</x:v>
      </x:c>
    </x:row>
    <x:row r="15" ht="40" customHeight="1">
      <x:c r="A15" s="23" t="str">
        <x:v>地形共通基本</x:v>
      </x:c>
      <x:c r="B15" s="23" t="str">
        <x:v>基本技</x:v>
      </x:c>
      <x:c r="C15" s="26" t="n">
        <x:v>1</x:v>
      </x:c>
      <x:c r="D15" s="23" t="str">
        <x:v>制限なし</x:v>
      </x:c>
      <x:c r="E15" s="23" t="str">
        <x:v>山岳待機</x:v>
      </x:c>
      <x:c r="F15" s="23" t="str">
        <x:v>山岳エース</x:v>
      </x:c>
      <x:c r="G15" s="23" t="str">
        <x:v>山岳</x:v>
      </x:c>
      <x:c r="H15" s="23" t="str">
        <x:v>本人</x:v>
      </x:c>
      <x:c r="I15" s="23" t="str">
        <x:v>ライバルの直後を維持し、攻撃に反応できる位置で脚を残す。</x:v>
      </x:c>
      <x:c r="J15" s="23" t="str">
        <x:v>climbing / positioning</x:v>
      </x:c>
      <x:c r="K15" s="23" t="str"/>
      <x:c r="L15" s="29" t="n">
        <x:v>56</x:v>
      </x:c>
      <x:c r="M15" s="23" t="str">
        <x:v>Tadej Pogacar / Paul Seixas / Isaac del Toro / Jonas Vingegaard / Primoz Roglic</x:v>
      </x:c>
      <x:c r="N15" s="23" t="str">
        <x:v>採用中</x:v>
      </x:c>
    </x:row>
    <x:row r="16" ht="40" customHeight="1">
      <x:c r="A16" s="23" t="str">
        <x:v>地形共通基本</x:v>
      </x:c>
      <x:c r="B16" s="23" t="str">
        <x:v>基本技</x:v>
      </x:c>
      <x:c r="C16" s="26" t="n">
        <x:v>1</x:v>
      </x:c>
      <x:c r="D16" s="23" t="str">
        <x:v>制限なし</x:v>
      </x:c>
      <x:c r="E16" s="23" t="str">
        <x:v>山岳番手</x:v>
      </x:c>
      <x:c r="F16" s="23" t="str">
        <x:v>山岳アシスト</x:v>
      </x:c>
      <x:c r="G16" s="23" t="str">
        <x:v>山岳</x:v>
      </x:c>
      <x:c r="H16" s="23" t="str">
        <x:v>味方エース</x:v>
      </x:c>
      <x:c r="I16" s="23" t="str">
        <x:v>味方エースの直後を確保し、相手の小さな攻撃へ反応する。</x:v>
      </x:c>
      <x:c r="J16" s="23" t="str">
        <x:v>positioning / climbing / teamwork</x:v>
      </x:c>
      <x:c r="K16" s="23" t="str"/>
      <x:c r="L16" s="29" t="n">
        <x:v>89</x:v>
      </x:c>
      <x:c r="M16" s="23" t="str">
        <x:v>Daniel Martínez / Hugo Houle / Bauke Mollema / George Bennett / Lennert Van Eetvelt</x:v>
      </x:c>
      <x:c r="N16" s="23" t="str">
        <x:v>採用中</x:v>
      </x:c>
    </x:row>
    <x:row r="17" ht="40" customHeight="1">
      <x:c r="A17" s="23" t="str">
        <x:v>地形共通基本</x:v>
      </x:c>
      <x:c r="B17" s="23" t="str">
        <x:v>基本技</x:v>
      </x:c>
      <x:c r="C17" s="26" t="n">
        <x:v>1</x:v>
      </x:c>
      <x:c r="D17" s="23" t="str">
        <x:v>制限なし</x:v>
      </x:c>
      <x:c r="E17" s="23" t="str">
        <x:v>仕掛け待ち</x:v>
      </x:c>
      <x:c r="F17" s="23" t="str">
        <x:v>丘陵エース</x:v>
      </x:c>
      <x:c r="G17" s="23" t="str">
        <x:v>丘陵</x:v>
      </x:c>
      <x:c r="H17" s="23" t="str">
        <x:v>本人</x:v>
      </x:c>
      <x:c r="I17" s="23" t="str">
        <x:v>周囲の動きを警戒し、丘陵での小さなアタックに反応する。</x:v>
      </x:c>
      <x:c r="J17" s="23" t="str">
        <x:v>positioning / fighting</x:v>
      </x:c>
      <x:c r="K17" s="23" t="str"/>
      <x:c r="L17" s="29" t="n">
        <x:v>37</x:v>
      </x:c>
      <x:c r="M17" s="23" t="str">
        <x:v>Julian Alaphilippe / Arnaud De Lie / Tim Wellens / Mattias Skjelmose / Tom Pidcock</x:v>
      </x:c>
      <x:c r="N17" s="23" t="str">
        <x:v>採用中</x:v>
      </x:c>
    </x:row>
    <x:row r="18" ht="40" customHeight="1">
      <x:c r="A18" s="23" t="str">
        <x:v>地形共通基本</x:v>
      </x:c>
      <x:c r="B18" s="23" t="str">
        <x:v>基本技</x:v>
      </x:c>
      <x:c r="C18" s="26" t="n">
        <x:v>1</x:v>
      </x:c>
      <x:c r="D18" s="23" t="str">
        <x:v>制限なし</x:v>
      </x:c>
      <x:c r="E18" s="23" t="str">
        <x:v>車輪キープ</x:v>
      </x:c>
      <x:c r="F18" s="23" t="str">
        <x:v>平坦エース</x:v>
      </x:c>
      <x:c r="G18" s="23" t="str">
        <x:v>平坦</x:v>
      </x:c>
      <x:c r="H18" s="23" t="str">
        <x:v>本人</x:v>
      </x:c>
      <x:c r="I18" s="23" t="str">
        <x:v>有利な選手の後輪を確保し、次の加速に必要な体力を温存する。</x:v>
      </x:c>
      <x:c r="J18" s="23" t="str">
        <x:v>positioning / acceleration</x:v>
      </x:c>
      <x:c r="K18" s="23" t="str"/>
      <x:c r="L18" s="29" t="n">
        <x:v>40</x:v>
      </x:c>
      <x:c r="M18" s="23" t="str">
        <x:v>Jasper Philipsen / Filippo Ganna / Jonathan Milan / Biniam Girmay / Arnaud De Lie</x:v>
      </x:c>
      <x:c r="N18" s="23" t="str">
        <x:v>採用中</x:v>
      </x:c>
    </x:row>
    <x:row r="19" ht="40" customHeight="1">
      <x:c r="A19" s="23" t="str">
        <x:v>地形共通基本</x:v>
      </x:c>
      <x:c r="B19" s="23" t="str">
        <x:v>基本技</x:v>
      </x:c>
      <x:c r="C19" s="26" t="n">
        <x:v>1</x:v>
      </x:c>
      <x:c r="D19" s="23" t="str">
        <x:v>制限なし</x:v>
      </x:c>
      <x:c r="E19" s="23" t="str">
        <x:v>巡航温存</x:v>
      </x:c>
      <x:c r="F19" s="23" t="str">
        <x:v>平坦エース</x:v>
      </x:c>
      <x:c r="G19" s="23" t="str">
        <x:v>平坦</x:v>
      </x:c>
      <x:c r="H19" s="23" t="str">
        <x:v>本人</x:v>
      </x:c>
      <x:c r="I19" s="23" t="str">
        <x:v>平坦で一定速度を保ち、勝負所までスタミナ消費を抑える。</x:v>
      </x:c>
      <x:c r="J19" s="23" t="str">
        <x:v>cruise / stamina</x:v>
      </x:c>
      <x:c r="K19" s="23" t="str"/>
      <x:c r="L19" s="29" t="n">
        <x:v>29</x:v>
      </x:c>
      <x:c r="M19" s="23" t="str">
        <x:v>Remco Evenepoel / Jasper Philipsen / Filippo Ganna / Jonathan Milan / Biniam Girmay</x:v>
      </x:c>
      <x:c r="N19" s="23" t="str">
        <x:v>採用中</x:v>
      </x:c>
    </x:row>
    <x:row r="20" ht="40" customHeight="1">
      <x:c r="A20" s="23" t="str">
        <x:v>地形共通基本</x:v>
      </x:c>
      <x:c r="B20" s="23" t="str">
        <x:v>基本技</x:v>
      </x:c>
      <x:c r="C20" s="26" t="n">
        <x:v>1</x:v>
      </x:c>
      <x:c r="D20" s="23" t="str">
        <x:v>制限なし</x:v>
      </x:c>
      <x:c r="E20" s="23" t="str">
        <x:v>衝撃吸収</x:v>
      </x:c>
      <x:c r="F20" s="23" t="str">
        <x:v>パヴェエース</x:v>
      </x:c>
      <x:c r="G20" s="23" t="str">
        <x:v>パヴェ</x:v>
      </x:c>
      <x:c r="H20" s="23" t="str">
        <x:v>本人</x:v>
      </x:c>
      <x:c r="I20" s="23" t="str">
        <x:v>車体への衝撃をいなし、悪路区間での体力消費を軽減する。</x:v>
      </x:c>
      <x:c r="J20" s="23" t="str">
        <x:v>cobble / endurance</x:v>
      </x:c>
      <x:c r="K20" s="23" t="str"/>
      <x:c r="L20" s="29" t="n">
        <x:v>23</x:v>
      </x:c>
      <x:c r="M20" s="23" t="str">
        <x:v>Mathieu van der Poel / Wout van Aert / Alberto Bettiol / Jasper Stuyven / John Degenkolb</x:v>
      </x:c>
      <x:c r="N20" s="23" t="str">
        <x:v>採用中</x:v>
      </x:c>
    </x:row>
    <x:row r="21" ht="40" customHeight="1">
      <x:c r="A21" s="23" t="str">
        <x:v>地形共通基本</x:v>
      </x:c>
      <x:c r="B21" s="23" t="str">
        <x:v>基本技</x:v>
      </x:c>
      <x:c r="C21" s="26" t="n">
        <x:v>1</x:v>
      </x:c>
      <x:c r="D21" s="23" t="str">
        <x:v>制限なし</x:v>
      </x:c>
      <x:c r="E21" s="23" t="str">
        <x:v>進路確保</x:v>
      </x:c>
      <x:c r="F21" s="23" t="str">
        <x:v>パヴェアシスト</x:v>
      </x:c>
      <x:c r="G21" s="23" t="str">
        <x:v>パヴェ</x:v>
      </x:c>
      <x:c r="H21" s="23" t="str">
        <x:v>味方エース</x:v>
      </x:c>
      <x:c r="I21" s="23" t="str">
        <x:v>集団前方に安全な走行線を作り、味方エースをパヴェへ導く。</x:v>
      </x:c>
      <x:c r="J21" s="23" t="str">
        <x:v>positioning / bike_control / teamwork</x:v>
      </x:c>
      <x:c r="K21" s="23" t="str"/>
      <x:c r="L21" s="29" t="n">
        <x:v>84</x:v>
      </x:c>
      <x:c r="M21" s="23" t="str">
        <x:v>Florian Sénéchal / Harry Sweeny / Jefferson Alveiro Cepeda / Carl-Frederik Bévort / Albert Torres</x:v>
      </x:c>
      <x:c r="N21" s="23" t="str">
        <x:v>採用中</x:v>
      </x:c>
    </x:row>
    <x:row r="22" ht="40" customHeight="1">
      <x:c r="A22" s="23" t="str">
        <x:v>地形共通基本</x:v>
      </x:c>
      <x:c r="B22" s="23" t="str">
        <x:v>基本技</x:v>
      </x:c>
      <x:c r="C22" s="26" t="n">
        <x:v>1</x:v>
      </x:c>
      <x:c r="D22" s="23" t="str">
        <x:v>制限なし</x:v>
      </x:c>
      <x:c r="E22" s="23" t="str">
        <x:v>前方進入</x:v>
      </x:c>
      <x:c r="F22" s="23" t="str">
        <x:v>パヴェエース</x:v>
      </x:c>
      <x:c r="G22" s="23" t="str">
        <x:v>パヴェ</x:v>
      </x:c>
      <x:c r="H22" s="23" t="str">
        <x:v>本人</x:v>
      </x:c>
      <x:c r="I22" s="23" t="str">
        <x:v>パヴェ突入前に位置を上げ、渋滞や分断の危険を下げる。</x:v>
      </x:c>
      <x:c r="J22" s="23" t="str">
        <x:v>positioning / cobble</x:v>
      </x:c>
      <x:c r="K22" s="23" t="str"/>
      <x:c r="L22" s="29" t="n">
        <x:v>27</x:v>
      </x:c>
      <x:c r="M22" s="23" t="str">
        <x:v>Mathieu van der Poel / Wout van Aert / Alberto Bettiol / Jasper Stuyven / Jordi Meeus</x:v>
      </x:c>
      <x:c r="N22" s="23" t="str">
        <x:v>採用中</x:v>
      </x:c>
    </x:row>
    <x:row r="23" ht="40" customHeight="1">
      <x:c r="A23" s="23" t="str">
        <x:v>地形共通基本</x:v>
      </x:c>
      <x:c r="B23" s="23" t="str">
        <x:v>基本技</x:v>
      </x:c>
      <x:c r="C23" s="26" t="n">
        <x:v>1</x:v>
      </x:c>
      <x:c r="D23" s="23" t="str">
        <x:v>制限なし</x:v>
      </x:c>
      <x:c r="E23" s="23" t="str">
        <x:v>前方誘導</x:v>
      </x:c>
      <x:c r="F23" s="23" t="str">
        <x:v>平坦アシスト</x:v>
      </x:c>
      <x:c r="G23" s="23" t="str">
        <x:v>平坦</x:v>
      </x:c>
      <x:c r="H23" s="23" t="str">
        <x:v>味方エース</x:v>
      </x:c>
      <x:c r="I23" s="23" t="str">
        <x:v>安全な進路を選び、味方エースを集団前方へ導く。</x:v>
      </x:c>
      <x:c r="J23" s="23" t="str">
        <x:v>positioning / bike_control / teamwork</x:v>
      </x:c>
      <x:c r="K23" s="23" t="str"/>
      <x:c r="L23" s="29" t="n">
        <x:v>99</x:v>
      </x:c>
      <x:c r="M23" s="23" t="str">
        <x:v>Joshua Tarling / Victor Campenaerts / Ethan Vernon / Hugo Hofstetter / Itamar Einhorn</x:v>
      </x:c>
      <x:c r="N23" s="23" t="str">
        <x:v>採用中</x:v>
      </x:c>
    </x:row>
    <x:row r="24" ht="40" customHeight="1">
      <x:c r="A24" s="23" t="str">
        <x:v>地形共通基本</x:v>
      </x:c>
      <x:c r="B24" s="23" t="str">
        <x:v>基本技</x:v>
      </x:c>
      <x:c r="C24" s="26" t="n">
        <x:v>1</x:v>
      </x:c>
      <x:c r="D24" s="23" t="str">
        <x:v>制限なし</x:v>
      </x:c>
      <x:c r="E24" s="23" t="str">
        <x:v>短坂対応</x:v>
      </x:c>
      <x:c r="F24" s="23" t="str">
        <x:v>丘陵エース</x:v>
      </x:c>
      <x:c r="G24" s="23" t="str">
        <x:v>丘陵</x:v>
      </x:c>
      <x:c r="H24" s="23" t="str">
        <x:v>本人</x:v>
      </x:c>
      <x:c r="I24" s="23" t="str">
        <x:v>短い急坂でリズムを崩さず、先頭集団の位置を維持する。</x:v>
      </x:c>
      <x:c r="J24" s="23" t="str">
        <x:v>climbing / acceleration</x:v>
      </x:c>
      <x:c r="K24" s="23" t="str"/>
      <x:c r="L24" s="29" t="n">
        <x:v>32</x:v>
      </x:c>
      <x:c r="M24" s="23" t="str">
        <x:v>Julian Alaphilippe / Arnaud De Lie / Tim Wellens / Mattias Skjelmose / Maxim Van Gils</x:v>
      </x:c>
      <x:c r="N24" s="23" t="str">
        <x:v>採用中</x:v>
      </x:c>
    </x:row>
    <x:row r="25" ht="40" customHeight="1">
      <x:c r="A25" s="23" t="str">
        <x:v>地形共通基本</x:v>
      </x:c>
      <x:c r="B25" s="23" t="str">
        <x:v>基本技</x:v>
      </x:c>
      <x:c r="C25" s="26" t="n">
        <x:v>1</x:v>
      </x:c>
      <x:c r="D25" s="23" t="str">
        <x:v>制限なし</x:v>
      </x:c>
      <x:c r="E25" s="23" t="str">
        <x:v>追走補助</x:v>
      </x:c>
      <x:c r="F25" s="23" t="str">
        <x:v>丘陵アシスト</x:v>
      </x:c>
      <x:c r="G25" s="23" t="str">
        <x:v>丘陵</x:v>
      </x:c>
      <x:c r="H25" s="23" t="str">
        <x:v>味方エース</x:v>
      </x:c>
      <x:c r="I25" s="23" t="str">
        <x:v>丘陵で生まれた小さな差を詰め、味方エースを先頭集団へ戻す。</x:v>
      </x:c>
      <x:c r="J25" s="23" t="str">
        <x:v>cruise / punch / teamwork</x:v>
      </x:c>
      <x:c r="K25" s="23" t="str"/>
      <x:c r="L25" s="29" t="n">
        <x:v>43</x:v>
      </x:c>
      <x:c r="M25" s="23" t="str">
        <x:v>Krists Neilands / Alexey Lutsenko / Kevin Geniets / Andrea Bagioli / Cedric Beullens</x:v>
      </x:c>
      <x:c r="N25" s="23" t="str">
        <x:v>採用中</x:v>
      </x:c>
    </x:row>
    <x:row r="26" ht="40" customHeight="1">
      <x:c r="A26" s="23" t="str">
        <x:v>地形共通基本</x:v>
      </x:c>
      <x:c r="B26" s="23" t="str">
        <x:v>基本技</x:v>
      </x:c>
      <x:c r="C26" s="26" t="n">
        <x:v>1</x:v>
      </x:c>
      <x:c r="D26" s="23" t="str">
        <x:v>制限なし</x:v>
      </x:c>
      <x:c r="E26" s="23" t="str">
        <x:v>登坂リズム</x:v>
      </x:c>
      <x:c r="F26" s="23" t="str">
        <x:v>山岳エース</x:v>
      </x:c>
      <x:c r="G26" s="23" t="str">
        <x:v>山岳</x:v>
      </x:c>
      <x:c r="H26" s="23" t="str">
        <x:v>本人</x:v>
      </x:c>
      <x:c r="I26" s="23" t="str">
        <x:v>一定の呼吸と出力で登り、長い山岳での体力消費を抑える。</x:v>
      </x:c>
      <x:c r="J26" s="23" t="str">
        <x:v>climbing / stamina</x:v>
      </x:c>
      <x:c r="K26" s="23" t="str"/>
      <x:c r="L26" s="29" t="n">
        <x:v>60</x:v>
      </x:c>
      <x:c r="M26" s="23" t="str">
        <x:v>Tadej Pogacar / Paul Seixas / Isaac del Toro / Jonas Vingegaard / Remco Evenepoel</x:v>
      </x:c>
      <x:c r="N26" s="23" t="str">
        <x:v>採用中</x:v>
      </x:c>
    </x:row>
    <x:row r="27" ht="40" customHeight="1">
      <x:c r="A27" s="23" t="str">
        <x:v>地形共通基本</x:v>
      </x:c>
      <x:c r="B27" s="23" t="str">
        <x:v>基本技</x:v>
      </x:c>
      <x:c r="C27" s="26" t="n">
        <x:v>1</x:v>
      </x:c>
      <x:c r="D27" s="23" t="str">
        <x:v>制限なし</x:v>
      </x:c>
      <x:c r="E27" s="23" t="str">
        <x:v>風よけ</x:v>
      </x:c>
      <x:c r="F27" s="23" t="str">
        <x:v>平坦アシスト</x:v>
      </x:c>
      <x:c r="G27" s="23" t="str">
        <x:v>平坦</x:v>
      </x:c>
      <x:c r="H27" s="23" t="str">
        <x:v>味方エース</x:v>
      </x:c>
      <x:c r="I27" s="23" t="str">
        <x:v>味方エースの前へ入り、空気抵抗による消耗を軽減する。</x:v>
      </x:c>
      <x:c r="J27" s="23" t="str">
        <x:v>stamina / teamwork</x:v>
      </x:c>
      <x:c r="K27" s="23" t="str"/>
      <x:c r="L27" s="29" t="n">
        <x:v>89</x:v>
      </x:c>
      <x:c r="M27" s="23" t="str">
        <x:v>Joshua Tarling / Victor Campenaerts / Stefan Bissegger / Andreas Leknessund / Jan Hirt</x:v>
      </x:c>
      <x:c r="N27" s="23" t="str">
        <x:v>採用中</x:v>
      </x:c>
    </x:row>
    <x:row r="28" ht="40" customHeight="1">
      <x:c r="A28" s="23" t="str">
        <x:v>地形共通基本</x:v>
      </x:c>
      <x:c r="B28" s="23" t="str">
        <x:v>基本技</x:v>
      </x:c>
      <x:c r="C28" s="26" t="n">
        <x:v>1</x:v>
      </x:c>
      <x:c r="D28" s="23" t="str">
        <x:v>制限なし</x:v>
      </x:c>
      <x:c r="E28" s="23" t="str">
        <x:v>平坦牽引</x:v>
      </x:c>
      <x:c r="F28" s="23" t="str">
        <x:v>平坦アシスト</x:v>
      </x:c>
      <x:c r="G28" s="23" t="str">
        <x:v>平坦</x:v>
      </x:c>
      <x:c r="H28" s="23" t="str">
        <x:v>味方エース</x:v>
      </x:c>
      <x:c r="I28" s="23" t="str">
        <x:v>平坦で隊列を引き、味方エースの体力消費を抑える。</x:v>
      </x:c>
      <x:c r="J28" s="23" t="str">
        <x:v>cruise / stamina / teamwork</x:v>
      </x:c>
      <x:c r="K28" s="23" t="str"/>
      <x:c r="L28" s="29" t="n">
        <x:v>124</x:v>
      </x:c>
      <x:c r="M28" s="23" t="str">
        <x:v>Joshua Tarling / Victor Campenaerts / Stefan Bissegger / Hugo Hofstetter / Itamar Einhorn</x:v>
      </x:c>
      <x:c r="N28" s="23" t="str">
        <x:v>採用中</x:v>
      </x:c>
    </x:row>
    <x:row r="29" ht="40" customHeight="1">
      <x:c r="A29" s="23" t="str">
        <x:v>役割共通</x:v>
      </x:c>
      <x:c r="B29" s="23" t="str">
        <x:v>基本技</x:v>
      </x:c>
      <x:c r="C29" s="26" t="n">
        <x:v>1</x:v>
      </x:c>
      <x:c r="D29" s="23" t="str">
        <x:v>制限なし</x:v>
      </x:c>
      <x:c r="E29" s="23" t="str">
        <x:v>ペース調整</x:v>
      </x:c>
      <x:c r="F29" s="23" t="str">
        <x:v>逃げ屋</x:v>
      </x:c>
      <x:c r="G29" s="23" t="str">
        <x:v>役割依存</x:v>
      </x:c>
      <x:c r="H29" s="23" t="str">
        <x:v>逃げ集団</x:v>
      </x:c>
      <x:c r="I29" s="23" t="str">
        <x:v>余計な体力消費を抑えながら、逃げ集団の速度とタイム差を維持する。</x:v>
      </x:c>
      <x:c r="J29" s="23" t="str">
        <x:v>stamina / cruise / fighting / recovery</x:v>
      </x:c>
      <x:c r="K29" s="23" t="str"/>
      <x:c r="L29" s="29" t="n">
        <x:v>12</x:v>
      </x:c>
      <x:c r="M29" s="23" t="str">
        <x:v>Tom Pidcock / Ethan Vernon / James Knox / Alessandro Pinarello / Felix Ørn-Kristoff</x:v>
      </x:c>
      <x:c r="N29" s="23" t="str">
        <x:v>採用中</x:v>
      </x:c>
    </x:row>
    <x:row r="30" ht="40" customHeight="1">
      <x:c r="A30" s="23" t="str">
        <x:v>役割共通</x:v>
      </x:c>
      <x:c r="B30" s="23" t="str">
        <x:v>基本技</x:v>
      </x:c>
      <x:c r="C30" s="26" t="n">
        <x:v>1</x:v>
      </x:c>
      <x:c r="D30" s="23" t="str">
        <x:v>制限なし</x:v>
      </x:c>
      <x:c r="E30" s="23" t="str">
        <x:v>安全誘導</x:v>
      </x:c>
      <x:c r="F30" s="23" t="str">
        <x:v>下り牽引</x:v>
      </x:c>
      <x:c r="G30" s="23" t="str">
        <x:v>役割依存</x:v>
      </x:c>
      <x:c r="H30" s="23" t="str">
        <x:v>味方エース</x:v>
      </x:c>
      <x:c r="I30" s="23" t="str">
        <x:v>安全な走行ラインを示し、味方エースの落車リスクを下げる。</x:v>
      </x:c>
      <x:c r="J30" s="23" t="str">
        <x:v>bikeControl / technique / fighting</x:v>
      </x:c>
      <x:c r="K30" s="23" t="str"/>
      <x:c r="L30" s="29" t="n">
        <x:v>19</x:v>
      </x:c>
      <x:c r="M30" s="23" t="str">
        <x:v>Matej Mohoric / Pello Bilbao / Andrea Bagioli / Michał Kwiatkowski / Bjoern Koerdt</x:v>
      </x:c>
      <x:c r="N30" s="23" t="str">
        <x:v>採用中</x:v>
      </x:c>
    </x:row>
    <x:row r="31" ht="40" customHeight="1">
      <x:c r="A31" s="23" t="str">
        <x:v>役割共通</x:v>
      </x:c>
      <x:c r="B31" s="23" t="str">
        <x:v>基本技</x:v>
      </x:c>
      <x:c r="C31" s="26" t="n">
        <x:v>1</x:v>
      </x:c>
      <x:c r="D31" s="23" t="str">
        <x:v>制限なし</x:v>
      </x:c>
      <x:c r="E31" s="23" t="str">
        <x:v>高速コーナリング</x:v>
      </x:c>
      <x:c r="F31" s="23" t="str">
        <x:v>下り牽引</x:v>
      </x:c>
      <x:c r="G31" s="23" t="str">
        <x:v>役割依存</x:v>
      </x:c>
      <x:c r="H31" s="23" t="str">
        <x:v>本人</x:v>
      </x:c>
      <x:c r="I31" s="23" t="str">
        <x:v>コーナーでの速度低下と落車リスクを抑える。</x:v>
      </x:c>
      <x:c r="J31" s="23" t="str">
        <x:v>bikeControl / technique / fighting</x:v>
      </x:c>
      <x:c r="K31" s="23" t="str"/>
      <x:c r="L31" s="29" t="n">
        <x:v>18</x:v>
      </x:c>
      <x:c r="M31" s="23" t="str">
        <x:v>Matej Mohoric / Andrea Bagioli / Michał Kwiatkowski / Bjoern Koerdt / Iván Romeo</x:v>
      </x:c>
      <x:c r="N31" s="23" t="str">
        <x:v>採用中</x:v>
      </x:c>
    </x:row>
    <x:row r="32" ht="40" customHeight="1">
      <x:c r="A32" s="23" t="str">
        <x:v>役割共通</x:v>
      </x:c>
      <x:c r="B32" s="23" t="str">
        <x:v>基本技</x:v>
      </x:c>
      <x:c r="C32" s="26" t="n">
        <x:v>1</x:v>
      </x:c>
      <x:c r="D32" s="23" t="str">
        <x:v>制限なし</x:v>
      </x:c>
      <x:c r="E32" s="23" t="str">
        <x:v>先頭交代</x:v>
      </x:c>
      <x:c r="F32" s="23" t="str">
        <x:v>逃げ屋</x:v>
      </x:c>
      <x:c r="G32" s="23" t="str">
        <x:v>役割依存</x:v>
      </x:c>
      <x:c r="H32" s="23" t="str">
        <x:v>逃げ集団</x:v>
      </x:c>
      <x:c r="I32" s="23" t="str">
        <x:v>逃げ集団の先頭を長く引き、本人の体力を使ってタイム差を広げる。</x:v>
      </x:c>
      <x:c r="J32" s="23" t="str">
        <x:v>stamina / cruise / fighting / recovery</x:v>
      </x:c>
      <x:c r="K32" s="23" t="str"/>
      <x:c r="L32" s="29" t="n">
        <x:v>5</x:v>
      </x:c>
      <x:c r="M32" s="23" t="str">
        <x:v>Ethan Vernon / Lukas Nerurkar / Andrew August / Chris Boardman / Laurent Jalabert</x:v>
      </x:c>
      <x:c r="N32" s="23" t="str">
        <x:v>採用中</x:v>
      </x:c>
    </x:row>
    <x:row r="33" ht="40" customHeight="1">
      <x:c r="A33" s="23" t="str">
        <x:v>地形共通得意</x:v>
      </x:c>
      <x:c r="B33" s="23" t="str">
        <x:v>得意技</x:v>
      </x:c>
      <x:c r="C33" s="26" t="n">
        <x:v>2</x:v>
      </x:c>
      <x:c r="D33" s="23" t="str">
        <x:v>制限なし</x:v>
      </x:c>
      <x:c r="E33" s="23" t="str">
        <x:v>パヴェ追走</x:v>
      </x:c>
      <x:c r="F33" s="23" t="str">
        <x:v>パヴェアシスト</x:v>
      </x:c>
      <x:c r="G33" s="23" t="str">
        <x:v>パヴェ</x:v>
      </x:c>
      <x:c r="H33" s="23" t="str">
        <x:v>味方エース</x:v>
      </x:c>
      <x:c r="I33" s="23" t="str">
        <x:v>パヴェで先行した危険な選手を追い、味方エースを先頭集団へ戻す。</x:v>
      </x:c>
      <x:c r="J33" s="23" t="str">
        <x:v>cobble / cruise / teamwork</x:v>
      </x:c>
      <x:c r="K33" s="23" t="str"/>
      <x:c r="L33" s="29" t="n">
        <x:v>8</x:v>
      </x:c>
      <x:c r="M33" s="23" t="str">
        <x:v>Albert Torres / Clément Russo / Amanuel Ghebreigzabhier / Gal Glivar / Frank van den Broek</x:v>
      </x:c>
      <x:c r="N33" s="23" t="str">
        <x:v>採用中</x:v>
      </x:c>
    </x:row>
    <x:row r="34" ht="40" customHeight="1">
      <x:c r="A34" s="23" t="str">
        <x:v>地形共通得意</x:v>
      </x:c>
      <x:c r="B34" s="23" t="str">
        <x:v>得意技</x:v>
      </x:c>
      <x:c r="C34" s="26" t="n">
        <x:v>2</x:v>
      </x:c>
      <x:c r="D34" s="23" t="str">
        <x:v>制限なし</x:v>
      </x:c>
      <x:c r="E34" s="23" t="str">
        <x:v>ライン誘導</x:v>
      </x:c>
      <x:c r="F34" s="23" t="str">
        <x:v>パヴェアシスト</x:v>
      </x:c>
      <x:c r="G34" s="23" t="str">
        <x:v>パヴェ</x:v>
      </x:c>
      <x:c r="H34" s="23" t="str">
        <x:v>味方エース</x:v>
      </x:c>
      <x:c r="I34" s="23" t="str">
        <x:v>石畳で走りやすいラインを示し、味方エースの減速とトラブルを抑える。</x:v>
      </x:c>
      <x:c r="J34" s="23" t="str">
        <x:v>cobble / bike_control / teamwork</x:v>
      </x:c>
      <x:c r="K34" s="23" t="str"/>
      <x:c r="L34" s="29" t="n">
        <x:v>60</x:v>
      </x:c>
      <x:c r="M34" s="23" t="str">
        <x:v>Florian Sénéchal / Harry Sweeny / Jefferson Alveiro Cepeda / Carl-Frederik Bévort / Albert Torres</x:v>
      </x:c>
      <x:c r="N34" s="23" t="str">
        <x:v>採用中</x:v>
      </x:c>
    </x:row>
    <x:row r="35" ht="40" customHeight="1">
      <x:c r="A35" s="23" t="str">
        <x:v>地形共通得意</x:v>
      </x:c>
      <x:c r="B35" s="23" t="str">
        <x:v>得意技</x:v>
      </x:c>
      <x:c r="C35" s="26" t="n">
        <x:v>2</x:v>
      </x:c>
      <x:c r="D35" s="23" t="str">
        <x:v>制限なし</x:v>
      </x:c>
      <x:c r="E35" s="23" t="str">
        <x:v>ローテーション牽引</x:v>
      </x:c>
      <x:c r="F35" s="23" t="str">
        <x:v>平坦アシスト</x:v>
      </x:c>
      <x:c r="G35" s="23" t="str">
        <x:v>平坦</x:v>
      </x:c>
      <x:c r="H35" s="23" t="str">
        <x:v>味方エース</x:v>
      </x:c>
      <x:c r="I35" s="23" t="str">
        <x:v>味方と先頭交代しながら高速巡航を維持し、エースの消耗を抑える。</x:v>
      </x:c>
      <x:c r="J35" s="23" t="str">
        <x:v>cruise / stamina / teamwork</x:v>
      </x:c>
      <x:c r="K35" s="23" t="str"/>
      <x:c r="L35" s="29" t="n">
        <x:v>79</x:v>
      </x:c>
      <x:c r="M35" s="23" t="str">
        <x:v>Joshua Tarling / Victor Campenaerts / Stefan Bissegger / Daan Hoole / Ben Turner</x:v>
      </x:c>
      <x:c r="N35" s="23" t="str">
        <x:v>採用中</x:v>
      </x:c>
    </x:row>
    <x:row r="36" ht="40" customHeight="1">
      <x:c r="A36" s="23" t="str">
        <x:v>地形共通得意</x:v>
      </x:c>
      <x:c r="B36" s="23" t="str">
        <x:v>得意技</x:v>
      </x:c>
      <x:c r="C36" s="26" t="n">
        <x:v>2</x:v>
      </x:c>
      <x:c r="D36" s="23" t="str">
        <x:v>制限なし</x:v>
      </x:c>
      <x:c r="E36" s="23" t="str">
        <x:v>悪路アタック</x:v>
      </x:c>
      <x:c r="F36" s="23" t="str">
        <x:v>パヴェエース</x:v>
      </x:c>
      <x:c r="G36" s="23" t="str">
        <x:v>パヴェ</x:v>
      </x:c>
      <x:c r="H36" s="23" t="str">
        <x:v>本人</x:v>
      </x:c>
      <x:c r="I36" s="23" t="str">
        <x:v>路面の乱れを利用して仕掛け、悪路に弱いライバルを引き離す。</x:v>
      </x:c>
      <x:c r="J36" s="23" t="str">
        <x:v>cobble / fighting</x:v>
      </x:c>
      <x:c r="K36" s="23" t="str"/>
      <x:c r="L36" s="29" t="n">
        <x:v>22</x:v>
      </x:c>
      <x:c r="M36" s="23" t="str">
        <x:v>Mathieu van der Poel / Wout van Aert / Alberto Bettiol / Jasper Stuyven / John Degenkolb</x:v>
      </x:c>
      <x:c r="N36" s="23" t="str">
        <x:v>採用中</x:v>
      </x:c>
    </x:row>
    <x:row r="37" ht="40" customHeight="1">
      <x:c r="A37" s="23" t="str">
        <x:v>地形共通得意</x:v>
      </x:c>
      <x:c r="B37" s="23" t="str">
        <x:v>得意技</x:v>
      </x:c>
      <x:c r="C37" s="26" t="n">
        <x:v>2</x:v>
      </x:c>
      <x:c r="D37" s="23" t="str">
        <x:v>制限なし</x:v>
      </x:c>
      <x:c r="E37" s="23" t="str">
        <x:v>位置取り護衛</x:v>
      </x:c>
      <x:c r="F37" s="23" t="str">
        <x:v>平坦アシスト</x:v>
      </x:c>
      <x:c r="G37" s="23" t="str">
        <x:v>平坦</x:v>
      </x:c>
      <x:c r="H37" s="23" t="str">
        <x:v>味方エース</x:v>
      </x:c>
      <x:c r="I37" s="23" t="str">
        <x:v>混雑した集団内で進路を確保し、味方エースを前方へ引き上げる。</x:v>
      </x:c>
      <x:c r="J37" s="23" t="str">
        <x:v>positioning / technique / teamwork</x:v>
      </x:c>
      <x:c r="K37" s="23" t="str"/>
      <x:c r="L37" s="29" t="n">
        <x:v>13</x:v>
      </x:c>
      <x:c r="M37" s="23" t="str">
        <x:v>Alan Hatherly / Corbin Strong / Jensen Plowright / Francesco Busatto / Florian Vermeersch</x:v>
      </x:c>
      <x:c r="N37" s="23" t="str">
        <x:v>採用中</x:v>
      </x:c>
    </x:row>
    <x:row r="38" ht="40" customHeight="1">
      <x:c r="A38" s="23" t="str">
        <x:v>地形共通得意</x:v>
      </x:c>
      <x:c r="B38" s="23" t="str">
        <x:v>得意技</x:v>
      </x:c>
      <x:c r="C38" s="26" t="n">
        <x:v>2</x:v>
      </x:c>
      <x:c r="D38" s="23" t="str">
        <x:v>制限なし</x:v>
      </x:c>
      <x:c r="E38" s="23" t="str">
        <x:v>横風ガード</x:v>
      </x:c>
      <x:c r="F38" s="23" t="str">
        <x:v>平坦アシスト</x:v>
      </x:c>
      <x:c r="G38" s="23" t="str">
        <x:v>平坦</x:v>
      </x:c>
      <x:c r="H38" s="23" t="str">
        <x:v>味方エース</x:v>
      </x:c>
      <x:c r="I38" s="23" t="str">
        <x:v>横風側を長く走り、味方エースの消耗と分断の危険を抑える。</x:v>
      </x:c>
      <x:c r="J38" s="23" t="str">
        <x:v>stamina / positioning / teamwork</x:v>
      </x:c>
      <x:c r="K38" s="23" t="str"/>
      <x:c r="L38" s="29" t="n">
        <x:v>1</x:v>
      </x:c>
      <x:c r="M38" s="23" t="str">
        <x:v>Gerben Thijssen</x:v>
      </x:c>
      <x:c r="N38" s="23" t="str">
        <x:v>採用中</x:v>
      </x:c>
    </x:row>
    <x:row r="39" ht="40" customHeight="1">
      <x:c r="A39" s="23" t="str">
        <x:v>地形共通得意</x:v>
      </x:c>
      <x:c r="B39" s="23" t="str">
        <x:v>得意技</x:v>
      </x:c>
      <x:c r="C39" s="26" t="n">
        <x:v>2</x:v>
      </x:c>
      <x:c r="D39" s="23" t="str">
        <x:v>制限なし</x:v>
      </x:c>
      <x:c r="E39" s="23" t="str">
        <x:v>丘越え牽引</x:v>
      </x:c>
      <x:c r="F39" s="23" t="str">
        <x:v>丘陵アシスト</x:v>
      </x:c>
      <x:c r="G39" s="23" t="str">
        <x:v>丘陵</x:v>
      </x:c>
      <x:c r="H39" s="23" t="str">
        <x:v>味方エース</x:v>
      </x:c>
      <x:c r="I39" s="23" t="str">
        <x:v>丘の頂上まで牽引し、味方エースの体力と加速力を温存する。</x:v>
      </x:c>
      <x:c r="J39" s="23" t="str">
        <x:v>punch / stamina / teamwork</x:v>
      </x:c>
      <x:c r="K39" s="23" t="str"/>
      <x:c r="L39" s="29" t="n">
        <x:v>8</x:v>
      </x:c>
      <x:c r="M39" s="23" t="str">
        <x:v>Diego Ulissi / James Shaw / Huub Artz / Antoine L'Hote / Brady Gilmore</x:v>
      </x:c>
      <x:c r="N39" s="23" t="str">
        <x:v>採用中</x:v>
      </x:c>
    </x:row>
    <x:row r="40" ht="40" customHeight="1">
      <x:c r="A40" s="23" t="str">
        <x:v>地形共通得意</x:v>
      </x:c>
      <x:c r="B40" s="23" t="str">
        <x:v>得意技</x:v>
      </x:c>
      <x:c r="C40" s="26" t="n">
        <x:v>2</x:v>
      </x:c>
      <x:c r="D40" s="23" t="str">
        <x:v>制限なし</x:v>
      </x:c>
      <x:c r="E40" s="23" t="str">
        <x:v>丘陵ペース</x:v>
      </x:c>
      <x:c r="F40" s="23" t="str">
        <x:v>丘陵アシスト</x:v>
      </x:c>
      <x:c r="G40" s="23" t="str">
        <x:v>丘陵</x:v>
      </x:c>
      <x:c r="H40" s="23" t="str">
        <x:v>味方エース</x:v>
      </x:c>
      <x:c r="I40" s="23" t="str">
        <x:v>起伏区間を高い一定速度で牽引し、味方エースの脚を残す。</x:v>
      </x:c>
      <x:c r="J40" s="23" t="str">
        <x:v>punch / stamina / teamwork</x:v>
      </x:c>
      <x:c r="K40" s="23" t="str"/>
      <x:c r="L40" s="29" t="n">
        <x:v>2</x:v>
      </x:c>
      <x:c r="M40" s="23" t="str">
        <x:v>Diego Ulissi / Loe van Belle</x:v>
      </x:c>
      <x:c r="N40" s="23" t="str">
        <x:v>採用中</x:v>
      </x:c>
    </x:row>
    <x:row r="41" ht="40" customHeight="1">
      <x:c r="A41" s="23" t="str">
        <x:v>地形共通得意</x:v>
      </x:c>
      <x:c r="B41" s="23" t="str">
        <x:v>得意技</x:v>
      </x:c>
      <x:c r="C41" s="26" t="n">
        <x:v>2</x:v>
      </x:c>
      <x:c r="D41" s="23" t="str">
        <x:v>制限なし</x:v>
      </x:c>
      <x:c r="E41" s="23" t="str">
        <x:v>丘陵加速</x:v>
      </x:c>
      <x:c r="F41" s="23" t="str">
        <x:v>丘陵エース</x:v>
      </x:c>
      <x:c r="G41" s="23" t="str">
        <x:v>丘陵</x:v>
      </x:c>
      <x:c r="H41" s="23" t="str">
        <x:v>本人</x:v>
      </x:c>
      <x:c r="I41" s="23" t="str">
        <x:v>起伏の変化に合わせて加速し、丘陵区間で集団を絞り込む。</x:v>
      </x:c>
      <x:c r="J41" s="23" t="str">
        <x:v>punch / acceleration</x:v>
      </x:c>
      <x:c r="K41" s="23" t="str"/>
      <x:c r="L41" s="29" t="n">
        <x:v>33</x:v>
      </x:c>
      <x:c r="M41" s="23" t="str">
        <x:v>Tadej Pogacar / Julian Alaphilippe / Arnaud De Lie / Tim Wellens / Mattias Skjelmose</x:v>
      </x:c>
      <x:c r="N41" s="23" t="str">
        <x:v>採用中</x:v>
      </x:c>
    </x:row>
    <x:row r="42" ht="40" customHeight="1">
      <x:c r="A42" s="23" t="str">
        <x:v>地形共通得意</x:v>
      </x:c>
      <x:c r="B42" s="23" t="str">
        <x:v>得意技</x:v>
      </x:c>
      <x:c r="C42" s="26" t="n">
        <x:v>2</x:v>
      </x:c>
      <x:c r="D42" s="23" t="str">
        <x:v>制限なし</x:v>
      </x:c>
      <x:c r="E42" s="23" t="str">
        <x:v>高速牽引</x:v>
      </x:c>
      <x:c r="F42" s="23" t="str">
        <x:v>平坦アシスト</x:v>
      </x:c>
      <x:c r="G42" s="23" t="str">
        <x:v>平坦</x:v>
      </x:c>
      <x:c r="H42" s="23" t="str">
        <x:v>味方エース</x:v>
      </x:c>
      <x:c r="I42" s="23" t="str">
        <x:v>平坦で高速隊列を作り、味方エースを勝負区間まで運ぶ。</x:v>
      </x:c>
      <x:c r="J42" s="23" t="str">
        <x:v>cruise / stamina / teamwork</x:v>
      </x:c>
      <x:c r="K42" s="23" t="str"/>
      <x:c r="L42" s="29" t="n">
        <x:v>67</x:v>
      </x:c>
      <x:c r="M42" s="23" t="str">
        <x:v>Joshua Tarling / Victor Campenaerts / Stefan Bissegger / Daan Hoole / Ben Turner</x:v>
      </x:c>
      <x:c r="N42" s="23" t="str">
        <x:v>採用中</x:v>
      </x:c>
    </x:row>
    <x:row r="43" ht="40" customHeight="1">
      <x:c r="A43" s="23" t="str">
        <x:v>地形共通得意</x:v>
      </x:c>
      <x:c r="B43" s="23" t="str">
        <x:v>得意技</x:v>
      </x:c>
      <x:c r="C43" s="26" t="n">
        <x:v>2</x:v>
      </x:c>
      <x:c r="D43" s="23" t="str">
        <x:v>制限なし</x:v>
      </x:c>
      <x:c r="E43" s="23" t="str">
        <x:v>高速巡航</x:v>
      </x:c>
      <x:c r="F43" s="23" t="str">
        <x:v>平坦エース</x:v>
      </x:c>
      <x:c r="G43" s="23" t="str">
        <x:v>平坦</x:v>
      </x:c>
      <x:c r="H43" s="23" t="str">
        <x:v>本人</x:v>
      </x:c>
      <x:c r="I43" s="23" t="str">
        <x:v>平坦区間を高い速度で巡航し、ライバルへ持続的な圧力をかける。</x:v>
      </x:c>
      <x:c r="J43" s="23" t="str">
        <x:v>cruise / stamina</x:v>
      </x:c>
      <x:c r="K43" s="23" t="str"/>
      <x:c r="L43" s="29" t="n">
        <x:v>11</x:v>
      </x:c>
      <x:c r="M43" s="23" t="str">
        <x:v>Remco Evenepoel / Filippo Ganna / Tim Merlier / Mads Pedersen / Chris Boardman</x:v>
      </x:c>
      <x:c r="N43" s="23" t="str">
        <x:v>採用中</x:v>
      </x:c>
    </x:row>
    <x:row r="44" ht="40" customHeight="1">
      <x:c r="A44" s="23" t="str">
        <x:v>地形共通得意</x:v>
      </x:c>
      <x:c r="B44" s="23" t="str">
        <x:v>得意技</x:v>
      </x:c>
      <x:c r="C44" s="26" t="n">
        <x:v>2</x:v>
      </x:c>
      <x:c r="D44" s="23" t="str">
        <x:v>制限なし</x:v>
      </x:c>
      <x:c r="E44" s="23" t="str">
        <x:v>坂前誘導</x:v>
      </x:c>
      <x:c r="F44" s="23" t="str">
        <x:v>丘陵アシスト</x:v>
      </x:c>
      <x:c r="G44" s="23" t="str">
        <x:v>丘陵</x:v>
      </x:c>
      <x:c r="H44" s="23" t="str">
        <x:v>味方エース</x:v>
      </x:c>
      <x:c r="I44" s="23" t="str">
        <x:v>登りに入る前に味方エースを集団前方へ運び、仕掛けへ備える。</x:v>
      </x:c>
      <x:c r="J44" s="23" t="str">
        <x:v>positioning / acceleration / teamwork</x:v>
      </x:c>
      <x:c r="K44" s="23" t="str"/>
      <x:c r="L44" s="29" t="n">
        <x:v>28</x:v>
      </x:c>
      <x:c r="M44" s="23" t="str">
        <x:v>Krists Neilands / Alexey Lutsenko / Kevin Geniets / Cedric Beullens / Jørgen Nordhagen</x:v>
      </x:c>
      <x:c r="N44" s="23" t="str">
        <x:v>採用中</x:v>
      </x:c>
    </x:row>
    <x:row r="45" ht="40" customHeight="1">
      <x:c r="A45" s="23" t="str">
        <x:v>地形共通得意</x:v>
      </x:c>
      <x:c r="B45" s="23" t="str">
        <x:v>得意技</x:v>
      </x:c>
      <x:c r="C45" s="26" t="n">
        <x:v>2</x:v>
      </x:c>
      <x:c r="D45" s="23" t="str">
        <x:v>制限なし</x:v>
      </x:c>
      <x:c r="E45" s="23" t="str">
        <x:v>山岳先導</x:v>
      </x:c>
      <x:c r="F45" s="23" t="str">
        <x:v>山岳アシスト</x:v>
      </x:c>
      <x:c r="G45" s="23" t="str">
        <x:v>山岳</x:v>
      </x:c>
      <x:c r="H45" s="23" t="str">
        <x:v>味方エース</x:v>
      </x:c>
      <x:c r="I45" s="23" t="str">
        <x:v>山岳終盤まで高いペースで牽引し、味方エースを攻撃位置へ運ぶ。</x:v>
      </x:c>
      <x:c r="J45" s="23" t="str">
        <x:v>climbing / stamina / teamwork</x:v>
      </x:c>
      <x:c r="K45" s="23" t="str"/>
      <x:c r="L45" s="29" t="n">
        <x:v>71</x:v>
      </x:c>
      <x:c r="M45" s="23" t="str">
        <x:v>Daniel Martínez / Hugo Houle / Bauke Mollema / George Bennett / Lennert Van Eetvelt</x:v>
      </x:c>
      <x:c r="N45" s="23" t="str">
        <x:v>採用中</x:v>
      </x:c>
    </x:row>
    <x:row r="46" ht="40" customHeight="1">
      <x:c r="A46" s="23" t="str">
        <x:v>地形共通得意</x:v>
      </x:c>
      <x:c r="B46" s="23" t="str">
        <x:v>得意技</x:v>
      </x:c>
      <x:c r="C46" s="26" t="n">
        <x:v>2</x:v>
      </x:c>
      <x:c r="D46" s="23" t="str">
        <x:v>制限なし</x:v>
      </x:c>
      <x:c r="E46" s="23" t="str">
        <x:v>山岳風よけ</x:v>
      </x:c>
      <x:c r="F46" s="23" t="str">
        <x:v>山岳アシスト</x:v>
      </x:c>
      <x:c r="G46" s="23" t="str">
        <x:v>山岳</x:v>
      </x:c>
      <x:c r="H46" s="23" t="str">
        <x:v>味方エース</x:v>
      </x:c>
      <x:c r="I46" s="23" t="str">
        <x:v>登りで風よけとなり、味方エースの体力消費を抑える。</x:v>
      </x:c>
      <x:c r="J46" s="23" t="str">
        <x:v>climbing / stamina / teamwork</x:v>
      </x:c>
      <x:c r="K46" s="23" t="str"/>
      <x:c r="L46" s="29" t="n">
        <x:v>23</x:v>
      </x:c>
      <x:c r="M46" s="23" t="str">
        <x:v>Daniel Martínez / Hugo Houle / George Bennett / Lennert Van Eetvelt / Gregor Mühlberger</x:v>
      </x:c>
      <x:c r="N46" s="23" t="str">
        <x:v>採用中</x:v>
      </x:c>
    </x:row>
    <x:row r="47" ht="40" customHeight="1">
      <x:c r="A47" s="23" t="str">
        <x:v>地形共通得意</x:v>
      </x:c>
      <x:c r="B47" s="23" t="str">
        <x:v>得意技</x:v>
      </x:c>
      <x:c r="C47" s="26" t="n">
        <x:v>2</x:v>
      </x:c>
      <x:c r="D47" s="23" t="str">
        <x:v>制限なし</x:v>
      </x:c>
      <x:c r="E47" s="23" t="str">
        <x:v>仕掛け封じ</x:v>
      </x:c>
      <x:c r="F47" s="23" t="str">
        <x:v>丘陵アシスト</x:v>
      </x:c>
      <x:c r="G47" s="23" t="str">
        <x:v>丘陵</x:v>
      </x:c>
      <x:c r="H47" s="23" t="str">
        <x:v>味方エース</x:v>
      </x:c>
      <x:c r="I47" s="23" t="str">
        <x:v>丘陵で危険な攻撃を追走し、味方エースに代わって差を消す。</x:v>
      </x:c>
      <x:c r="J47" s="23" t="str">
        <x:v>acceleration / fighting / teamwork</x:v>
      </x:c>
      <x:c r="K47" s="23" t="str"/>
      <x:c r="L47" s="29" t="n">
        <x:v>34</x:v>
      </x:c>
      <x:c r="M47" s="23" t="str">
        <x:v>Krists Neilands / Alexey Lutsenko / Kevin Geniets / Cedric Beullens / Andrea Vendrame</x:v>
      </x:c>
      <x:c r="N47" s="23" t="str">
        <x:v>採用中</x:v>
      </x:c>
    </x:row>
    <x:row r="48" ht="40" customHeight="1">
      <x:c r="A48" s="23" t="str">
        <x:v>地形共通得意</x:v>
      </x:c>
      <x:c r="B48" s="23" t="str">
        <x:v>得意技</x:v>
      </x:c>
      <x:c r="C48" s="26" t="n">
        <x:v>2</x:v>
      </x:c>
      <x:c r="D48" s="23" t="str">
        <x:v>制限なし</x:v>
      </x:c>
      <x:c r="E48" s="23" t="str">
        <x:v>石畳加速</x:v>
      </x:c>
      <x:c r="F48" s="23" t="str">
        <x:v>パヴェエース</x:v>
      </x:c>
      <x:c r="G48" s="23" t="str">
        <x:v>パヴェ</x:v>
      </x:c>
      <x:c r="H48" s="23" t="str">
        <x:v>本人</x:v>
      </x:c>
      <x:c r="I48" s="23" t="str">
        <x:v>安定した走行線から加速し、パヴェ区間で先頭位置を奪う。</x:v>
      </x:c>
      <x:c r="J48" s="23" t="str">
        <x:v>cobble / acceleration / bike_control</x:v>
      </x:c>
      <x:c r="K48" s="23" t="str"/>
      <x:c r="L48" s="29" t="n">
        <x:v>23</x:v>
      </x:c>
      <x:c r="M48" s="23" t="str">
        <x:v>Mathieu van der Poel / Wout van Aert / Alberto Bettiol / Jasper Stuyven / John Degenkolb</x:v>
      </x:c>
      <x:c r="N48" s="23" t="str">
        <x:v>採用中</x:v>
      </x:c>
    </x:row>
    <x:row r="49" ht="40" customHeight="1">
      <x:c r="A49" s="23" t="str">
        <x:v>地形共通得意</x:v>
      </x:c>
      <x:c r="B49" s="23" t="str">
        <x:v>得意技</x:v>
      </x:c>
      <x:c r="C49" s="26" t="n">
        <x:v>2</x:v>
      </x:c>
      <x:c r="D49" s="23" t="str">
        <x:v>制限なし</x:v>
      </x:c>
      <x:c r="E49" s="23" t="str">
        <x:v>石畳牽引</x:v>
      </x:c>
      <x:c r="F49" s="23" t="str">
        <x:v>パヴェアシスト</x:v>
      </x:c>
      <x:c r="G49" s="23" t="str">
        <x:v>パヴェ</x:v>
      </x:c>
      <x:c r="H49" s="23" t="str">
        <x:v>味方エース</x:v>
      </x:c>
      <x:c r="I49" s="23" t="str">
        <x:v>悪路で安全な走行線を保ちながら牽引し、味方エースを前方へ運ぶ。</x:v>
      </x:c>
      <x:c r="J49" s="23" t="str">
        <x:v>cobble / bike_control / teamwork</x:v>
      </x:c>
      <x:c r="K49" s="23" t="str"/>
      <x:c r="L49" s="29" t="n">
        <x:v>48</x:v>
      </x:c>
      <x:c r="M49" s="23" t="str">
        <x:v>Florian Sénéchal / Harry Sweeny / Jefferson Alveiro Cepeda / Carl-Frederik Bévort / Iván García Cortina</x:v>
      </x:c>
      <x:c r="N49" s="23" t="str">
        <x:v>採用中</x:v>
      </x:c>
    </x:row>
    <x:row r="50" ht="40" customHeight="1">
      <x:c r="A50" s="23" t="str">
        <x:v>地形共通得意</x:v>
      </x:c>
      <x:c r="B50" s="23" t="str">
        <x:v>得意技</x:v>
      </x:c>
      <x:c r="C50" s="26" t="n">
        <x:v>2</x:v>
      </x:c>
      <x:c r="D50" s="23" t="str">
        <x:v>制限なし</x:v>
      </x:c>
      <x:c r="E50" s="23" t="str">
        <x:v>石畳進入</x:v>
      </x:c>
      <x:c r="F50" s="23" t="str">
        <x:v>パヴェアシスト</x:v>
      </x:c>
      <x:c r="G50" s="23" t="str">
        <x:v>パヴェ</x:v>
      </x:c>
      <x:c r="H50" s="23" t="str">
        <x:v>味方エース</x:v>
      </x:c>
      <x:c r="I50" s="23" t="str">
        <x:v>パヴェ区間へ入る前に前方位置を確保し、分断や落車の危険を抑える。</x:v>
      </x:c>
      <x:c r="J50" s="23" t="str">
        <x:v>positioning / cobble / teamwork</x:v>
      </x:c>
      <x:c r="K50" s="23" t="str"/>
      <x:c r="L50" s="29" t="n">
        <x:v>0</x:v>
      </x:c>
      <x:c r="M50" s="23" t="str"/>
      <x:c r="N50" s="23" t="str">
        <x:v>未割当</x:v>
      </x:c>
    </x:row>
    <x:row r="51" ht="40" customHeight="1">
      <x:c r="A51" s="23" t="str">
        <x:v>地形共通得意</x:v>
      </x:c>
      <x:c r="B51" s="23" t="str">
        <x:v>得意技</x:v>
      </x:c>
      <x:c r="C51" s="26" t="n">
        <x:v>2</x:v>
      </x:c>
      <x:c r="D51" s="23" t="str">
        <x:v>制限なし</x:v>
      </x:c>
      <x:c r="E51" s="23" t="str">
        <x:v>短坂アタック</x:v>
      </x:c>
      <x:c r="F51" s="23" t="str">
        <x:v>丘陵エース</x:v>
      </x:c>
      <x:c r="G51" s="23" t="str">
        <x:v>丘陵</x:v>
      </x:c>
      <x:c r="H51" s="23" t="str">
        <x:v>本人</x:v>
      </x:c>
      <x:c r="I51" s="23" t="str">
        <x:v>短い急坂で鋭く仕掛け、ライバルとの小さな差を作る。</x:v>
      </x:c>
      <x:c r="J51" s="23" t="str">
        <x:v>punch / fighting</x:v>
      </x:c>
      <x:c r="K51" s="23" t="str"/>
      <x:c r="L51" s="29" t="n">
        <x:v>31</x:v>
      </x:c>
      <x:c r="M51" s="23" t="str">
        <x:v>Julian Alaphilippe / Arnaud De Lie / Tim Wellens / Mattias Skjelmose / Maxim Van Gils</x:v>
      </x:c>
      <x:c r="N51" s="23" t="str">
        <x:v>採用中</x:v>
      </x:c>
    </x:row>
    <x:row r="52" ht="40" customHeight="1">
      <x:c r="A52" s="23" t="str">
        <x:v>地形共通得意</x:v>
      </x:c>
      <x:c r="B52" s="23" t="str">
        <x:v>得意技</x:v>
      </x:c>
      <x:c r="C52" s="26" t="n">
        <x:v>2</x:v>
      </x:c>
      <x:c r="D52" s="23" t="str">
        <x:v>制限なし</x:v>
      </x:c>
      <x:c r="E52" s="23" t="str">
        <x:v>頂上前加速</x:v>
      </x:c>
      <x:c r="F52" s="23" t="str">
        <x:v>山岳エース</x:v>
      </x:c>
      <x:c r="G52" s="23" t="str">
        <x:v>山岳</x:v>
      </x:c>
      <x:c r="H52" s="23" t="str">
        <x:v>本人</x:v>
      </x:c>
      <x:c r="I52" s="23" t="str">
        <x:v>山頂前で加速し、下りへ入る前に有利な位置と時間差を作る。</x:v>
      </x:c>
      <x:c r="J52" s="23" t="str">
        <x:v>climbing / acceleration</x:v>
      </x:c>
      <x:c r="K52" s="23" t="str"/>
      <x:c r="L52" s="29" t="n">
        <x:v>26</x:v>
      </x:c>
      <x:c r="M52" s="23" t="str">
        <x:v>Egan Bernal / Giulio Ciccone / Jai Hindley / David Gaudu / Guillaume Martin</x:v>
      </x:c>
      <x:c r="N52" s="23" t="str">
        <x:v>採用中</x:v>
      </x:c>
    </x:row>
    <x:row r="53" ht="40" customHeight="1">
      <x:c r="A53" s="23" t="str">
        <x:v>地形共通得意</x:v>
      </x:c>
      <x:c r="B53" s="23" t="str">
        <x:v>得意技</x:v>
      </x:c>
      <x:c r="C53" s="26" t="n">
        <x:v>2</x:v>
      </x:c>
      <x:c r="D53" s="23" t="str">
        <x:v>制限なし</x:v>
      </x:c>
      <x:c r="E53" s="23" t="str">
        <x:v>登り口誘導</x:v>
      </x:c>
      <x:c r="F53" s="23" t="str">
        <x:v>山岳アシスト</x:v>
      </x:c>
      <x:c r="G53" s="23" t="str">
        <x:v>山岳</x:v>
      </x:c>
      <x:c r="H53" s="23" t="str">
        <x:v>味方エース</x:v>
      </x:c>
      <x:c r="I53" s="23" t="str">
        <x:v>山岳開始前に集団前方を確保し、味方エースを安全に登りへ入れる。</x:v>
      </x:c>
      <x:c r="J53" s="23" t="str">
        <x:v>positioning / climbing / teamwork</x:v>
      </x:c>
      <x:c r="K53" s="23" t="str"/>
      <x:c r="L53" s="29" t="n">
        <x:v>0</x:v>
      </x:c>
      <x:c r="M53" s="23" t="str"/>
      <x:c r="N53" s="23" t="str">
        <x:v>未割当</x:v>
      </x:c>
    </x:row>
    <x:row r="54" ht="40" customHeight="1">
      <x:c r="A54" s="23" t="str">
        <x:v>地形共通得意</x:v>
      </x:c>
      <x:c r="B54" s="23" t="str">
        <x:v>得意技</x:v>
      </x:c>
      <x:c r="C54" s="26" t="n">
        <x:v>2</x:v>
      </x:c>
      <x:c r="D54" s="23" t="str">
        <x:v>制限なし</x:v>
      </x:c>
      <x:c r="E54" s="23" t="str">
        <x:v>登坂チェイス</x:v>
      </x:c>
      <x:c r="F54" s="23" t="str">
        <x:v>山岳アシスト</x:v>
      </x:c>
      <x:c r="G54" s="23" t="str">
        <x:v>山岳</x:v>
      </x:c>
      <x:c r="H54" s="23" t="str">
        <x:v>味方エース</x:v>
      </x:c>
      <x:c r="I54" s="23" t="str">
        <x:v>登りで生まれた差を一定ペースで詰め、味方エースを先頭へ戻す。</x:v>
      </x:c>
      <x:c r="J54" s="23" t="str">
        <x:v>climbing / recovery / teamwork</x:v>
      </x:c>
      <x:c r="K54" s="23" t="str"/>
      <x:c r="L54" s="29" t="n">
        <x:v>63</x:v>
      </x:c>
      <x:c r="M54" s="23" t="str">
        <x:v>Bauke Mollema / Lewis Askey / Frits Biesterbos / Anthon Charmig / Sepp Kuss</x:v>
      </x:c>
      <x:c r="N54" s="23" t="str">
        <x:v>採用中</x:v>
      </x:c>
    </x:row>
    <x:row r="55" ht="40" customHeight="1">
      <x:c r="A55" s="23" t="str">
        <x:v>地形共通得意</x:v>
      </x:c>
      <x:c r="B55" s="23" t="str">
        <x:v>得意技</x:v>
      </x:c>
      <x:c r="C55" s="26" t="n">
        <x:v>2</x:v>
      </x:c>
      <x:c r="D55" s="23" t="str">
        <x:v>制限なし</x:v>
      </x:c>
      <x:c r="E55" s="23" t="str">
        <x:v>登坂ペースアップ</x:v>
      </x:c>
      <x:c r="F55" s="23" t="str">
        <x:v>山岳エース</x:v>
      </x:c>
      <x:c r="G55" s="23" t="str">
        <x:v>山岳</x:v>
      </x:c>
      <x:c r="H55" s="23" t="str">
        <x:v>本人</x:v>
      </x:c>
      <x:c r="I55" s="23" t="str">
        <x:v>登りで段階的に速度を上げ、追走できるライバルを絞り込む。</x:v>
      </x:c>
      <x:c r="J55" s="23" t="str">
        <x:v>climbing / stamina</x:v>
      </x:c>
      <x:c r="K55" s="23" t="str"/>
      <x:c r="L55" s="29" t="n">
        <x:v>58</x:v>
      </x:c>
      <x:c r="M55" s="23" t="str">
        <x:v>Tadej Pogacar / Paul Seixas / Isaac del Toro / Jonas Vingegaard / Remco Evenepoel</x:v>
      </x:c>
      <x:c r="N55" s="23" t="str">
        <x:v>採用中</x:v>
      </x:c>
    </x:row>
    <x:row r="56" ht="40" customHeight="1">
      <x:c r="A56" s="23" t="str">
        <x:v>地形共通得意</x:v>
      </x:c>
      <x:c r="B56" s="23" t="str">
        <x:v>得意技</x:v>
      </x:c>
      <x:c r="C56" s="26" t="n">
        <x:v>2</x:v>
      </x:c>
      <x:c r="D56" s="23" t="str">
        <x:v>制限なし</x:v>
      </x:c>
      <x:c r="E56" s="23" t="str">
        <x:v>平坦カウンター</x:v>
      </x:c>
      <x:c r="F56" s="23" t="str">
        <x:v>平坦エース</x:v>
      </x:c>
      <x:c r="G56" s="23" t="str">
        <x:v>平坦</x:v>
      </x:c>
      <x:c r="H56" s="23" t="str">
        <x:v>本人</x:v>
      </x:c>
      <x:c r="I56" s="23" t="str">
        <x:v>平坦で生まれた攻撃へ素早く反応し、有力選手の動きに乗る。</x:v>
      </x:c>
      <x:c r="J56" s="23" t="str">
        <x:v>acceleration / positioning / fighting</x:v>
      </x:c>
      <x:c r="K56" s="23" t="str"/>
      <x:c r="L56" s="29" t="n">
        <x:v>31</x:v>
      </x:c>
      <x:c r="M56" s="23" t="str">
        <x:v>Jasper Philipsen / Jonathan Milan / Biniam Girmay / Olav Kooij / Kaden Groves</x:v>
      </x:c>
      <x:c r="N56" s="23" t="str">
        <x:v>採用中</x:v>
      </x:c>
    </x:row>
    <x:row r="57" ht="40" customHeight="1">
      <x:c r="A57" s="23" t="str">
        <x:v>役割共通</x:v>
      </x:c>
      <x:c r="B57" s="23" t="str">
        <x:v>得意技</x:v>
      </x:c>
      <x:c r="C57" s="26" t="n">
        <x:v>2</x:v>
      </x:c>
      <x:c r="D57" s="23" t="str">
        <x:v>制限なし</x:v>
      </x:c>
      <x:c r="E57" s="23" t="str">
        <x:v>サテライト合流</x:v>
      </x:c>
      <x:c r="F57" s="23" t="str">
        <x:v>サテライトライダー</x:v>
      </x:c>
      <x:c r="G57" s="23" t="str">
        <x:v>役割依存</x:v>
      </x:c>
      <x:c r="H57" s="23" t="str">
        <x:v>味方エース</x:v>
      </x:c>
      <x:c r="I57" s="23" t="str">
        <x:v>合流後に補給、牽引、風よけを提供する。</x:v>
      </x:c>
      <x:c r="J57" s="23" t="str">
        <x:v>climb / stamina / recovery / teamwork</x:v>
      </x:c>
      <x:c r="K57" s="23" t="str"/>
      <x:c r="L57" s="29" t="n">
        <x:v>0</x:v>
      </x:c>
      <x:c r="M57" s="23" t="str"/>
      <x:c r="N57" s="23" t="str">
        <x:v>未割当</x:v>
      </x:c>
    </x:row>
    <x:row r="58" ht="40" customHeight="1">
      <x:c r="A58" s="23" t="str">
        <x:v>役割共通</x:v>
      </x:c>
      <x:c r="B58" s="23" t="str">
        <x:v>得意技</x:v>
      </x:c>
      <x:c r="C58" s="26" t="n">
        <x:v>2</x:v>
      </x:c>
      <x:c r="D58" s="23" t="str">
        <x:v>制限なし</x:v>
      </x:c>
      <x:c r="E58" s="23" t="str">
        <x:v>ダウンヒル牽引</x:v>
      </x:c>
      <x:c r="F58" s="23" t="str">
        <x:v>下り牽引</x:v>
      </x:c>
      <x:c r="G58" s="23" t="str">
        <x:v>役割依存</x:v>
      </x:c>
      <x:c r="H58" s="23" t="str">
        <x:v>味方エース</x:v>
      </x:c>
      <x:c r="I58" s="23" t="str">
        <x:v>下り速度と隊列安定性を高める。</x:v>
      </x:c>
      <x:c r="J58" s="23" t="str">
        <x:v>bikeControl / technique / fighting</x:v>
      </x:c>
      <x:c r="K58" s="23" t="str"/>
      <x:c r="L58" s="29" t="n">
        <x:v>18</x:v>
      </x:c>
      <x:c r="M58" s="23" t="str">
        <x:v>Matej Mohoric / Andrea Bagioli / Michał Kwiatkowski / Bjoern Koerdt / Iván Romeo</x:v>
      </x:c>
      <x:c r="N58" s="23" t="str">
        <x:v>採用中</x:v>
      </x:c>
    </x:row>
    <x:row r="59" ht="40" customHeight="1">
      <x:c r="A59" s="23" t="str">
        <x:v>役割共通</x:v>
      </x:c>
      <x:c r="B59" s="23" t="str">
        <x:v>得意技</x:v>
      </x:c>
      <x:c r="C59" s="26" t="n">
        <x:v>2</x:v>
      </x:c>
      <x:c r="D59" s="23" t="str">
        <x:v>制限なし</x:v>
      </x:c>
      <x:c r="E59" s="23" t="str">
        <x:v>トレイン加速</x:v>
      </x:c>
      <x:c r="F59" s="23" t="str">
        <x:v>スプリントトレイン</x:v>
      </x:c>
      <x:c r="G59" s="23" t="str">
        <x:v>役割依存</x:v>
      </x:c>
      <x:c r="H59" s="23" t="str">
        <x:v>味方チーム</x:v>
      </x:c>
      <x:c r="I59" s="23" t="str">
        <x:v>終盤の隊列維持と速度の受け渡しを安定させる。</x:v>
      </x:c>
      <x:c r="J59" s="23" t="str">
        <x:v>cruise / acceleration / sprint / teamwork</x:v>
      </x:c>
      <x:c r="K59" s="23" t="str"/>
      <x:c r="L59" s="29" t="n">
        <x:v>44</x:v>
      </x:c>
      <x:c r="M59" s="23" t="str">
        <x:v>Hugo Hofstetter / Itamar Einhorn / Alberto Dainese / Johan Jacobs / Filippo Conca</x:v>
      </x:c>
      <x:c r="N59" s="23" t="str">
        <x:v>採用中</x:v>
      </x:c>
    </x:row>
    <x:row r="60" ht="40" customHeight="1">
      <x:c r="A60" s="23" t="str">
        <x:v>役割共通</x:v>
      </x:c>
      <x:c r="B60" s="23" t="str">
        <x:v>得意技</x:v>
      </x:c>
      <x:c r="C60" s="26" t="n">
        <x:v>2</x:v>
      </x:c>
      <x:c r="D60" s="23" t="str">
        <x:v>制限なし</x:v>
      </x:c>
      <x:c r="E60" s="23" t="str">
        <x:v>ハイペース維持</x:v>
      </x:c>
      <x:c r="F60" s="23" t="str">
        <x:v>平坦ペースメーカー</x:v>
      </x:c>
      <x:c r="G60" s="23" t="str">
        <x:v>役割依存</x:v>
      </x:c>
      <x:c r="H60" s="23" t="str">
        <x:v>味方エース</x:v>
      </x:c>
      <x:c r="I60" s="23" t="str">
        <x:v>逃げとの差と集団速度を安定させる。</x:v>
      </x:c>
      <x:c r="J60" s="23" t="str">
        <x:v>cruise / stamina / recovery</x:v>
      </x:c>
      <x:c r="K60" s="23" t="str"/>
      <x:c r="L60" s="29" t="n">
        <x:v>6</x:v>
      </x:c>
      <x:c r="M60" s="23" t="str">
        <x:v>Bradley Wiggins / Luis Leon Sanchez / Thomas De Gendt / Lawson Craddock / Cameron Wurf</x:v>
      </x:c>
      <x:c r="N60" s="23" t="str">
        <x:v>採用中</x:v>
      </x:c>
    </x:row>
    <x:row r="61" ht="40" customHeight="1">
      <x:c r="A61" s="23" t="str">
        <x:v>役割共通</x:v>
      </x:c>
      <x:c r="B61" s="23" t="str">
        <x:v>得意技</x:v>
      </x:c>
      <x:c r="C61" s="26" t="n">
        <x:v>2</x:v>
      </x:c>
      <x:c r="D61" s="23" t="str">
        <x:v>制限なし</x:v>
      </x:c>
      <x:c r="E61" s="23" t="str">
        <x:v>プランB</x:v>
      </x:c>
      <x:c r="F61" s="23" t="str">
        <x:v>サブエース</x:v>
      </x:c>
      <x:c r="G61" s="23" t="str">
        <x:v>役割依存</x:v>
      </x:c>
      <x:c r="H61" s="23" t="str">
        <x:v>味方エース</x:v>
      </x:c>
      <x:c r="I61" s="23" t="str">
        <x:v>エースの不調や脱落時に第二の勝利プランへ移行する。</x:v>
      </x:c>
      <x:c r="J61" s="23" t="str">
        <x:v>ace_aptitude / recovery / fighting</x:v>
      </x:c>
      <x:c r="K61" s="23" t="str"/>
      <x:c r="L61" s="29" t="n">
        <x:v>3</x:v>
      </x:c>
      <x:c r="M61" s="23" t="str">
        <x:v>Richie Porte / Michal Kwiatkowski / Wout Poels</x:v>
      </x:c>
      <x:c r="N61" s="23" t="str">
        <x:v>採用中</x:v>
      </x:c>
    </x:row>
    <x:row r="62" ht="40" customHeight="1">
      <x:c r="A62" s="23" t="str">
        <x:v>役割共通</x:v>
      </x:c>
      <x:c r="B62" s="23" t="str">
        <x:v>得意技</x:v>
      </x:c>
      <x:c r="C62" s="26" t="n">
        <x:v>2</x:v>
      </x:c>
      <x:c r="D62" s="23" t="str">
        <x:v>制限なし</x:v>
      </x:c>
      <x:c r="E62" s="23" t="str">
        <x:v>ブリッジ</x:v>
      </x:c>
      <x:c r="F62" s="23" t="str">
        <x:v>逃げ屋</x:v>
      </x:c>
      <x:c r="G62" s="23" t="str">
        <x:v>役割依存</x:v>
      </x:c>
      <x:c r="H62" s="23" t="str">
        <x:v>本人</x:v>
      </x:c>
      <x:c r="I62" s="23" t="str">
        <x:v>メイン集団から加速し、すでに形成された逃げ集団へ合流する。</x:v>
      </x:c>
      <x:c r="J62" s="23" t="str">
        <x:v>stamina / cruise / fighting / recovery</x:v>
      </x:c>
      <x:c r="K62" s="23" t="str"/>
      <x:c r="L62" s="29" t="n">
        <x:v>16</x:v>
      </x:c>
      <x:c r="M62" s="23" t="str">
        <x:v>Tom Pidcock / Ethan Vernon / Andrea Vendrame / Alessandro Pinarello / Lorenzo Rota</x:v>
      </x:c>
      <x:c r="N62" s="23" t="str">
        <x:v>採用中</x:v>
      </x:c>
    </x:row>
    <x:row r="63" ht="40" customHeight="1">
      <x:c r="A63" s="23" t="str">
        <x:v>役割共通</x:v>
      </x:c>
      <x:c r="B63" s="23" t="str">
        <x:v>得意技</x:v>
      </x:c>
      <x:c r="C63" s="26" t="n">
        <x:v>2</x:v>
      </x:c>
      <x:c r="D63" s="23" t="str">
        <x:v>制限なし</x:v>
      </x:c>
      <x:c r="E63" s="23" t="str">
        <x:v>下りアタック</x:v>
      </x:c>
      <x:c r="F63" s="23" t="str">
        <x:v>下り牽引</x:v>
      </x:c>
      <x:c r="G63" s="23" t="str">
        <x:v>役割依存</x:v>
      </x:c>
      <x:c r="H63" s="23" t="str">
        <x:v>本人</x:v>
      </x:c>
      <x:c r="I63" s="23" t="str">
        <x:v>テクニカルな下りで仕掛け、後続とのタイム差を作る。</x:v>
      </x:c>
      <x:c r="J63" s="23" t="str">
        <x:v>bikeControl / technique / fighting</x:v>
      </x:c>
      <x:c r="K63" s="23" t="str"/>
      <x:c r="L63" s="29" t="n">
        <x:v>16</x:v>
      </x:c>
      <x:c r="M63" s="23" t="str">
        <x:v>Matej Mohoric / Andrea Bagioli / Michał Kwiatkowski / Bjoern Koerdt / Iván Romeo</x:v>
      </x:c>
      <x:c r="N63" s="23" t="str">
        <x:v>採用中</x:v>
      </x:c>
    </x:row>
    <x:row r="64" ht="40" customHeight="1">
      <x:c r="A64" s="23" t="str">
        <x:v>役割共通</x:v>
      </x:c>
      <x:c r="B64" s="23" t="str">
        <x:v>得意技</x:v>
      </x:c>
      <x:c r="C64" s="26" t="n">
        <x:v>2</x:v>
      </x:c>
      <x:c r="D64" s="23" t="str">
        <x:v>制限なし</x:v>
      </x:c>
      <x:c r="E64" s="23" t="str">
        <x:v>下り加速</x:v>
      </x:c>
      <x:c r="F64" s="23" t="str">
        <x:v>下り牽引</x:v>
      </x:c>
      <x:c r="G64" s="23" t="str">
        <x:v>役割依存</x:v>
      </x:c>
      <x:c r="H64" s="23" t="str">
        <x:v>本人</x:v>
      </x:c>
      <x:c r="I64" s="23" t="str">
        <x:v>下りの直線で速度を上げ、前方集団との差を縮める。</x:v>
      </x:c>
      <x:c r="J64" s="23" t="str">
        <x:v>bikeControl / technique / fighting</x:v>
      </x:c>
      <x:c r="K64" s="23" t="str"/>
      <x:c r="L64" s="29" t="n">
        <x:v>0</x:v>
      </x:c>
      <x:c r="M64" s="23" t="str"/>
      <x:c r="N64" s="23" t="str">
        <x:v>未割当</x:v>
      </x:c>
    </x:row>
    <x:row r="65" ht="40" customHeight="1">
      <x:c r="A65" s="23" t="str">
        <x:v>役割共通</x:v>
      </x:c>
      <x:c r="B65" s="23" t="str">
        <x:v>得意技</x:v>
      </x:c>
      <x:c r="C65" s="26" t="n">
        <x:v>2</x:v>
      </x:c>
      <x:c r="D65" s="23" t="str">
        <x:v>制限なし</x:v>
      </x:c>
      <x:c r="E65" s="23" t="str">
        <x:v>下り復帰</x:v>
      </x:c>
      <x:c r="F65" s="23" t="str">
        <x:v>下り牽引</x:v>
      </x:c>
      <x:c r="G65" s="23" t="str">
        <x:v>役割依存</x:v>
      </x:c>
      <x:c r="H65" s="23" t="str">
        <x:v>味方エース</x:v>
      </x:c>
      <x:c r="I65" s="23" t="str">
        <x:v>下りで遅れた味方を牽引し、プロトンや前方集団へ復帰させる。</x:v>
      </x:c>
      <x:c r="J65" s="23" t="str">
        <x:v>bikeControl / technique / fighting</x:v>
      </x:c>
      <x:c r="K65" s="23" t="str"/>
      <x:c r="L65" s="29" t="n">
        <x:v>0</x:v>
      </x:c>
      <x:c r="M65" s="23" t="str"/>
      <x:c r="N65" s="23" t="str">
        <x:v>未割当</x:v>
      </x:c>
    </x:row>
    <x:row r="66" ht="40" customHeight="1">
      <x:c r="A66" s="23" t="str">
        <x:v>役割共通</x:v>
      </x:c>
      <x:c r="B66" s="23" t="str">
        <x:v>得意技</x:v>
      </x:c>
      <x:c r="C66" s="26" t="n">
        <x:v>2</x:v>
      </x:c>
      <x:c r="D66" s="23" t="str">
        <x:v>制限なし</x:v>
      </x:c>
      <x:c r="E66" s="23" t="str">
        <x:v>高速リードアウト</x:v>
      </x:c>
      <x:c r="F66" s="23" t="str">
        <x:v>リードアウト</x:v>
      </x:c>
      <x:c r="G66" s="23" t="str">
        <x:v>役割依存</x:v>
      </x:c>
      <x:c r="H66" s="23" t="str">
        <x:v>味方エース</x:v>
      </x:c>
      <x:c r="I66" s="23" t="str">
        <x:v>味方スプリンターの位置取りと加速移行を補助する。</x:v>
      </x:c>
      <x:c r="J66" s="23" t="str">
        <x:v>acceleration / sprint / cruise / teamwork</x:v>
      </x:c>
      <x:c r="K66" s="23" t="str"/>
      <x:c r="L66" s="29" t="n">
        <x:v>77</x:v>
      </x:c>
      <x:c r="M66" s="23" t="str">
        <x:v>Jasper Philipsen / Jonathan Milan / Biniam Girmay / Olav Kooij / Kaden Groves</x:v>
      </x:c>
      <x:c r="N66" s="23" t="str">
        <x:v>採用中</x:v>
      </x:c>
    </x:row>
    <x:row r="67" ht="40" customHeight="1">
      <x:c r="A67" s="23" t="str">
        <x:v>役割共通</x:v>
      </x:c>
      <x:c r="B67" s="23" t="str">
        <x:v>得意技</x:v>
      </x:c>
      <x:c r="C67" s="26" t="n">
        <x:v>2</x:v>
      </x:c>
      <x:c r="D67" s="23" t="str">
        <x:v>制限なし</x:v>
      </x:c>
      <x:c r="E67" s="23" t="str">
        <x:v>最後の山岳牽引</x:v>
      </x:c>
      <x:c r="F67" s="23" t="str">
        <x:v>山岳番手</x:v>
      </x:c>
      <x:c r="G67" s="23" t="str">
        <x:v>役割依存</x:v>
      </x:c>
      <x:c r="H67" s="23" t="str">
        <x:v>味方エース</x:v>
      </x:c>
      <x:c r="I67" s="23" t="str">
        <x:v>山頂付近の攻撃対応と最終発射を支援する。</x:v>
      </x:c>
      <x:c r="J67" s="23" t="str">
        <x:v>climb / acceleration / stamina / recovery</x:v>
      </x:c>
      <x:c r="K67" s="23" t="str"/>
      <x:c r="L67" s="29" t="n">
        <x:v>51</x:v>
      </x:c>
      <x:c r="M67" s="23" t="str">
        <x:v>Paul Seixas / Isaac del Toro / Jonas Vingegaard / Primoz Roglic / Juan Ayuso</x:v>
      </x:c>
      <x:c r="N67" s="23" t="str">
        <x:v>採用中</x:v>
      </x:c>
    </x:row>
    <x:row r="68" ht="40" customHeight="1">
      <x:c r="A68" s="23" t="str">
        <x:v>役割共通</x:v>
      </x:c>
      <x:c r="B68" s="23" t="str">
        <x:v>得意技</x:v>
      </x:c>
      <x:c r="C68" s="26" t="n">
        <x:v>2</x:v>
      </x:c>
      <x:c r="D68" s="23" t="str">
        <x:v>制限なし</x:v>
      </x:c>
      <x:c r="E68" s="23" t="str">
        <x:v>山岳ペースアップ</x:v>
      </x:c>
      <x:c r="F68" s="23" t="str">
        <x:v>山岳ペースメーカー</x:v>
      </x:c>
      <x:c r="G68" s="23" t="str">
        <x:v>役割依存</x:v>
      </x:c>
      <x:c r="H68" s="23" t="str">
        <x:v>味方エース</x:v>
      </x:c>
      <x:c r="I68" s="23" t="str">
        <x:v>集団を絞り込み急なアタックを抑制する。</x:v>
      </x:c>
      <x:c r="J68" s="23" t="str">
        <x:v>climb / stamina / cruise</x:v>
      </x:c>
      <x:c r="K68" s="23" t="str"/>
      <x:c r="L68" s="29" t="n">
        <x:v>1</x:v>
      </x:c>
      <x:c r="M68" s="23" t="str">
        <x:v>Ilan Van Wilder</x:v>
      </x:c>
      <x:c r="N68" s="23" t="str">
        <x:v>採用中</x:v>
      </x:c>
    </x:row>
    <x:row r="69" ht="40" customHeight="1">
      <x:c r="A69" s="23" t="str">
        <x:v>役割共通</x:v>
      </x:c>
      <x:c r="B69" s="23" t="str">
        <x:v>得意技</x:v>
      </x:c>
      <x:c r="C69" s="26" t="n">
        <x:v>2</x:v>
      </x:c>
      <x:c r="D69" s="23" t="str">
        <x:v>制限なし</x:v>
      </x:c>
      <x:c r="E69" s="23" t="str">
        <x:v>集団復帰</x:v>
      </x:c>
      <x:c r="F69" s="23" t="str">
        <x:v>トラブル復帰牽引</x:v>
      </x:c>
      <x:c r="G69" s="23" t="str">
        <x:v>役割依存</x:v>
      </x:c>
      <x:c r="H69" s="23" t="str">
        <x:v>味方エース</x:v>
      </x:c>
      <x:c r="I69" s="23" t="str">
        <x:v>復帰速度を上げエースの消耗を抑える。</x:v>
      </x:c>
      <x:c r="J69" s="23" t="str">
        <x:v>cruise / stamina / teamwork</x:v>
      </x:c>
      <x:c r="K69" s="23" t="str"/>
      <x:c r="L69" s="29" t="n">
        <x:v>4</x:v>
      </x:c>
      <x:c r="M69" s="23" t="str">
        <x:v>Jens Voigt / Lars Bak / Salvatore Puccio / Jack Bauer</x:v>
      </x:c>
      <x:c r="N69" s="23" t="str">
        <x:v>採用中</x:v>
      </x:c>
    </x:row>
    <x:row r="70" ht="40" customHeight="1">
      <x:c r="A70" s="23" t="str">
        <x:v>役割共通</x:v>
      </x:c>
      <x:c r="B70" s="23" t="str">
        <x:v>得意技</x:v>
      </x:c>
      <x:c r="C70" s="26" t="n">
        <x:v>2</x:v>
      </x:c>
      <x:c r="D70" s="23" t="str">
        <x:v>制限なし</x:v>
      </x:c>
      <x:c r="E70" s="23" t="str">
        <x:v>隊列再編</x:v>
      </x:c>
      <x:c r="F70" s="23" t="str">
        <x:v>ロードキャプテン</x:v>
      </x:c>
      <x:c r="G70" s="23" t="str">
        <x:v>役割依存</x:v>
      </x:c>
      <x:c r="H70" s="23" t="str">
        <x:v>味方チーム</x:v>
      </x:c>
      <x:c r="I70" s="23" t="str">
        <x:v>味方の位置取りと戦術判断を安定させる。</x:v>
      </x:c>
      <x:c r="J70" s="23" t="str">
        <x:v>teamwork / technique / recovery</x:v>
      </x:c>
      <x:c r="K70" s="23" t="str"/>
      <x:c r="L70" s="29" t="n">
        <x:v>25</x:v>
      </x:c>
      <x:c r="M70" s="23" t="str">
        <x:v>Florian Lipowitz / Antonio Tiberi / Enric Mas / Anthon Charmig / Cees Bol</x:v>
      </x:c>
      <x:c r="N70" s="23" t="str">
        <x:v>採用中</x:v>
      </x:c>
    </x:row>
    <x:row r="71" ht="40" customHeight="1">
      <x:c r="A71" s="23" t="str">
        <x:v>役割共通</x:v>
      </x:c>
      <x:c r="B71" s="23" t="str">
        <x:v>得意技</x:v>
      </x:c>
      <x:c r="C71" s="26" t="n">
        <x:v>2</x:v>
      </x:c>
      <x:c r="D71" s="23" t="str">
        <x:v>制限なし</x:v>
      </x:c>
      <x:c r="E71" s="23" t="str">
        <x:v>逃げ吸収</x:v>
      </x:c>
      <x:c r="F71" s="23" t="str">
        <x:v>ブレイクアウェイキラー</x:v>
      </x:c>
      <x:c r="G71" s="23" t="str">
        <x:v>役割依存</x:v>
      </x:c>
      <x:c r="H71" s="23" t="str">
        <x:v>味方エース</x:v>
      </x:c>
      <x:c r="I71" s="23" t="str">
        <x:v>逃げとのタイム差を効率よく削る。</x:v>
      </x:c>
      <x:c r="J71" s="23" t="str">
        <x:v>cruise / stamina / teamwork</x:v>
      </x:c>
      <x:c r="K71" s="23" t="str"/>
      <x:c r="L71" s="29" t="n">
        <x:v>8</x:v>
      </x:c>
      <x:c r="M71" s="23" t="str">
        <x:v>Filippo Ganna / Filippo Conca / Jorge Arcas / Jakob Omrzel / Felix Engelhardt</x:v>
      </x:c>
      <x:c r="N71" s="23" t="str">
        <x:v>採用中</x:v>
      </x:c>
    </x:row>
    <x:row r="72" ht="40" customHeight="1">
      <x:c r="A72" s="23" t="str">
        <x:v>役割共通</x:v>
      </x:c>
      <x:c r="B72" s="23" t="str">
        <x:v>得意技</x:v>
      </x:c>
      <x:c r="C72" s="26" t="n">
        <x:v>2</x:v>
      </x:c>
      <x:c r="D72" s="23" t="str">
        <x:v>制限なし</x:v>
      </x:c>
      <x:c r="E72" s="23" t="str">
        <x:v>逃げ参加</x:v>
      </x:c>
      <x:c r="F72" s="23" t="str">
        <x:v>逃げ屋</x:v>
      </x:c>
      <x:c r="G72" s="23" t="str">
        <x:v>役割依存</x:v>
      </x:c>
      <x:c r="H72" s="23" t="str">
        <x:v>本人</x:v>
      </x:c>
      <x:c r="I72" s="23" t="str">
        <x:v>序盤の逃げ形成時、逃げ集団へ入る成功率を上げる。</x:v>
      </x:c>
      <x:c r="J72" s="23" t="str">
        <x:v>stamina / cruise / fighting / recovery</x:v>
      </x:c>
      <x:c r="K72" s="23" t="str"/>
      <x:c r="L72" s="29" t="n">
        <x:v>11</x:v>
      </x:c>
      <x:c r="M72" s="23" t="str">
        <x:v>Tom Pidcock / Alessandro Pinarello / Lorenzo Rota / Lukas Nerurkar / Andrew August</x:v>
      </x:c>
      <x:c r="N72" s="23" t="str">
        <x:v>採用中</x:v>
      </x:c>
    </x:row>
    <x:row r="73" ht="40" customHeight="1">
      <x:c r="A73" s="23" t="str">
        <x:v>役割共通</x:v>
      </x:c>
      <x:c r="B73" s="23" t="str">
        <x:v>得意技</x:v>
      </x:c>
      <x:c r="C73" s="26" t="n">
        <x:v>2</x:v>
      </x:c>
      <x:c r="D73" s="23" t="str">
        <x:v>制限なし</x:v>
      </x:c>
      <x:c r="E73" s="23" t="str">
        <x:v>逃げ選別</x:v>
      </x:c>
      <x:c r="F73" s="23" t="str">
        <x:v>逃げ屋</x:v>
      </x:c>
      <x:c r="G73" s="23" t="str">
        <x:v>役割依存</x:v>
      </x:c>
      <x:c r="H73" s="23" t="str">
        <x:v>逃げ集団</x:v>
      </x:c>
      <x:c r="I73" s="23" t="str">
        <x:v>起伏や横風でペースを上げ、逃げ集団の人数を絞り込む。</x:v>
      </x:c>
      <x:c r="J73" s="23" t="str">
        <x:v>stamina / cruise / fighting / recovery</x:v>
      </x:c>
      <x:c r="K73" s="23" t="str"/>
      <x:c r="L73" s="29" t="n">
        <x:v>0</x:v>
      </x:c>
      <x:c r="M73" s="23" t="str"/>
      <x:c r="N73" s="23" t="str">
        <x:v>未割当</x:v>
      </x:c>
    </x:row>
    <x:row r="74" ht="40" customHeight="1">
      <x:c r="A74" s="23" t="str">
        <x:v>役割共通</x:v>
      </x:c>
      <x:c r="B74" s="23" t="str">
        <x:v>得意技</x:v>
      </x:c>
      <x:c r="C74" s="26" t="n">
        <x:v>2</x:v>
      </x:c>
      <x:c r="D74" s="23" t="str">
        <x:v>制限なし</x:v>
      </x:c>
      <x:c r="E74" s="23" t="str">
        <x:v>逃げ粘り</x:v>
      </x:c>
      <x:c r="F74" s="23" t="str">
        <x:v>逃げ屋</x:v>
      </x:c>
      <x:c r="G74" s="23" t="str">
        <x:v>役割依存</x:v>
      </x:c>
      <x:c r="H74" s="23" t="str">
        <x:v>本人</x:v>
      </x:c>
      <x:c r="I74" s="23" t="str">
        <x:v>吸収されそうな場面で再加速し、逃げ集団の生存時間を延ばす。</x:v>
      </x:c>
      <x:c r="J74" s="23" t="str">
        <x:v>stamina / cruise / fighting / recovery</x:v>
      </x:c>
      <x:c r="K74" s="23" t="str"/>
      <x:c r="L74" s="29" t="n">
        <x:v>0</x:v>
      </x:c>
      <x:c r="M74" s="23" t="str"/>
      <x:c r="N74" s="23" t="str">
        <x:v>未割当</x:v>
      </x:c>
    </x:row>
    <x:row r="75" ht="40" customHeight="1">
      <x:c r="A75" s="23" t="str">
        <x:v>エース固有</x:v>
      </x:c>
      <x:c r="B75" s="23" t="str">
        <x:v>勝負手</x:v>
      </x:c>
      <x:c r="C75" s="26" t="n">
        <x:v>3</x:v>
      </x:c>
      <x:c r="D75" s="23" t="n">
        <x:v>1</x:v>
      </x:c>
      <x:c r="E75" s="23" t="str">
        <x:v>トップギアの巡航</x:v>
      </x:c>
      <x:c r="F75" s="23" t="str">
        <x:v>Filippo Ganna</x:v>
      </x:c>
      <x:c r="G75" s="23" t="str">
        <x:v>TT・ルーラー型 / クラシック型</x:v>
      </x:c>
      <x:c r="H75" s="23" t="str">
        <x:v>本人</x:v>
      </x:c>
      <x:c r="I75" s="23" t="str">
        <x:v>巡航圧力型：高い巡航速度を長く保ち、追走するほど相手が消耗する展開を作る。</x:v>
      </x:c>
      <x:c r="J75" s="23" t="str">
        <x:v>丘陵エース / 巡航力 / 技術力 / 連携力</x:v>
      </x:c>
      <x:c r="K75" s="23" t="str">
        <x:v>二つ名: 蒼きトップギア</x:v>
      </x:c>
      <x:c r="L75" s="29" t="n">
        <x:v>1</x:v>
      </x:c>
      <x:c r="M75" s="23" t="str">
        <x:v>Filippo Ganna</x:v>
      </x:c>
      <x:c r="N75" s="23" t="str">
        <x:v>採用中</x:v>
      </x:c>
    </x:row>
    <x:row r="76" ht="40" customHeight="1">
      <x:c r="A76" s="23" t="str">
        <x:v>エース固有</x:v>
      </x:c>
      <x:c r="B76" s="23" t="str">
        <x:v>勝負手</x:v>
      </x:c>
      <x:c r="C76" s="26" t="n">
        <x:v>3</x:v>
      </x:c>
      <x:c r="D76" s="23" t="n">
        <x:v>1</x:v>
      </x:c>
      <x:c r="E76" s="23" t="str">
        <x:v>パンチ砲の一閃</x:v>
      </x:c>
      <x:c r="F76" s="23" t="str">
        <x:v>Maxim Van Gils</x:v>
      </x:c>
      <x:c r="G76" s="23" t="str">
        <x:v>パンチャー / クライマー</x:v>
      </x:c>
      <x:c r="H76" s="23" t="str">
        <x:v>本人</x:v>
      </x:c>
      <x:c r="I76" s="23" t="str">
        <x:v>一撃パンチ型：短い丘の最急勾配へ全出力を集中し、一度の加速で間隔を開ける。</x:v>
      </x:c>
      <x:c r="J76" s="23" t="str">
        <x:v>丘陵エース / パンチ力 / 加速力 / 自己主張</x:v>
      </x:c>
      <x:c r="K76" s="23" t="str">
        <x:v>二つ名: 低地のパンチ砲</x:v>
      </x:c>
      <x:c r="L76" s="29" t="n">
        <x:v>1</x:v>
      </x:c>
      <x:c r="M76" s="23" t="str">
        <x:v>Maxim Van Gils</x:v>
      </x:c>
      <x:c r="N76" s="23" t="str">
        <x:v>採用中</x:v>
      </x:c>
    </x:row>
    <x:row r="77" ht="40" customHeight="1">
      <x:c r="A77" s="23" t="str">
        <x:v>エース固有</x:v>
      </x:c>
      <x:c r="B77" s="23" t="str">
        <x:v>勝負手</x:v>
      </x:c>
      <x:c r="C77" s="26" t="n">
        <x:v>3</x:v>
      </x:c>
      <x:c r="D77" s="23" t="n">
        <x:v>1</x:v>
      </x:c>
      <x:c r="E77" s="23" t="str">
        <x:v>パンチ砲の連撃</x:v>
      </x:c>
      <x:c r="F77" s="23" t="str">
        <x:v>Jhonatan Narvaez</x:v>
      </x:c>
      <x:c r="G77" s="23" t="str">
        <x:v>パンチャー / クラシック型</x:v>
      </x:c>
      <x:c r="H77" s="23" t="str">
        <x:v>本人</x:v>
      </x:c>
      <x:c r="I77" s="23" t="str">
        <x:v>二段加速型：丘の中腹で一度集団を絞り、頂上前の二度目の加速で抜け出す。</x:v>
      </x:c>
      <x:c r="J77" s="23" t="str">
        <x:v>丘陵エース / パンチ力 / 加速力 / バイクコントロール</x:v>
      </x:c>
      <x:c r="K77" s="23" t="str">
        <x:v>二つ名: アンデスのパンチ砲</x:v>
      </x:c>
      <x:c r="L77" s="29" t="n">
        <x:v>1</x:v>
      </x:c>
      <x:c r="M77" s="23" t="str">
        <x:v>Jhonatan Narvaez</x:v>
      </x:c>
      <x:c r="N77" s="23" t="str">
        <x:v>採用中</x:v>
      </x:c>
    </x:row>
    <x:row r="78" ht="40" customHeight="1">
      <x:c r="A78" s="23" t="str">
        <x:v>エース固有</x:v>
      </x:c>
      <x:c r="B78" s="23" t="str">
        <x:v>勝負手</x:v>
      </x:c>
      <x:c r="C78" s="26" t="n">
        <x:v>3</x:v>
      </x:c>
      <x:c r="D78" s="23" t="n">
        <x:v>1</x:v>
      </x:c>
      <x:c r="E78" s="23" t="str">
        <x:v>異端児の下降線</x:v>
      </x:c>
      <x:c r="F78" s="23" t="str">
        <x:v>Matej Mohoric</x:v>
      </x:c>
      <x:c r="G78" s="23" t="str">
        <x:v>クラシック型 / パンチャー</x:v>
      </x:c>
      <x:c r="H78" s="23" t="str">
        <x:v>本人</x:v>
      </x:c>
      <x:c r="I78" s="23" t="str">
        <x:v>下り奇襲型：山頂通過直後に仕掛け、下りのライン取りで追走を引き離す。</x:v>
      </x:c>
      <x:c r="J78" s="23" t="str">
        <x:v>丘陵エース / バイクコントロール / 技術力 / 闘争心</x:v>
      </x:c>
      <x:c r="K78" s="23" t="str">
        <x:v>二つ名: 下りの異端児</x:v>
      </x:c>
      <x:c r="L78" s="29" t="n">
        <x:v>1</x:v>
      </x:c>
      <x:c r="M78" s="23" t="str">
        <x:v>Matej Mohoric</x:v>
      </x:c>
      <x:c r="N78" s="23" t="str">
        <x:v>採用中</x:v>
      </x:c>
    </x:row>
    <x:row r="79" ht="40" customHeight="1">
      <x:c r="A79" s="23" t="str">
        <x:v>エース固有</x:v>
      </x:c>
      <x:c r="B79" s="23" t="str">
        <x:v>勝負手</x:v>
      </x:c>
      <x:c r="C79" s="26" t="n">
        <x:v>3</x:v>
      </x:c>
      <x:c r="D79" s="23" t="n">
        <x:v>1</x:v>
      </x:c>
      <x:c r="E79" s="23" t="str">
        <x:v>鋭刃の勾配</x:v>
      </x:c>
      <x:c r="F79" s="23" t="str">
        <x:v>Mattias Skjelmose</x:v>
      </x:c>
      <x:c r="G79" s="23" t="str">
        <x:v>パンチャー / 総合型</x:v>
      </x:c>
      <x:c r="H79" s="23" t="str">
        <x:v>本人</x:v>
      </x:c>
      <x:c r="I79" s="23" t="str">
        <x:v>勾配変化型：斜度が切り替わる地点で加速し、一定ペースの追走を崩す。</x:v>
      </x:c>
      <x:c r="J79" s="23" t="str">
        <x:v>丘陵エース / パンチ力 / 加速力 / 自己主張</x:v>
      </x:c>
      <x:c r="K79" s="23" t="str">
        <x:v>二つ名: 北欧の鋭刃</x:v>
      </x:c>
      <x:c r="L79" s="29" t="n">
        <x:v>1</x:v>
      </x:c>
      <x:c r="M79" s="23" t="str">
        <x:v>Mattias Skjelmose</x:v>
      </x:c>
      <x:c r="N79" s="23" t="str">
        <x:v>採用中</x:v>
      </x:c>
    </x:row>
    <x:row r="80" ht="40" customHeight="1">
      <x:c r="A80" s="23" t="str">
        <x:v>エース固有</x:v>
      </x:c>
      <x:c r="B80" s="23" t="str">
        <x:v>勝負手</x:v>
      </x:c>
      <x:c r="C80" s="26" t="n">
        <x:v>3</x:v>
      </x:c>
      <x:c r="D80" s="23" t="n">
        <x:v>1</x:v>
      </x:c>
      <x:c r="E80" s="23" t="str">
        <x:v>火花の噴出</x:v>
      </x:c>
      <x:c r="F80" s="23" t="str">
        <x:v>Isaac del Toro</x:v>
      </x:c>
      <x:c r="G80" s="23" t="str">
        <x:v>総合型 / パンチャー</x:v>
      </x:c>
      <x:c r="H80" s="23" t="str">
        <x:v>本人</x:v>
      </x:c>
      <x:c r="I80" s="23" t="str">
        <x:v>反復加速型：短い加速を連続して繰り出し、追走側の脚を先に削る。</x:v>
      </x:c>
      <x:c r="J80" s="23" t="str">
        <x:v>総合エース / 回復力 / 日別回復 / 自己主張</x:v>
      </x:c>
      <x:c r="K80" s="23" t="str">
        <x:v>二つ名: メキシコの火花</x:v>
      </x:c>
      <x:c r="L80" s="29" t="n">
        <x:v>1</x:v>
      </x:c>
      <x:c r="M80" s="23" t="str">
        <x:v>Isaac del Toro</x:v>
      </x:c>
      <x:c r="N80" s="23" t="str">
        <x:v>採用中</x:v>
      </x:c>
    </x:row>
    <x:row r="81" ht="40" customHeight="1">
      <x:c r="A81" s="23" t="str">
        <x:v>エース固有</x:v>
      </x:c>
      <x:c r="B81" s="23" t="str">
        <x:v>勝負手</x:v>
      </x:c>
      <x:c r="C81" s="26" t="n">
        <x:v>3</x:v>
      </x:c>
      <x:c r="D81" s="23" t="n">
        <x:v>1</x:v>
      </x:c>
      <x:c r="E81" s="23" t="str">
        <x:v>快速王の進路</x:v>
      </x:c>
      <x:c r="F81" s="23" t="str">
        <x:v>Jasper Philipsen</x:v>
      </x:c>
      <x:c r="G81" s="23" t="str">
        <x:v>スプリンター / クラシック型</x:v>
      </x:c>
      <x:c r="H81" s="23" t="str">
        <x:v>本人</x:v>
      </x:c>
      <x:c r="I81" s="23" t="str">
        <x:v>進路確保型：混戦で有利な車輪と走路を確保し、最短距離から最高速へ移る。</x:v>
      </x:c>
      <x:c r="J81" s="23" t="str">
        <x:v>スプリントエース / 最高速 / 加速力 / 自己主張</x:v>
      </x:c>
      <x:c r="K81" s="23" t="str">
        <x:v>二つ名: 低地の快速王</x:v>
      </x:c>
      <x:c r="L81" s="29" t="n">
        <x:v>1</x:v>
      </x:c>
      <x:c r="M81" s="23" t="str">
        <x:v>Jasper Philipsen</x:v>
      </x:c>
      <x:c r="N81" s="23" t="str">
        <x:v>採用中</x:v>
      </x:c>
    </x:row>
    <x:row r="82" ht="40" customHeight="1">
      <x:c r="A82" s="23" t="str">
        <x:v>エース固有</x:v>
      </x:c>
      <x:c r="B82" s="23" t="str">
        <x:v>勝負手</x:v>
      </x:c>
      <x:c r="C82" s="26" t="n">
        <x:v>3</x:v>
      </x:c>
      <x:c r="D82" s="23" t="n">
        <x:v>1</x:v>
      </x:c>
      <x:c r="E82" s="23" t="str">
        <x:v>快速車の巡航</x:v>
      </x:c>
      <x:c r="F82" s="23" t="str">
        <x:v>Kaden Groves</x:v>
      </x:c>
      <x:c r="G82" s="23" t="str">
        <x:v>スプリンター / クラシック型</x:v>
      </x:c>
      <x:c r="H82" s="23" t="str">
        <x:v>本人</x:v>
      </x:c>
      <x:c r="I82" s="23" t="str">
        <x:v>持続スプリント型：早めに速度を上げ、後続に並ばせないまま長く加速を維持する。</x:v>
      </x:c>
      <x:c r="J82" s="23" t="str">
        <x:v>スプリントエース / 最高速 / 加速力 / 自己主張</x:v>
      </x:c>
      <x:c r="K82" s="23" t="str">
        <x:v>二つ名: 豪州の快速車</x:v>
      </x:c>
      <x:c r="L82" s="29" t="n">
        <x:v>1</x:v>
      </x:c>
      <x:c r="M82" s="23" t="str">
        <x:v>Kaden Groves</x:v>
      </x:c>
      <x:c r="N82" s="23" t="str">
        <x:v>採用中</x:v>
      </x:c>
    </x:row>
    <x:row r="83" ht="40" customHeight="1">
      <x:c r="A83" s="23" t="str">
        <x:v>エース固有</x:v>
      </x:c>
      <x:c r="B83" s="23" t="str">
        <x:v>勝負手</x:v>
      </x:c>
      <x:c r="C83" s="26" t="n">
        <x:v>3</x:v>
      </x:c>
      <x:c r="D83" s="23" t="n">
        <x:v>1</x:v>
      </x:c>
      <x:c r="E83" s="23" t="str">
        <x:v>快速弾の発射</x:v>
      </x:c>
      <x:c r="F83" s="23" t="str">
        <x:v>Juan Sebastian Molano</x:v>
      </x:c>
      <x:c r="G83" s="23" t="str">
        <x:v>スプリンター / TT・ルーラー型</x:v>
      </x:c>
      <x:c r="H83" s="23" t="str">
        <x:v>本人</x:v>
      </x:c>
      <x:c r="I83" s="23" t="str">
        <x:v>発射型：リードアウトの速度を失わずに離れ、直線入口から一気に加速する。</x:v>
      </x:c>
      <x:c r="J83" s="23" t="str">
        <x:v>スプリントエース / 最高速 / 加速力 / 自己主張</x:v>
      </x:c>
      <x:c r="K83" s="23" t="str">
        <x:v>二つ名: コロンビアの快速弾</x:v>
      </x:c>
      <x:c r="L83" s="29" t="n">
        <x:v>1</x:v>
      </x:c>
      <x:c r="M83" s="23" t="str">
        <x:v>Juan Sebastian Molano</x:v>
      </x:c>
      <x:c r="N83" s="23" t="str">
        <x:v>採用中</x:v>
      </x:c>
    </x:row>
    <x:row r="84" ht="40" customHeight="1">
      <x:c r="A84" s="23" t="str">
        <x:v>エース固有</x:v>
      </x:c>
      <x:c r="B84" s="23" t="str">
        <x:v>勝負手</x:v>
      </x:c>
      <x:c r="C84" s="26" t="n">
        <x:v>3</x:v>
      </x:c>
      <x:c r="D84" s="23" t="n">
        <x:v>1</x:v>
      </x:c>
      <x:c r="E84" s="23" t="str">
        <x:v>機関車の奇襲</x:v>
      </x:c>
      <x:c r="F84" s="23" t="str">
        <x:v>Richard Carapaz</x:v>
      </x:c>
      <x:c r="G84" s="23" t="str">
        <x:v>総合型 / クライマー</x:v>
      </x:c>
      <x:c r="H84" s="23" t="str">
        <x:v>本人</x:v>
      </x:c>
      <x:c r="I84" s="23" t="str">
        <x:v>奇襲型：集団が牽制した瞬間に単独で飛び出し、反応が揃う前に差を広げる。</x:v>
      </x:c>
      <x:c r="J84" s="23" t="str">
        <x:v>総合エース / 日別回復 / 回復力 / 登坂力</x:v>
      </x:c>
      <x:c r="K84" s="23" t="str">
        <x:v>二つ名: アンデスの機関車</x:v>
      </x:c>
      <x:c r="L84" s="29" t="n">
        <x:v>1</x:v>
      </x:c>
      <x:c r="M84" s="23" t="str">
        <x:v>Richard Carapaz</x:v>
      </x:c>
      <x:c r="N84" s="23" t="str">
        <x:v>採用中</x:v>
      </x:c>
    </x:row>
    <x:row r="85" ht="40" customHeight="1">
      <x:c r="A85" s="23" t="str">
        <x:v>エース固有</x:v>
      </x:c>
      <x:c r="B85" s="23" t="str">
        <x:v>勝負手</x:v>
      </x:c>
      <x:c r="C85" s="26" t="n">
        <x:v>3</x:v>
      </x:c>
      <x:c r="D85" s="23" t="n">
        <x:v>1</x:v>
      </x:c>
      <x:c r="E85" s="23" t="str">
        <x:v>急行の最終便</x:v>
      </x:c>
      <x:c r="F85" s="23" t="str">
        <x:v>Pascal Ackermann</x:v>
      </x:c>
      <x:c r="G85" s="23" t="str">
        <x:v>スプリンター / TT・ルーラー型</x:v>
      </x:c>
      <x:c r="H85" s="23" t="str">
        <x:v>本人</x:v>
      </x:c>
      <x:c r="I85" s="23" t="str">
        <x:v>遅仕掛け型：先行スプリンターの速度低下を待ち、最後の直線だけで差し切る。</x:v>
      </x:c>
      <x:c r="J85" s="23" t="str">
        <x:v>スプリントエース / 最高速 / 加速力 / 自己主張</x:v>
      </x:c>
      <x:c r="K85" s="23" t="str">
        <x:v>二つ名: ドイツの急行</x:v>
      </x:c>
      <x:c r="L85" s="29" t="n">
        <x:v>1</x:v>
      </x:c>
      <x:c r="M85" s="23" t="str">
        <x:v>Pascal Ackermann</x:v>
      </x:c>
      <x:c r="N85" s="23" t="str">
        <x:v>採用中</x:v>
      </x:c>
    </x:row>
    <x:row r="86" ht="40" customHeight="1">
      <x:c r="A86" s="23" t="str">
        <x:v>エース固有</x:v>
      </x:c>
      <x:c r="B86" s="23" t="str">
        <x:v>勝負手</x:v>
      </x:c>
      <x:c r="C86" s="26" t="n">
        <x:v>3</x:v>
      </x:c>
      <x:c r="D86" s="23" t="n">
        <x:v>1</x:v>
      </x:c>
      <x:c r="E86" s="23" t="str">
        <x:v>急降下の勝負線</x:v>
      </x:c>
      <x:c r="F86" s="23" t="str">
        <x:v>Pello Bilbao</x:v>
      </x:c>
      <x:c r="G86" s="23" t="str">
        <x:v>パンチャー / 総合型</x:v>
      </x:c>
      <x:c r="H86" s="23" t="str">
        <x:v>本人</x:v>
      </x:c>
      <x:c r="I86" s="23" t="str">
        <x:v>頂上下り連結型：山頂前の加速を下りへつなぎ、二つの区間を一続きの攻撃にする。</x:v>
      </x:c>
      <x:c r="J86" s="23" t="str">
        <x:v>丘陵エース / パンチ力 / 加速力 / 闘争心</x:v>
      </x:c>
      <x:c r="K86" s="23" t="str">
        <x:v>二つ名: バスクの急降下</x:v>
      </x:c>
      <x:c r="L86" s="29" t="n">
        <x:v>1</x:v>
      </x:c>
      <x:c r="M86" s="23" t="str">
        <x:v>Pello Bilbao</x:v>
      </x:c>
      <x:c r="N86" s="23" t="str">
        <x:v>採用中</x:v>
      </x:c>
    </x:row>
    <x:row r="87" ht="40" customHeight="1">
      <x:c r="A87" s="23" t="str">
        <x:v>エース固有</x:v>
      </x:c>
      <x:c r="B87" s="23" t="str">
        <x:v>勝負手</x:v>
      </x:c>
      <x:c r="C87" s="26" t="n">
        <x:v>3</x:v>
      </x:c>
      <x:c r="D87" s="23" t="n">
        <x:v>1</x:v>
      </x:c>
      <x:c r="E87" s="23" t="str">
        <x:v>曲芸師の急降下</x:v>
      </x:c>
      <x:c r="F87" s="23" t="str">
        <x:v>Tom Pidcock</x:v>
      </x:c>
      <x:c r="G87" s="23" t="str">
        <x:v>下り</x:v>
      </x:c>
      <x:c r="H87" s="23" t="str">
        <x:v>本人</x:v>
      </x:c>
      <x:c r="I87" s="23" t="str">
        <x:v>下り技術型：高速コーナーで減速を抑え、安全なラインから後続との差を広げる。</x:v>
      </x:c>
      <x:c r="J87" s="23" t="str">
        <x:v>下り / バイクコントロール / 技術力 / 闘争心</x:v>
      </x:c>
      <x:c r="K87" s="23" t="str">
        <x:v>二つ名: 英国の曲芸師</x:v>
      </x:c>
      <x:c r="L87" s="29" t="n">
        <x:v>1</x:v>
      </x:c>
      <x:c r="M87" s="23" t="str">
        <x:v>Tom Pidcock</x:v>
      </x:c>
      <x:c r="N87" s="23" t="str">
        <x:v>採用中</x:v>
      </x:c>
    </x:row>
    <x:row r="88" ht="40" customHeight="1">
      <x:c r="A88" s="23" t="str">
        <x:v>エース固有</x:v>
      </x:c>
      <x:c r="B88" s="23" t="str">
        <x:v>勝負手</x:v>
      </x:c>
      <x:c r="C88" s="26" t="n">
        <x:v>3</x:v>
      </x:c>
      <x:c r="D88" s="23" t="n">
        <x:v>1</x:v>
      </x:c>
      <x:c r="E88" s="23" t="str">
        <x:v>銀弾の献身</x:v>
      </x:c>
      <x:c r="F88" s="23" t="str">
        <x:v>Wout van Aert</x:v>
      </x:c>
      <x:c r="G88" s="23" t="str">
        <x:v>クラシック型 / パンチャー</x:v>
      </x:c>
      <x:c r="H88" s="23" t="str">
        <x:v>本人</x:v>
      </x:c>
      <x:c r="I88" s="23" t="str">
        <x:v>献身転換型：自分の巡航力を味方の位置上げへ変え、最後に残った脚で追撃する。</x:v>
      </x:c>
      <x:c r="J88" s="23" t="str">
        <x:v>丘陵エース / 技術力 / 闘争心 / 巡航力</x:v>
      </x:c>
      <x:c r="K88" s="23" t="str">
        <x:v>二つ名: 万能の銀弾</x:v>
      </x:c>
      <x:c r="L88" s="29" t="n">
        <x:v>1</x:v>
      </x:c>
      <x:c r="M88" s="23" t="str">
        <x:v>Wout van Aert</x:v>
      </x:c>
      <x:c r="N88" s="23" t="str">
        <x:v>採用中</x:v>
      </x:c>
    </x:row>
    <x:row r="89" ht="40" customHeight="1">
      <x:c r="A89" s="23" t="str">
        <x:v>エース固有</x:v>
      </x:c>
      <x:c r="B89" s="23" t="str">
        <x:v>勝負手</x:v>
      </x:c>
      <x:c r="C89" s="26" t="n">
        <x:v>3</x:v>
      </x:c>
      <x:c r="D89" s="23" t="n">
        <x:v>1</x:v>
      </x:c>
      <x:c r="E89" s="23" t="str">
        <x:v>計算者の方程式</x:v>
      </x:c>
      <x:c r="F89" s="23" t="str">
        <x:v>Antonio Tiberi</x:v>
      </x:c>
      <x:c r="G89" s="23" t="str">
        <x:v>総合型 / TT・ルーラー型</x:v>
      </x:c>
      <x:c r="H89" s="23" t="str">
        <x:v>本人</x:v>
      </x:c>
      <x:c r="I89" s="23" t="str">
        <x:v>計算ペース型：残り距離に合わせて出力を配分し、最後の登坂だけ余力を残す。</x:v>
      </x:c>
      <x:c r="J89" s="23" t="str">
        <x:v>総合エース / 回復力 / 日別回復 / 登坂力</x:v>
      </x:c>
      <x:c r="K89" s="23" t="str">
        <x:v>二つ名: ローマの計算者</x:v>
      </x:c>
      <x:c r="L89" s="29" t="n">
        <x:v>1</x:v>
      </x:c>
      <x:c r="M89" s="23" t="str">
        <x:v>Antonio Tiberi</x:v>
      </x:c>
      <x:c r="N89" s="23" t="str">
        <x:v>採用中</x:v>
      </x:c>
    </x:row>
    <x:row r="90" ht="40" customHeight="1">
      <x:c r="A90" s="23" t="str">
        <x:v>エース固有</x:v>
      </x:c>
      <x:c r="B90" s="23" t="str">
        <x:v>勝負手</x:v>
      </x:c>
      <x:c r="C90" s="26" t="n">
        <x:v>3</x:v>
      </x:c>
      <x:c r="D90" s="23" t="n">
        <x:v>1</x:v>
      </x:c>
      <x:c r="E90" s="23" t="str">
        <x:v>皇帝のカウンター</x:v>
      </x:c>
      <x:c r="F90" s="23" t="str">
        <x:v>Tadej Pogacar</x:v>
      </x:c>
      <x:c r="G90" s="23" t="str">
        <x:v>総合型 / パンチャー</x:v>
      </x:c>
      <x:c r="H90" s="23" t="str">
        <x:v>本人</x:v>
      </x:c>
      <x:c r="I90" s="23" t="str">
        <x:v>カウンター型：ライバルの仕掛け直後に追撃し、丘陵から登りへ勢いを持ち越す。</x:v>
      </x:c>
      <x:c r="J90" s="23" t="str">
        <x:v>総合エース / 登坂力 / スタミナ / 回復力</x:v>
      </x:c>
      <x:c r="K90" s="23" t="str">
        <x:v>二つ名: 新時代の皇帝</x:v>
      </x:c>
      <x:c r="L90" s="29" t="n">
        <x:v>1</x:v>
      </x:c>
      <x:c r="M90" s="23" t="str">
        <x:v>Tadej Pogacar</x:v>
      </x:c>
      <x:c r="N90" s="23" t="str">
        <x:v>採用中</x:v>
      </x:c>
    </x:row>
    <x:row r="91" ht="40" customHeight="1">
      <x:c r="A91" s="23" t="str">
        <x:v>エース固有</x:v>
      </x:c>
      <x:c r="B91" s="23" t="str">
        <x:v>勝負手</x:v>
      </x:c>
      <x:c r="C91" s="26" t="n">
        <x:v>3</x:v>
      </x:c>
      <x:c r="D91" s="23" t="n">
        <x:v>1</x:v>
      </x:c>
      <x:c r="E91" s="23" t="str">
        <x:v>航海士の登坂路</x:v>
      </x:c>
      <x:c r="F91" s="23" t="str">
        <x:v>Jai Hindley</x:v>
      </x:c>
      <x:c r="G91" s="23" t="str">
        <x:v>総合型 / クライマー</x:v>
      </x:c>
      <x:c r="H91" s="23" t="str">
        <x:v>本人</x:v>
      </x:c>
      <x:c r="I91" s="23" t="str">
        <x:v>長坂耐久型：長い登りで出力を落とさず、加速ではなく持続力で人数を削る。</x:v>
      </x:c>
      <x:c r="J91" s="23" t="str">
        <x:v>総合エース / 回復力 / 日別回復 / 登坂力</x:v>
      </x:c>
      <x:c r="K91" s="23" t="str">
        <x:v>二つ名: 豪州の山岳航海士</x:v>
      </x:c>
      <x:c r="L91" s="29" t="n">
        <x:v>1</x:v>
      </x:c>
      <x:c r="M91" s="23" t="str">
        <x:v>Jai Hindley</x:v>
      </x:c>
      <x:c r="N91" s="23" t="str">
        <x:v>採用中</x:v>
      </x:c>
    </x:row>
    <x:row r="92" ht="40" customHeight="1">
      <x:c r="A92" s="23" t="str">
        <x:v>エース固有</x:v>
      </x:c>
      <x:c r="B92" s="23" t="str">
        <x:v>勝負手</x:v>
      </x:c>
      <x:c r="C92" s="26" t="n">
        <x:v>3</x:v>
      </x:c>
      <x:c r="D92" s="23" t="n">
        <x:v>1</x:v>
      </x:c>
      <x:c r="E92" s="23" t="str">
        <x:v>剛脚の突破口</x:v>
      </x:c>
      <x:c r="F92" s="23" t="str">
        <x:v>Alberto Bettiol</x:v>
      </x:c>
      <x:c r="G92" s="23" t="str">
        <x:v>クラシック型 / パンチャー</x:v>
      </x:c>
      <x:c r="H92" s="23" t="str">
        <x:v>本人</x:v>
      </x:c>
      <x:c r="I92" s="23" t="str">
        <x:v>悪路突破型：荒れた路面で失速せずに加速し、ライン選択の差で集団を割る。</x:v>
      </x:c>
      <x:c r="J92" s="23" t="str">
        <x:v>丘陵エース / 闘争心 / バイクコントロール / 耐久力</x:v>
      </x:c>
      <x:c r="K92" s="23" t="str">
        <x:v>二つ名: トスカーナの剛脚</x:v>
      </x:c>
      <x:c r="L92" s="29" t="n">
        <x:v>1</x:v>
      </x:c>
      <x:c r="M92" s="23" t="str">
        <x:v>Alberto Bettiol</x:v>
      </x:c>
      <x:c r="N92" s="23" t="str">
        <x:v>採用中</x:v>
      </x:c>
    </x:row>
    <x:row r="93" ht="40" customHeight="1">
      <x:c r="A93" s="23" t="str">
        <x:v>エース固有</x:v>
      </x:c>
      <x:c r="B93" s="23" t="str">
        <x:v>勝負手</x:v>
      </x:c>
      <x:c r="C93" s="26" t="n">
        <x:v>3</x:v>
      </x:c>
      <x:c r="D93" s="23" t="n">
        <x:v>1</x:v>
      </x:c>
      <x:c r="E93" s="23" t="str">
        <x:v>山岳王の封鎖</x:v>
      </x:c>
      <x:c r="F93" s="23" t="str">
        <x:v>Jonas Vingegaard</x:v>
      </x:c>
      <x:c r="G93" s="23" t="str">
        <x:v>総合型 / クライマー</x:v>
      </x:c>
      <x:c r="H93" s="23" t="str">
        <x:v>本人</x:v>
      </x:c>
      <x:c r="I93" s="23" t="str">
        <x:v>山岳封鎖型：長い登りで一定の高出力を維持し、後方からの再加速を封じる。</x:v>
      </x:c>
      <x:c r="J93" s="23" t="str">
        <x:v>総合エース / 登坂力 / 回復力 / 日別回復</x:v>
      </x:c>
      <x:c r="K93" s="23" t="str">
        <x:v>二つ名: 北海の山岳王</x:v>
      </x:c>
      <x:c r="L93" s="29" t="n">
        <x:v>1</x:v>
      </x:c>
      <x:c r="M93" s="23" t="str">
        <x:v>Jonas Vingegaard</x:v>
      </x:c>
      <x:c r="N93" s="23" t="str">
        <x:v>採用中</x:v>
      </x:c>
    </x:row>
    <x:row r="94" ht="40" customHeight="1">
      <x:c r="A94" s="23" t="str">
        <x:v>エース固有</x:v>
      </x:c>
      <x:c r="B94" s="23" t="str">
        <x:v>勝負手</x:v>
      </x:c>
      <x:c r="C94" s="26" t="n">
        <x:v>3</x:v>
      </x:c>
      <x:c r="D94" s="23" t="n">
        <x:v>1</x:v>
      </x:c>
      <x:c r="E94" s="23" t="str">
        <x:v>山岳騎士の圧力</x:v>
      </x:c>
      <x:c r="F94" s="23" t="str">
        <x:v>Enric Mas</x:v>
      </x:c>
      <x:c r="G94" s="23" t="str">
        <x:v>総合型 / クライマー</x:v>
      </x:c>
      <x:c r="H94" s="23" t="str">
        <x:v>本人</x:v>
      </x:c>
      <x:c r="I94" s="23" t="str">
        <x:v>圧力型：先頭付近で一定の圧力をかけ続け、ライバルの攻撃回数を減らす。</x:v>
      </x:c>
      <x:c r="J94" s="23" t="str">
        <x:v>総合エース / 回復力 / 日別回復 / 登坂力</x:v>
      </x:c>
      <x:c r="K94" s="23" t="str">
        <x:v>二つ名: 静かなる山岳騎士</x:v>
      </x:c>
      <x:c r="L94" s="29" t="n">
        <x:v>1</x:v>
      </x:c>
      <x:c r="M94" s="23" t="str">
        <x:v>Enric Mas</x:v>
      </x:c>
      <x:c r="N94" s="23" t="str">
        <x:v>採用中</x:v>
      </x:c>
    </x:row>
    <x:row r="95" ht="40" customHeight="1">
      <x:c r="A95" s="23" t="str">
        <x:v>エース固有</x:v>
      </x:c>
      <x:c r="B95" s="23" t="str">
        <x:v>勝負手</x:v>
      </x:c>
      <x:c r="C95" s="26" t="n">
        <x:v>3</x:v>
      </x:c>
      <x:c r="D95" s="23" t="n">
        <x:v>1</x:v>
      </x:c>
      <x:c r="E95" s="23" t="str">
        <x:v>山岳剣の頂上戦</x:v>
      </x:c>
      <x:c r="F95" s="23" t="str">
        <x:v>David Gaudu</x:v>
      </x:c>
      <x:c r="G95" s="23" t="str">
        <x:v>クライマー / 総合型</x:v>
      </x:c>
      <x:c r="H95" s="23" t="str">
        <x:v>本人</x:v>
      </x:c>
      <x:c r="I95" s="23" t="str">
        <x:v>急勾配切替型：緩斜面では脚を残し、斜度が上がった瞬間に登坂出力を解放する。</x:v>
      </x:c>
      <x:c r="J95" s="23" t="str">
        <x:v>山岳エース / 登坂力 / 回復力 / 日別回復</x:v>
      </x:c>
      <x:c r="K95" s="23" t="str">
        <x:v>二つ名: ブルターニュの山岳剣</x:v>
      </x:c>
      <x:c r="L95" s="29" t="n">
        <x:v>1</x:v>
      </x:c>
      <x:c r="M95" s="23" t="str">
        <x:v>David Gaudu</x:v>
      </x:c>
      <x:c r="N95" s="23" t="str">
        <x:v>採用中</x:v>
      </x:c>
    </x:row>
    <x:row r="96" ht="40" customHeight="1">
      <x:c r="A96" s="23" t="str">
        <x:v>エース固有</x:v>
      </x:c>
      <x:c r="B96" s="23" t="str">
        <x:v>勝負手</x:v>
      </x:c>
      <x:c r="C96" s="26" t="n">
        <x:v>3</x:v>
      </x:c>
      <x:c r="D96" s="23" t="n">
        <x:v>1</x:v>
      </x:c>
      <x:c r="E96" s="23" t="str">
        <x:v>山岳拳の一撃</x:v>
      </x:c>
      <x:c r="F96" s="23" t="str">
        <x:v>Oscar Onley</x:v>
      </x:c>
      <x:c r="G96" s="23" t="str">
        <x:v>パンチャー / クライマー</x:v>
      </x:c>
      <x:c r="H96" s="23" t="str">
        <x:v>本人</x:v>
      </x:c>
      <x:c r="I96" s="23" t="str">
        <x:v>登坂スプリント型：急坂を先頭で耐え、頂上付近の短い直線でスプリントする。</x:v>
      </x:c>
      <x:c r="J96" s="23" t="str">
        <x:v>丘陵エース / パンチ力 / 加速力 / 自己主張</x:v>
      </x:c>
      <x:c r="K96" s="23" t="str">
        <x:v>二つ名: 英国の山岳拳</x:v>
      </x:c>
      <x:c r="L96" s="29" t="n">
        <x:v>1</x:v>
      </x:c>
      <x:c r="M96" s="23" t="str">
        <x:v>Oscar Onley</x:v>
      </x:c>
      <x:c r="N96" s="23" t="str">
        <x:v>採用中</x:v>
      </x:c>
    </x:row>
    <x:row r="97" ht="40" customHeight="1">
      <x:c r="A97" s="23" t="str">
        <x:v>エース固有</x:v>
      </x:c>
      <x:c r="B97" s="23" t="str">
        <x:v>勝負手</x:v>
      </x:c>
      <x:c r="C97" s="26" t="n">
        <x:v>3</x:v>
      </x:c>
      <x:c r="D97" s="23" t="n">
        <x:v>1</x:v>
      </x:c>
      <x:c r="E97" s="23" t="str">
        <x:v>山岳狩人の牙</x:v>
      </x:c>
      <x:c r="F97" s="23" t="str">
        <x:v>Giulio Ciccone</x:v>
      </x:c>
      <x:c r="G97" s="23" t="str">
        <x:v>クライマー / パンチャー</x:v>
      </x:c>
      <x:c r="H97" s="23" t="str">
        <x:v>本人</x:v>
      </x:c>
      <x:c r="I97" s="23" t="str">
        <x:v>山頂先行型：登坂後半から速度を上げ、山頂通過時点で追走との差を確保する。</x:v>
      </x:c>
      <x:c r="J97" s="23" t="str">
        <x:v>山岳エース / 登坂力 / 回復力 / 日別回復</x:v>
      </x:c>
      <x:c r="K97" s="23" t="str">
        <x:v>二つ名: 青き山岳狩人</x:v>
      </x:c>
      <x:c r="L97" s="29" t="n">
        <x:v>1</x:v>
      </x:c>
      <x:c r="M97" s="23" t="str">
        <x:v>Giulio Ciccone</x:v>
      </x:c>
      <x:c r="N97" s="23" t="str">
        <x:v>採用中</x:v>
      </x:c>
    </x:row>
    <x:row r="98" ht="40" customHeight="1">
      <x:c r="A98" s="23" t="str">
        <x:v>エース固有</x:v>
      </x:c>
      <x:c r="B98" s="23" t="str">
        <x:v>勝負手</x:v>
      </x:c>
      <x:c r="C98" s="26" t="n">
        <x:v>3</x:v>
      </x:c>
      <x:c r="D98" s="23" t="n">
        <x:v>1</x:v>
      </x:c>
      <x:c r="E98" s="23" t="str">
        <x:v>山猫の頂上</x:v>
      </x:c>
      <x:c r="F98" s="23" t="str">
        <x:v>Warren Barguil</x:v>
      </x:c>
      <x:c r="G98" s="23" t="str">
        <x:v>クライマー / パンチャー</x:v>
      </x:c>
      <x:c r="H98" s="23" t="str">
        <x:v>本人</x:v>
      </x:c>
      <x:c r="I98" s="23" t="str">
        <x:v>山頂奇襲型：山頂直前まで追走に徹し、最後の急勾配だけで順位を入れ替える。</x:v>
      </x:c>
      <x:c r="J98" s="23" t="str">
        <x:v>山岳エース / 登坂力 / 回復力 / 日別回復</x:v>
      </x:c>
      <x:c r="K98" s="23" t="str">
        <x:v>二つ名: ブルターニュの山猫</x:v>
      </x:c>
      <x:c r="L98" s="29" t="n">
        <x:v>1</x:v>
      </x:c>
      <x:c r="M98" s="23" t="str">
        <x:v>Warren Barguil</x:v>
      </x:c>
      <x:c r="N98" s="23" t="str">
        <x:v>採用中</x:v>
      </x:c>
    </x:row>
    <x:row r="99" ht="40" customHeight="1">
      <x:c r="A99" s="23" t="str">
        <x:v>エース固有</x:v>
      </x:c>
      <x:c r="B99" s="23" t="str">
        <x:v>勝負手</x:v>
      </x:c>
      <x:c r="C99" s="26" t="n">
        <x:v>3</x:v>
      </x:c>
      <x:c r="D99" s="23" t="n">
        <x:v>1</x:v>
      </x:c>
      <x:c r="E99" s="23" t="str">
        <x:v>疾走者の復活</x:v>
      </x:c>
      <x:c r="F99" s="23" t="str">
        <x:v>Fabio Jakobsen</x:v>
      </x:c>
      <x:c r="G99" s="23" t="str">
        <x:v>スプリンター / クラシック型</x:v>
      </x:c>
      <x:c r="H99" s="23" t="str">
        <x:v>本人</x:v>
      </x:c>
      <x:c r="I99" s="23" t="str">
        <x:v>再加速型：一度減速する混戦を耐え、進路が開いた瞬間に最高速へ戻る。</x:v>
      </x:c>
      <x:c r="J99" s="23" t="str">
        <x:v>スプリントエース / 最高速 / 加速力 / 自己主張</x:v>
      </x:c>
      <x:c r="K99" s="23" t="str">
        <x:v>二つ名: 不屈の疾走者</x:v>
      </x:c>
      <x:c r="L99" s="29" t="n">
        <x:v>1</x:v>
      </x:c>
      <x:c r="M99" s="23" t="str">
        <x:v>Fabio Jakobsen</x:v>
      </x:c>
      <x:c r="N99" s="23" t="str">
        <x:v>採用中</x:v>
      </x:c>
    </x:row>
    <x:row r="100" ht="40" customHeight="1">
      <x:c r="A100" s="23" t="str">
        <x:v>エース固有</x:v>
      </x:c>
      <x:c r="B100" s="23" t="str">
        <x:v>勝負手</x:v>
      </x:c>
      <x:c r="C100" s="26" t="n">
        <x:v>3</x:v>
      </x:c>
      <x:c r="D100" s="23" t="n">
        <x:v>1</x:v>
      </x:c>
      <x:c r="E100" s="23" t="str">
        <x:v>疾風の突破</x:v>
      </x:c>
      <x:c r="F100" s="23" t="str">
        <x:v>Biniam Girmay</x:v>
      </x:c>
      <x:c r="G100" s="23" t="str">
        <x:v>スプリンター / パンチャー</x:v>
      </x:c>
      <x:c r="H100" s="23" t="str">
        <x:v>本人</x:v>
      </x:c>
      <x:c r="I100" s="23" t="str">
        <x:v>混戦突破型：位置取りが乱れた集団でも進路を切り替え、空いたラインから加速する。</x:v>
      </x:c>
      <x:c r="J100" s="23" t="str">
        <x:v>スプリントエース / 加速力 / 自己主張 / 最高速</x:v>
      </x:c>
      <x:c r="K100" s="23" t="str">
        <x:v>二つ名: アフリカの疾風</x:v>
      </x:c>
      <x:c r="L100" s="29" t="n">
        <x:v>1</x:v>
      </x:c>
      <x:c r="M100" s="23" t="str">
        <x:v>Biniam Girmay</x:v>
      </x:c>
      <x:c r="N100" s="23" t="str">
        <x:v>採用中</x:v>
      </x:c>
    </x:row>
    <x:row r="101" ht="40" customHeight="1">
      <x:c r="A101" s="23" t="str">
        <x:v>エース固有</x:v>
      </x:c>
      <x:c r="B101" s="23" t="str">
        <x:v>勝負手</x:v>
      </x:c>
      <x:c r="C101" s="26" t="n">
        <x:v>3</x:v>
      </x:c>
      <x:c r="D101" s="23" t="n">
        <x:v>1</x:v>
      </x:c>
      <x:c r="E101" s="23" t="str">
        <x:v>若き王の帰還</x:v>
      </x:c>
      <x:c r="F101" s="23" t="str">
        <x:v>Egan Bernal</x:v>
      </x:c>
      <x:c r="G101" s="23" t="str">
        <x:v>総合型 / クライマー</x:v>
      </x:c>
      <x:c r="H101" s="23" t="str">
        <x:v>本人</x:v>
      </x:c>
      <x:c r="I101" s="23" t="str">
        <x:v>復活型：厳しい登坂を耐えた後に再加速し、遅れかけた位置から先頭へ戻る。</x:v>
      </x:c>
      <x:c r="J101" s="23" t="str">
        <x:v>総合エース / 登坂力 / 回復力 / 日別回復</x:v>
      </x:c>
      <x:c r="K101" s="23" t="str">
        <x:v>二つ名: アンデスの若き王</x:v>
      </x:c>
      <x:c r="L101" s="29" t="n">
        <x:v>1</x:v>
      </x:c>
      <x:c r="M101" s="23" t="str">
        <x:v>Egan Bernal</x:v>
      </x:c>
      <x:c r="N101" s="23" t="str">
        <x:v>採用中</x:v>
      </x:c>
    </x:row>
    <x:row r="102" ht="40" customHeight="1">
      <x:c r="A102" s="23" t="str">
        <x:v>エース固有</x:v>
      </x:c>
      <x:c r="B102" s="23" t="str">
        <x:v>勝負手</x:v>
      </x:c>
      <x:c r="C102" s="26" t="n">
        <x:v>3</x:v>
      </x:c>
      <x:c r="D102" s="23" t="n">
        <x:v>1</x:v>
      </x:c>
      <x:c r="E102" s="23" t="str">
        <x:v>若き拳の連打</x:v>
      </x:c>
      <x:c r="F102" s="23" t="str">
        <x:v>Romain Gregoire</x:v>
      </x:c>
      <x:c r="G102" s="23" t="str">
        <x:v>パンチャー / スプリンター</x:v>
      </x:c>
      <x:c r="H102" s="23" t="str">
        <x:v>本人</x:v>
      </x:c>
      <x:c r="I102" s="23" t="str">
        <x:v>連打型：短いアタックを間隔を空けずに重ね、反応できない瞬間を作る。</x:v>
      </x:c>
      <x:c r="J102" s="23" t="str">
        <x:v>丘陵エース / 加速力 / パンチ力 / 自己主張</x:v>
      </x:c>
      <x:c r="K102" s="23" t="str">
        <x:v>二つ名: フランスの若き拳</x:v>
      </x:c>
      <x:c r="L102" s="29" t="n">
        <x:v>1</x:v>
      </x:c>
      <x:c r="M102" s="23" t="str">
        <x:v>Romain Gregoire</x:v>
      </x:c>
      <x:c r="N102" s="23" t="str">
        <x:v>採用中</x:v>
      </x:c>
    </x:row>
    <x:row r="103" ht="40" customHeight="1">
      <x:c r="A103" s="23" t="str">
        <x:v>エース固有</x:v>
      </x:c>
      <x:c r="B103" s="23" t="str">
        <x:v>勝負手</x:v>
      </x:c>
      <x:c r="C103" s="26" t="n">
        <x:v>3</x:v>
      </x:c>
      <x:c r="D103" s="23" t="n">
        <x:v>1</x:v>
      </x:c>
      <x:c r="E103" s="23" t="str">
        <x:v>若き矢の最短路</x:v>
      </x:c>
      <x:c r="F103" s="23" t="str">
        <x:v>Olav Kooij</x:v>
      </x:c>
      <x:c r="G103" s="23" t="str">
        <x:v>スプリンター / TT・ルーラー型</x:v>
      </x:c>
      <x:c r="H103" s="23" t="str">
        <x:v>本人</x:v>
      </x:c>
      <x:c r="I103" s="23" t="str">
        <x:v>最短加速型：ゴール直前まで車輪を使い、短い加速時間で最高速へ到達する。</x:v>
      </x:c>
      <x:c r="J103" s="23" t="str">
        <x:v>スプリントエース / 最高速 / 加速力 / 自己主張</x:v>
      </x:c>
      <x:c r="K103" s="23" t="str">
        <x:v>二つ名: 低地の若き矢</x:v>
      </x:c>
      <x:c r="L103" s="29" t="n">
        <x:v>1</x:v>
      </x:c>
      <x:c r="M103" s="23" t="str">
        <x:v>Olav Kooij</x:v>
      </x:c>
      <x:c r="N103" s="23" t="str">
        <x:v>採用中</x:v>
      </x:c>
    </x:row>
    <x:row r="104" ht="40" customHeight="1">
      <x:c r="A104" s="23" t="str">
        <x:v>エース固有</x:v>
      </x:c>
      <x:c r="B104" s="23" t="str">
        <x:v>勝負手</x:v>
      </x:c>
      <x:c r="C104" s="26" t="n">
        <x:v>3</x:v>
      </x:c>
      <x:c r="D104" s="23" t="n">
        <x:v>1</x:v>
      </x:c>
      <x:c r="E104" s="23" t="str">
        <x:v>狩人の勝負勘</x:v>
      </x:c>
      <x:c r="F104" s="23" t="str">
        <x:v>Tim Wellens</x:v>
      </x:c>
      <x:c r="G104" s="23" t="str">
        <x:v>パンチャー / クラシック型</x:v>
      </x:c>
      <x:c r="H104" s="23" t="str">
        <x:v>本人</x:v>
      </x:c>
      <x:c r="I104" s="23" t="str">
        <x:v>状況適応型：雨や消耗戦で他選手の反応が遅れた瞬間を捉え、単独で抜け出す。</x:v>
      </x:c>
      <x:c r="J104" s="23" t="str">
        <x:v>丘陵エース / パンチ力 / 加速力 / 自己主張</x:v>
      </x:c>
      <x:c r="K104" s="23" t="str">
        <x:v>二つ名: 雨天の狩人</x:v>
      </x:c>
      <x:c r="L104" s="29" t="n">
        <x:v>1</x:v>
      </x:c>
      <x:c r="M104" s="23" t="str">
        <x:v>Tim Wellens</x:v>
      </x:c>
      <x:c r="N104" s="23" t="str">
        <x:v>採用中</x:v>
      </x:c>
    </x:row>
    <x:row r="105" ht="40" customHeight="1">
      <x:c r="A105" s="23" t="str">
        <x:v>エース固有</x:v>
      </x:c>
      <x:c r="B105" s="23" t="str">
        <x:v>勝負手</x:v>
      </x:c>
      <x:c r="C105" s="26" t="n">
        <x:v>3</x:v>
      </x:c>
      <x:c r="D105" s="23" t="n">
        <x:v>1</x:v>
      </x:c>
      <x:c r="E105" s="23" t="str">
        <x:v>重戦車の粉砕</x:v>
      </x:c>
      <x:c r="F105" s="23" t="str">
        <x:v>John Degenkolb</x:v>
      </x:c>
      <x:c r="G105" s="23" t="str">
        <x:v>クラシック型 / パンチャー</x:v>
      </x:c>
      <x:c r="H105" s="23" t="str">
        <x:v>本人</x:v>
      </x:c>
      <x:c r="I105" s="23" t="str">
        <x:v>石畳粉砕型：重いギアでパヴェを押し切り、振動で速度を失う相手を置き去りにする。</x:v>
      </x:c>
      <x:c r="J105" s="23" t="str">
        <x:v>丘陵エース / バイクコントロール / 闘争心 / パヴェ適性</x:v>
      </x:c>
      <x:c r="K105" s="23" t="str">
        <x:v>二つ名: 石畳の重戦車</x:v>
      </x:c>
      <x:c r="L105" s="29" t="n">
        <x:v>1</x:v>
      </x:c>
      <x:c r="M105" s="23" t="str">
        <x:v>John Degenkolb</x:v>
      </x:c>
      <x:c r="N105" s="23" t="str">
        <x:v>採用中</x:v>
      </x:c>
    </x:row>
    <x:row r="106" ht="40" customHeight="1">
      <x:c r="A106" s="23" t="str">
        <x:v>エース固有</x:v>
      </x:c>
      <x:c r="B106" s="23" t="str">
        <x:v>勝負手</x:v>
      </x:c>
      <x:c r="C106" s="26" t="n">
        <x:v>3</x:v>
      </x:c>
      <x:c r="D106" s="23" t="n">
        <x:v>1</x:v>
      </x:c>
      <x:c r="E106" s="23" t="str">
        <x:v>新星の上昇</x:v>
      </x:c>
      <x:c r="F106" s="23" t="str">
        <x:v>Giulio Pellizzari</x:v>
      </x:c>
      <x:c r="G106" s="23" t="str">
        <x:v>クライマー / 総合型</x:v>
      </x:c>
      <x:c r="H106" s="23" t="str">
        <x:v>本人</x:v>
      </x:c>
      <x:c r="I106" s="23" t="str">
        <x:v>後半上昇型：登坂前半を抑え、後半の急勾配から段階的に順位を上げる。</x:v>
      </x:c>
      <x:c r="J106" s="23" t="str">
        <x:v>山岳エース / 登坂力 / 回復力 / 日別回復</x:v>
      </x:c>
      <x:c r="K106" s="23" t="str">
        <x:v>二つ名: アペニンの新星</x:v>
      </x:c>
      <x:c r="L106" s="29" t="n">
        <x:v>1</x:v>
      </x:c>
      <x:c r="M106" s="23" t="str">
        <x:v>Giulio Pellizzari</x:v>
      </x:c>
      <x:c r="N106" s="23" t="str">
        <x:v>採用中</x:v>
      </x:c>
    </x:row>
    <x:row r="107" ht="40" customHeight="1">
      <x:c r="A107" s="23" t="str">
        <x:v>エース固有</x:v>
      </x:c>
      <x:c r="B107" s="23" t="str">
        <x:v>勝負手</x:v>
      </x:c>
      <x:c r="C107" s="26" t="n">
        <x:v>3</x:v>
      </x:c>
      <x:c r="D107" s="23" t="n">
        <x:v>1</x:v>
      </x:c>
      <x:c r="E107" s="23" t="str">
        <x:v>新星の登攀</x:v>
      </x:c>
      <x:c r="F107" s="23" t="str">
        <x:v>Florian Lipowitz</x:v>
      </x:c>
      <x:c r="G107" s="23" t="str">
        <x:v>総合型 / クライマー</x:v>
      </x:c>
      <x:c r="H107" s="23" t="str">
        <x:v>本人</x:v>
      </x:c>
      <x:c r="I107" s="23" t="str">
        <x:v>漸増登坂型：登りが進むほどペースを上げ、終盤に追走不能な速度へ到達する。</x:v>
      </x:c>
      <x:c r="J107" s="23" t="str">
        <x:v>総合エース / 回復力 / 日別回復 / 登坂力</x:v>
      </x:c>
      <x:c r="K107" s="23" t="str">
        <x:v>二つ名: ドイツの山岳新星</x:v>
      </x:c>
      <x:c r="L107" s="29" t="n">
        <x:v>1</x:v>
      </x:c>
      <x:c r="M107" s="23" t="str">
        <x:v>Florian Lipowitz</x:v>
      </x:c>
      <x:c r="N107" s="23" t="str">
        <x:v>採用中</x:v>
      </x:c>
    </x:row>
    <x:row r="108" ht="40" customHeight="1">
      <x:c r="A108" s="23" t="str">
        <x:v>エース固有</x:v>
      </x:c>
      <x:c r="B108" s="23" t="str">
        <x:v>勝負手</x:v>
      </x:c>
      <x:c r="C108" s="26" t="n">
        <x:v>3</x:v>
      </x:c>
      <x:c r="D108" s="23" t="n">
        <x:v>1</x:v>
      </x:c>
      <x:c r="E108" s="23" t="str">
        <x:v>新星の飛躍</x:v>
      </x:c>
      <x:c r="F108" s="23" t="str">
        <x:v>Paul Seixas</x:v>
      </x:c>
      <x:c r="G108" s="23" t="str">
        <x:v>総合型 / パンチャー</x:v>
      </x:c>
      <x:c r="H108" s="23" t="str">
        <x:v>本人</x:v>
      </x:c>
      <x:c r="I108" s="23" t="str">
        <x:v>成長連鎖型：最初の登坂で先頭に残ると、次の勝負所でもう一段強い加速を使える。</x:v>
      </x:c>
      <x:c r="J108" s="23" t="str">
        <x:v>総合エース / 回復力 / 日別回復 / 自己主張</x:v>
      </x:c>
      <x:c r="K108" s="23" t="str">
        <x:v>二つ名: 三色の新星</x:v>
      </x:c>
      <x:c r="L108" s="29" t="n">
        <x:v>1</x:v>
      </x:c>
      <x:c r="M108" s="23" t="str">
        <x:v>Paul Seixas</x:v>
      </x:c>
      <x:c r="N108" s="23" t="str">
        <x:v>採用中</x:v>
      </x:c>
    </x:row>
    <x:row r="109" ht="40" customHeight="1">
      <x:c r="A109" s="23" t="str">
        <x:v>エース固有</x:v>
      </x:c>
      <x:c r="B109" s="23" t="str">
        <x:v>勝負手</x:v>
      </x:c>
      <x:c r="C109" s="26" t="n">
        <x:v>3</x:v>
      </x:c>
      <x:c r="D109" s="23" t="n">
        <x:v>1</x:v>
      </x:c>
      <x:c r="E109" s="23" t="str">
        <x:v>石畳王の号砲</x:v>
      </x:c>
      <x:c r="F109" s="23" t="str">
        <x:v>Tim Merlier</x:v>
      </x:c>
      <x:c r="G109" s="23" t="str">
        <x:v>スプリンター / クラシック型</x:v>
      </x:c>
      <x:c r="H109" s="23" t="str">
        <x:v>本人</x:v>
      </x:c>
      <x:c r="I109" s="23" t="str">
        <x:v>最終200m型：残り200mで爆発的な最終加速を発動し、最高速をフィニッシュへ直結させる。</x:v>
      </x:c>
      <x:c r="J109" s="23" t="str">
        <x:v>スプリントエース / 最高速 / 加速力 / 最終加速</x:v>
      </x:c>
      <x:c r="K109" s="23" t="str">
        <x:v>二つ名: 石畳の快速王</x:v>
      </x:c>
      <x:c r="L109" s="29" t="n">
        <x:v>1</x:v>
      </x:c>
      <x:c r="M109" s="23" t="str">
        <x:v>Tim Merlier</x:v>
      </x:c>
      <x:c r="N109" s="23" t="str">
        <x:v>採用中</x:v>
      </x:c>
    </x:row>
    <x:row r="110" ht="40" customHeight="1">
      <x:c r="A110" s="23" t="str">
        <x:v>エース固有</x:v>
      </x:c>
      <x:c r="B110" s="23" t="str">
        <x:v>勝負手</x:v>
      </x:c>
      <x:c r="C110" s="26" t="n">
        <x:v>3</x:v>
      </x:c>
      <x:c r="D110" s="23" t="n">
        <x:v>1</x:v>
      </x:c>
      <x:c r="E110" s="23" t="str">
        <x:v>石畳槍の射程</x:v>
      </x:c>
      <x:c r="F110" s="23" t="str">
        <x:v>Jasper Stuyven</x:v>
      </x:c>
      <x:c r="G110" s="23" t="str">
        <x:v>クラシック型 / スプリンター</x:v>
      </x:c>
      <x:c r="H110" s="23" t="str">
        <x:v>本人</x:v>
      </x:c>
      <x:c r="I110" s="23" t="str">
        <x:v>石畳射程型：パヴェ区間の遠い位置から仕掛け、追走がまとまる前に差を作る。</x:v>
      </x:c>
      <x:c r="J110" s="23" t="str">
        <x:v>丘陵エース / パヴェ適性 / 技術力 / バイクコントロール</x:v>
      </x:c>
      <x:c r="K110" s="23" t="str">
        <x:v>二つ名: ルーヴェンの石畳槍</x:v>
      </x:c>
      <x:c r="L110" s="29" t="n">
        <x:v>1</x:v>
      </x:c>
      <x:c r="M110" s="23" t="str">
        <x:v>Jasper Stuyven</x:v>
      </x:c>
      <x:c r="N110" s="23" t="str">
        <x:v>採用中</x:v>
      </x:c>
    </x:row>
    <x:row r="111" ht="40" customHeight="1">
      <x:c r="A111" s="23" t="str">
        <x:v>エース固有</x:v>
      </x:c>
      <x:c r="B111" s="23" t="str">
        <x:v>勝負手</x:v>
      </x:c>
      <x:c r="C111" s="26" t="n">
        <x:v>3</x:v>
      </x:c>
      <x:c r="D111" s="23" t="n">
        <x:v>1</x:v>
      </x:c>
      <x:c r="E111" s="23" t="str">
        <x:v>閃光の残像</x:v>
      </x:c>
      <x:c r="F111" s="23" t="str">
        <x:v>Valentin Madouas</x:v>
      </x:c>
      <x:c r="G111" s="23" t="str">
        <x:v>パンチャー / クラシック型</x:v>
      </x:c>
      <x:c r="H111" s="23" t="str">
        <x:v>本人</x:v>
      </x:c>
      <x:c r="I111" s="23" t="str">
        <x:v>連続丘陵型：一つ目の丘で人数を絞り、次の丘でも速度を落とさず攻撃を続ける。</x:v>
      </x:c>
      <x:c r="J111" s="23" t="str">
        <x:v>丘陵エース / パンチ力 / 加速力 / バイクコントロール</x:v>
      </x:c>
      <x:c r="K111" s="23" t="str">
        <x:v>二つ名: 丘陵の青い閃光</x:v>
      </x:c>
      <x:c r="L111" s="29" t="n">
        <x:v>1</x:v>
      </x:c>
      <x:c r="M111" s="23" t="str">
        <x:v>Valentin Madouas</x:v>
      </x:c>
      <x:c r="N111" s="23" t="str">
        <x:v>採用中</x:v>
      </x:c>
    </x:row>
    <x:row r="112" ht="40" customHeight="1">
      <x:c r="A112" s="23" t="str">
        <x:v>エース固有</x:v>
      </x:c>
      <x:c r="B112" s="23" t="str">
        <x:v>勝負手</x:v>
      </x:c>
      <x:c r="C112" s="26" t="n">
        <x:v>3</x:v>
      </x:c>
      <x:c r="D112" s="23" t="n">
        <x:v>1</x:v>
      </x:c>
      <x:c r="E112" s="23" t="str">
        <x:v>速射砲の連射</x:v>
      </x:c>
      <x:c r="F112" s="23" t="str">
        <x:v>Benoit Cosnefroy</x:v>
      </x:c>
      <x:c r="G112" s="23" t="str">
        <x:v>パンチャー / スプリンター</x:v>
      </x:c>
      <x:c r="H112" s="23" t="str">
        <x:v>本人</x:v>
      </x:c>
      <x:c r="I112" s="23" t="str">
        <x:v>速射型：短い加速を何度も放ち、相手が反応を止めた一回を決定打にする。</x:v>
      </x:c>
      <x:c r="J112" s="23" t="str">
        <x:v>丘陵エース / 加速力 / パンチ力 / 自己主張</x:v>
      </x:c>
      <x:c r="K112" s="23" t="str">
        <x:v>二つ名: ノルマンディーの速射砲</x:v>
      </x:c>
      <x:c r="L112" s="29" t="n">
        <x:v>1</x:v>
      </x:c>
      <x:c r="M112" s="23" t="str">
        <x:v>Benoit Cosnefroy</x:v>
      </x:c>
      <x:c r="N112" s="23" t="str">
        <x:v>採用中</x:v>
      </x:c>
    </x:row>
    <x:row r="113" ht="40" customHeight="1">
      <x:c r="A113" s="23" t="str">
        <x:v>エース固有</x:v>
      </x:c>
      <x:c r="B113" s="23" t="str">
        <x:v>勝負手</x:v>
      </x:c>
      <x:c r="C113" s="26" t="n">
        <x:v>3</x:v>
      </x:c>
      <x:c r="D113" s="23" t="n">
        <x:v>1</x:v>
      </x:c>
      <x:c r="E113" s="23" t="str">
        <x:v>大砲の直線</x:v>
      </x:c>
      <x:c r="F113" s="23" t="str">
        <x:v>Jonathan Milan</x:v>
      </x:c>
      <x:c r="G113" s="23" t="str">
        <x:v>スプリンター / TT・ルーラー型</x:v>
      </x:c>
      <x:c r="H113" s="23" t="str">
        <x:v>本人</x:v>
      </x:c>
      <x:c r="I113" s="23" t="str">
        <x:v>長距離スプリント型：通常より早くスプリントを開始し、高出力を保ったまま押し切る。</x:v>
      </x:c>
      <x:c r="J113" s="23" t="str">
        <x:v>スプリントエース / 最高速 / 加速力 / 自己主張</x:v>
      </x:c>
      <x:c r="K113" s="23" t="str">
        <x:v>二つ名: アドリアの大砲</x:v>
      </x:c>
      <x:c r="L113" s="29" t="n">
        <x:v>1</x:v>
      </x:c>
      <x:c r="M113" s="23" t="str">
        <x:v>Jonathan Milan</x:v>
      </x:c>
      <x:c r="N113" s="23" t="str">
        <x:v>採用中</x:v>
      </x:c>
    </x:row>
    <x:row r="114" ht="40" customHeight="1">
      <x:c r="A114" s="23" t="str">
        <x:v>エース固有</x:v>
      </x:c>
      <x:c r="B114" s="23" t="str">
        <x:v>勝負手</x:v>
      </x:c>
      <x:c r="C114" s="26" t="n">
        <x:v>3</x:v>
      </x:c>
      <x:c r="D114" s="23" t="n">
        <x:v>1</x:v>
      </x:c>
      <x:c r="E114" s="23" t="str">
        <x:v>鷹の飛翔</x:v>
      </x:c>
      <x:c r="F114" s="23" t="str">
        <x:v>Nairo Quintana</x:v>
      </x:c>
      <x:c r="G114" s="23" t="str">
        <x:v>クライマー / パンチャー</x:v>
      </x:c>
      <x:c r="H114" s="23" t="str">
        <x:v>本人</x:v>
      </x:c>
      <x:c r="I114" s="23" t="str">
        <x:v>高地飛翔型：標高が上がるほど登坂ペースを強め、山頂近くで単独先頭へ移る。</x:v>
      </x:c>
      <x:c r="J114" s="23" t="str">
        <x:v>山岳エース / 登坂力 / 回復力 / 日別回復</x:v>
      </x:c>
      <x:c r="K114" s="23" t="str">
        <x:v>二つ名: アンデスの鷹</x:v>
      </x:c>
      <x:c r="L114" s="29" t="n">
        <x:v>1</x:v>
      </x:c>
      <x:c r="M114" s="23" t="str">
        <x:v>Nairo Quintana</x:v>
      </x:c>
      <x:c r="N114" s="23" t="str">
        <x:v>採用中</x:v>
      </x:c>
    </x:row>
    <x:row r="115" ht="40" customHeight="1">
      <x:c r="A115" s="23" t="str">
        <x:v>エース固有</x:v>
      </x:c>
      <x:c r="B115" s="23" t="str">
        <x:v>勝負手</x:v>
      </x:c>
      <x:c r="C115" s="26" t="n">
        <x:v>3</x:v>
      </x:c>
      <x:c r="D115" s="23" t="n">
        <x:v>1</x:v>
      </x:c>
      <x:c r="E115" s="23" t="str">
        <x:v>弾丸の独走</x:v>
      </x:c>
      <x:c r="F115" s="23" t="str">
        <x:v>Remco Evenepoel</x:v>
      </x:c>
      <x:c r="G115" s="23" t="str">
        <x:v>総合型 / TT・ルーラー型</x:v>
      </x:c>
      <x:c r="H115" s="23" t="str">
        <x:v>本人</x:v>
      </x:c>
      <x:c r="I115" s="23" t="str">
        <x:v>独走型：平坦または緩斜面で単独走へ移行し、追走が整う前に差を固定する。</x:v>
      </x:c>
      <x:c r="J115" s="23" t="str">
        <x:v>総合エース / 巡航力 / スタミナ / 耐久力</x:v>
      </x:c>
      <x:c r="K115" s="23" t="str">
        <x:v>二つ名: 弾丸の天才</x:v>
      </x:c>
      <x:c r="L115" s="29" t="n">
        <x:v>1</x:v>
      </x:c>
      <x:c r="M115" s="23" t="str">
        <x:v>Remco Evenepoel</x:v>
      </x:c>
      <x:c r="N115" s="23" t="str">
        <x:v>採用中</x:v>
      </x:c>
    </x:row>
    <x:row r="116" ht="40" customHeight="1">
      <x:c r="A116" s="23" t="str">
        <x:v>エース固有</x:v>
      </x:c>
      <x:c r="B116" s="23" t="str">
        <x:v>勝負手</x:v>
      </x:c>
      <x:c r="C116" s="26" t="n">
        <x:v>3</x:v>
      </x:c>
      <x:c r="D116" s="23" t="n">
        <x:v>1</x:v>
      </x:c>
      <x:c r="E116" s="23" t="str">
        <x:v>跳躍者の逆転</x:v>
      </x:c>
      <x:c r="F116" s="23" t="str">
        <x:v>Primoz Roglic</x:v>
      </x:c>
      <x:c r="G116" s="23" t="str">
        <x:v>総合型 / パンチャー</x:v>
      </x:c>
      <x:c r="H116" s="23" t="str">
        <x:v>本人</x:v>
      </x:c>
      <x:c r="I116" s="23" t="str">
        <x:v>逆転型：終盤まで脚を温存し、先行勢が鈍った瞬間に一気に差を取り返す。</x:v>
      </x:c>
      <x:c r="J116" s="23" t="str">
        <x:v>総合エース / スタミナ / 回復力 / 日別回復</x:v>
      </x:c>
      <x:c r="K116" s="23" t="str">
        <x:v>二つ名: 不屈の跳躍者</x:v>
      </x:c>
      <x:c r="L116" s="29" t="n">
        <x:v>1</x:v>
      </x:c>
      <x:c r="M116" s="23" t="str">
        <x:v>Primoz Roglic</x:v>
      </x:c>
      <x:c r="N116" s="23" t="str">
        <x:v>採用中</x:v>
      </x:c>
    </x:row>
    <x:row r="117" ht="40" customHeight="1">
      <x:c r="A117" s="23" t="str">
        <x:v>エース固有</x:v>
      </x:c>
      <x:c r="B117" s="23" t="str">
        <x:v>勝負手</x:v>
      </x:c>
      <x:c r="C117" s="26" t="n">
        <x:v>3</x:v>
      </x:c>
      <x:c r="D117" s="23" t="n">
        <x:v>1</x:v>
      </x:c>
      <x:c r="E117" s="23" t="str">
        <x:v>哲学者の選択</x:v>
      </x:c>
      <x:c r="F117" s="23" t="str">
        <x:v>Guillaume Martin</x:v>
      </x:c>
      <x:c r="G117" s="23" t="str">
        <x:v>クライマー / 総合型</x:v>
      </x:c>
      <x:c r="H117" s="23" t="str">
        <x:v>本人</x:v>
      </x:c>
      <x:c r="I117" s="23" t="str">
        <x:v>自律ペース型：他者のアタックには反応せず、自分の登坂速度を最後まで維持する。</x:v>
      </x:c>
      <x:c r="J117" s="23" t="str">
        <x:v>山岳エース / 登坂力 / 回復力 / 日別回復</x:v>
      </x:c>
      <x:c r="K117" s="23" t="str">
        <x:v>二つ名: 哲学する山岳者</x:v>
      </x:c>
      <x:c r="L117" s="29" t="n">
        <x:v>1</x:v>
      </x:c>
      <x:c r="M117" s="23" t="str">
        <x:v>Guillaume Martin</x:v>
      </x:c>
      <x:c r="N117" s="23" t="str">
        <x:v>採用中</x:v>
      </x:c>
    </x:row>
    <x:row r="118" ht="40" customHeight="1">
      <x:c r="A118" s="23" t="str">
        <x:v>エース固有</x:v>
      </x:c>
      <x:c r="B118" s="23" t="str">
        <x:v>勝負手</x:v>
      </x:c>
      <x:c r="C118" s="26" t="n">
        <x:v>3</x:v>
      </x:c>
      <x:c r="D118" s="23" t="n">
        <x:v>1</x:v>
      </x:c>
      <x:c r="E118" s="23" t="str">
        <x:v>登坂者の耐久戦</x:v>
      </x:c>
      <x:c r="F118" s="23" t="str">
        <x:v>Felix Gall</x:v>
      </x:c>
      <x:c r="G118" s="23" t="str">
        <x:v>クライマー / 総合型</x:v>
      </x:c>
      <x:c r="H118" s="23" t="str">
        <x:v>本人</x:v>
      </x:c>
      <x:c r="I118" s="23" t="str">
        <x:v>消耗登坂型：一定の高い登坂出力を維持し、回復できない相手から順に脱落させる。</x:v>
      </x:c>
      <x:c r="J118" s="23" t="str">
        <x:v>山岳エース / 登坂力 / 回復力 / 日別回復</x:v>
      </x:c>
      <x:c r="K118" s="23" t="str">
        <x:v>二つ名: アルプスの登坂者</x:v>
      </x:c>
      <x:c r="L118" s="29" t="n">
        <x:v>1</x:v>
      </x:c>
      <x:c r="M118" s="23" t="str">
        <x:v>Felix Gall</x:v>
      </x:c>
      <x:c r="N118" s="23" t="str">
        <x:v>採用中</x:v>
      </x:c>
    </x:row>
    <x:row r="119" ht="40" customHeight="1">
      <x:c r="A119" s="23" t="str">
        <x:v>エース固有</x:v>
      </x:c>
      <x:c r="B119" s="23" t="str">
        <x:v>勝負手</x:v>
      </x:c>
      <x:c r="C119" s="26" t="n">
        <x:v>3</x:v>
      </x:c>
      <x:c r="D119" s="23" t="n">
        <x:v>1</x:v>
      </x:c>
      <x:c r="E119" s="23" t="str">
        <x:v>闘犬の追走</x:v>
      </x:c>
      <x:c r="F119" s="23" t="str">
        <x:v>Tiesj Benoot</x:v>
      </x:c>
      <x:c r="G119" s="23" t="str">
        <x:v>クラシック型 / パンチャー</x:v>
      </x:c>
      <x:c r="H119" s="23" t="str">
        <x:v>本人</x:v>
      </x:c>
      <x:c r="I119" s="23" t="str">
        <x:v>追走反撃型：先行者との差を悪路で縮め、合流直後の再アタックで主導権を奪う。</x:v>
      </x:c>
      <x:c r="J119" s="23" t="str">
        <x:v>丘陵エース / 闘争心 / バイクコントロール / 技術力</x:v>
      </x:c>
      <x:c r="K119" s="23" t="str">
        <x:v>二つ名: 石畳の闘犬</x:v>
      </x:c>
      <x:c r="L119" s="29" t="n">
        <x:v>1</x:v>
      </x:c>
      <x:c r="M119" s="23" t="str">
        <x:v>Tiesj Benoot</x:v>
      </x:c>
      <x:c r="N119" s="23" t="str">
        <x:v>採用中</x:v>
      </x:c>
    </x:row>
    <x:row r="120" ht="40" customHeight="1">
      <x:c r="A120" s="23" t="str">
        <x:v>エース固有</x:v>
      </x:c>
      <x:c r="B120" s="23" t="str">
        <x:v>勝負手</x:v>
      </x:c>
      <x:c r="C120" s="26" t="n">
        <x:v>3</x:v>
      </x:c>
      <x:c r="D120" s="23" t="n">
        <x:v>1</x:v>
      </x:c>
      <x:c r="E120" s="23" t="str">
        <x:v>突風の直線</x:v>
      </x:c>
      <x:c r="F120" s="23" t="str">
        <x:v>Jordi Meeus</x:v>
      </x:c>
      <x:c r="G120" s="23" t="str">
        <x:v>スプリンター / クラシック型</x:v>
      </x:c>
      <x:c r="H120" s="23" t="str">
        <x:v>本人</x:v>
      </x:c>
      <x:c r="I120" s="23" t="str">
        <x:v>直線一気型：最後の直線へ入るまで脚を隠し、進路が開いた瞬間だけ全開にする。</x:v>
      </x:c>
      <x:c r="J120" s="23" t="str">
        <x:v>スプリントエース / 最高速 / 加速力 / 自己主張</x:v>
      </x:c>
      <x:c r="K120" s="23" t="str">
        <x:v>二つ名: 低地の突風</x:v>
      </x:c>
      <x:c r="L120" s="29" t="n">
        <x:v>1</x:v>
      </x:c>
      <x:c r="M120" s="23" t="str">
        <x:v>Jordi Meeus</x:v>
      </x:c>
      <x:c r="N120" s="23" t="str">
        <x:v>採用中</x:v>
      </x:c>
    </x:row>
    <x:row r="121" ht="40" customHeight="1">
      <x:c r="A121" s="23" t="str">
        <x:v>エース固有</x:v>
      </x:c>
      <x:c r="B121" s="23" t="str">
        <x:v>勝負手</x:v>
      </x:c>
      <x:c r="C121" s="26" t="n">
        <x:v>3</x:v>
      </x:c>
      <x:c r="D121" s="23" t="n">
        <x:v>1</x:v>
      </x:c>
      <x:c r="E121" s="23" t="str">
        <x:v>暴君の射程</x:v>
      </x:c>
      <x:c r="F121" s="23" t="str">
        <x:v>Mathieu van der Poel</x:v>
      </x:c>
      <x:c r="G121" s="23" t="str">
        <x:v>クラシック型 / パンチャー</x:v>
      </x:c>
      <x:c r="H121" s="23" t="str">
        <x:v>本人</x:v>
      </x:c>
      <x:c r="I121" s="23" t="str">
        <x:v>ロングアタック型：悪路や丘陵の遠い位置から加速し、単独先頭のまま押し切りを狙う。</x:v>
      </x:c>
      <x:c r="J121" s="23" t="str">
        <x:v>丘陵エース / 耐久力 / 技術力 / バイクコントロール</x:v>
      </x:c>
      <x:c r="K121" s="23" t="str">
        <x:v>二つ名: 虹色の暴君</x:v>
      </x:c>
      <x:c r="L121" s="29" t="n">
        <x:v>1</x:v>
      </x:c>
      <x:c r="M121" s="23" t="str">
        <x:v>Mathieu van der Poel</x:v>
      </x:c>
      <x:c r="N121" s="23" t="str">
        <x:v>採用中</x:v>
      </x:c>
    </x:row>
    <x:row r="122" ht="40" customHeight="1">
      <x:c r="A122" s="23" t="str">
        <x:v>エース固有</x:v>
      </x:c>
      <x:c r="B122" s="23" t="str">
        <x:v>勝負手</x:v>
      </x:c>
      <x:c r="C122" s="26" t="n">
        <x:v>3</x:v>
      </x:c>
      <x:c r="D122" s="23" t="n">
        <x:v>1</x:v>
      </x:c>
      <x:c r="E122" s="23" t="str">
        <x:v>暴風の登坂スプリント</x:v>
      </x:c>
      <x:c r="F122" s="23" t="str">
        <x:v>Mads Pedersen</x:v>
      </x:c>
      <x:c r="G122" s="23" t="str">
        <x:v>スプリンター / パンチャー</x:v>
      </x:c>
      <x:c r="H122" s="23" t="str">
        <x:v>本人</x:v>
      </x:c>
      <x:c r="I122" s="23" t="str">
        <x:v>登れるスプリンター型：登りを先頭集団で耐え、フィニッシュで残した脚を使ってスプリントする。</x:v>
      </x:c>
      <x:c r="J122" s="23" t="str">
        <x:v>登れるスプリンター / 最高速 / パンチ力 / 登坂力 / 耐久力</x:v>
      </x:c>
      <x:c r="K122" s="23" t="str">
        <x:v>二つ名: 北欧の暴風</x:v>
      </x:c>
      <x:c r="L122" s="29" t="n">
        <x:v>2</x:v>
      </x:c>
      <x:c r="M122" s="23" t="str">
        <x:v>Mads Pedersen / Mads Pedersen</x:v>
      </x:c>
      <x:c r="N122" s="23" t="str">
        <x:v>採用中</x:v>
      </x:c>
    </x:row>
    <x:row r="123" ht="40" customHeight="1">
      <x:c r="A123" s="23" t="str">
        <x:v>エース固有</x:v>
      </x:c>
      <x:c r="B123" s="23" t="str">
        <x:v>勝負手</x:v>
      </x:c>
      <x:c r="C123" s="26" t="n">
        <x:v>3</x:v>
      </x:c>
      <x:c r="D123" s="23" t="n">
        <x:v>1</x:v>
      </x:c>
      <x:c r="E123" s="23" t="str">
        <x:v>猛牛の突進</x:v>
      </x:c>
      <x:c r="F123" s="23" t="str">
        <x:v>Arnaud De Lie</x:v>
      </x:c>
      <x:c r="G123" s="23" t="str">
        <x:v>パンチャー / スプリンター</x:v>
      </x:c>
      <x:c r="H123" s="23" t="str">
        <x:v>本人</x:v>
      </x:c>
      <x:c r="I123" s="23" t="str">
        <x:v>パワースプリント型：丘陵後の重い脚でも速度を落とさず、力勝負の加速へ持ち込む。</x:v>
      </x:c>
      <x:c r="J123" s="23" t="str">
        <x:v>丘陵エース / 加速力 / パンチ力 / 自己主張</x:v>
      </x:c>
      <x:c r="K123" s="23" t="str">
        <x:v>二つ名: ワロンの猛牛</x:v>
      </x:c>
      <x:c r="L123" s="29" t="n">
        <x:v>1</x:v>
      </x:c>
      <x:c r="M123" s="23" t="str">
        <x:v>Arnaud De Lie</x:v>
      </x:c>
      <x:c r="N123" s="23" t="str">
        <x:v>採用中</x:v>
      </x:c>
    </x:row>
    <x:row r="124" ht="40" customHeight="1">
      <x:c r="A124" s="23" t="str">
        <x:v>エース固有</x:v>
      </x:c>
      <x:c r="B124" s="23" t="str">
        <x:v>勝負手</x:v>
      </x:c>
      <x:c r="C124" s="26" t="n">
        <x:v>3</x:v>
      </x:c>
      <x:c r="D124" s="23" t="n">
        <x:v>1</x:v>
      </x:c>
      <x:c r="E124" s="23" t="str">
        <x:v>野心家の主導権</x:v>
      </x:c>
      <x:c r="F124" s="23" t="str">
        <x:v>Juan Ayuso</x:v>
      </x:c>
      <x:c r="G124" s="23" t="str">
        <x:v>総合型 / パンチャー</x:v>
      </x:c>
      <x:c r="H124" s="23" t="str">
        <x:v>本人</x:v>
      </x:c>
      <x:c r="I124" s="23" t="str">
        <x:v>主導権型：ライバルより先にペースを上げ、相手に反応を強制して展開を支配する。</x:v>
      </x:c>
      <x:c r="J124" s="23" t="str">
        <x:v>総合エース / 回復力 / 日別回復 / 自己主張</x:v>
      </x:c>
      <x:c r="K124" s="23" t="str">
        <x:v>二つ名: イベリアの野心家</x:v>
      </x:c>
      <x:c r="L124" s="29" t="n">
        <x:v>1</x:v>
      </x:c>
      <x:c r="M124" s="23" t="str">
        <x:v>Juan Ayuso</x:v>
      </x:c>
      <x:c r="N124" s="23" t="str">
        <x:v>採用中</x:v>
      </x:c>
    </x:row>
    <x:row r="125" ht="40" customHeight="1">
      <x:c r="A125" s="23" t="str">
        <x:v>エース固有</x:v>
      </x:c>
      <x:c r="B125" s="23" t="str">
        <x:v>勝負手</x:v>
      </x:c>
      <x:c r="C125" s="26" t="n">
        <x:v>3</x:v>
      </x:c>
      <x:c r="D125" s="23" t="n">
        <x:v>1</x:v>
      </x:c>
      <x:c r="E125" s="23" t="str">
        <x:v>踊り子の一撃</x:v>
      </x:c>
      <x:c r="F125" s="23" t="str">
        <x:v>Julian Alaphilippe</x:v>
      </x:c>
      <x:c r="G125" s="23" t="str">
        <x:v>パンチャー / クライマー</x:v>
      </x:c>
      <x:c r="H125" s="23" t="str">
        <x:v>本人</x:v>
      </x:c>
      <x:c r="I125" s="23" t="str">
        <x:v>短坂急襲型：急勾配の入口で先手を取り、頂上までの短時間に勝負を決める。</x:v>
      </x:c>
      <x:c r="J125" s="23" t="str">
        <x:v>丘陵エース / パンチ力 / 自己主張 / 闘争心</x:v>
      </x:c>
      <x:c r="K125" s="23" t="str">
        <x:v>二つ名: 虹色の踊り子</x:v>
      </x:c>
      <x:c r="L125" s="29" t="n">
        <x:v>1</x:v>
      </x:c>
      <x:c r="M125" s="23" t="str">
        <x:v>Julian Alaphilippe</x:v>
      </x:c>
      <x:c r="N125" s="23" t="str">
        <x:v>採用中</x:v>
      </x:c>
    </x:row>
    <x:row r="126" ht="40" customHeight="1">
      <x:c r="A126" s="23" t="str">
        <x:v>高適性アシスト固有</x:v>
      </x:c>
      <x:c r="B126" s="23" t="str">
        <x:v>勝負手</x:v>
      </x:c>
      <x:c r="C126" s="26" t="n">
        <x:v>3</x:v>
      </x:c>
      <x:c r="D126" s="23" t="n">
        <x:v>1</x:v>
      </x:c>
      <x:c r="E126" s="23" t="str">
        <x:v>クラシック牽引</x:v>
      </x:c>
      <x:c r="F126" s="23" t="str">
        <x:v>Florian Sénéchal</x:v>
      </x:c>
      <x:c r="G126" s="23" t="str">
        <x:v>役割依存</x:v>
      </x:c>
      <x:c r="H126" s="23" t="str">
        <x:v>味方エース</x:v>
      </x:c>
      <x:c r="I126" s="23" t="str">
        <x:v>終盤の悪路を全開で引き、味方エースへ攻撃機会を作る。</x:v>
      </x:c>
      <x:c r="J126" s="23" t="str">
        <x:v>平坦アシスト / 平坦ペースメーカー / TT牽引 / 連携力 / 技術力 / バイクコントロール</x:v>
      </x:c>
      <x:c r="K126" s="23" t="str">
        <x:v>アシスト適性 81</x:v>
      </x:c>
      <x:c r="L126" s="29" t="n">
        <x:v>1</x:v>
      </x:c>
      <x:c r="M126" s="23" t="str">
        <x:v>Florian Sénéchal</x:v>
      </x:c>
      <x:c r="N126" s="23" t="str">
        <x:v>採用中</x:v>
      </x:c>
    </x:row>
    <x:row r="127" ht="40" customHeight="1">
      <x:c r="A127" s="23" t="str">
        <x:v>高適性アシスト固有</x:v>
      </x:c>
      <x:c r="B127" s="23" t="str">
        <x:v>勝負手</x:v>
      </x:c>
      <x:c r="C127" s="26" t="n">
        <x:v>3</x:v>
      </x:c>
      <x:c r="D127" s="23" t="n">
        <x:v>1</x:v>
      </x:c>
      <x:c r="E127" s="23" t="str">
        <x:v>クロノ王の隊列再編</x:v>
      </x:c>
      <x:c r="F127" s="23" t="str">
        <x:v>Tobias Foss</x:v>
      </x:c>
      <x:c r="G127" s="23" t="str">
        <x:v>役割依存</x:v>
      </x:c>
      <x:c r="H127" s="23" t="str">
        <x:v>味方エース</x:v>
      </x:c>
      <x:c r="I127" s="23" t="str">
        <x:v>崩れた隊列を立て直し、味方全員を勝負位置へ戻す。</x:v>
      </x:c>
      <x:c r="J127" s="23" t="str">
        <x:v>ロードキャプテン / TTスペシャリスト / 平坦アシスト / 巡航力 / 連携力 / 技術力</x:v>
      </x:c>
      <x:c r="K127" s="23" t="str">
        <x:v>アシスト適性 80</x:v>
      </x:c>
      <x:c r="L127" s="29" t="n">
        <x:v>1</x:v>
      </x:c>
      <x:c r="M127" s="23" t="str">
        <x:v>Tobias Foss</x:v>
      </x:c>
      <x:c r="N127" s="23" t="str">
        <x:v>採用中</x:v>
      </x:c>
    </x:row>
    <x:row r="128" ht="40" customHeight="1">
      <x:c r="A128" s="23" t="str">
        <x:v>高適性アシスト固有</x:v>
      </x:c>
      <x:c r="B128" s="23" t="str">
        <x:v>勝負手</x:v>
      </x:c>
      <x:c r="C128" s="26" t="n">
        <x:v>3</x:v>
      </x:c>
      <x:c r="D128" s="23" t="n">
        <x:v>1</x:v>
      </x:c>
      <x:c r="E128" s="23" t="str">
        <x:v>横風エンジン</x:v>
      </x:c>
      <x:c r="F128" s="23" t="str">
        <x:v>Stefan Bissegger</x:v>
      </x:c>
      <x:c r="G128" s="23" t="str">
        <x:v>役割依存</x:v>
      </x:c>
      <x:c r="H128" s="23" t="str">
        <x:v>味方エース</x:v>
      </x:c>
      <x:c r="I128" s="23" t="str">
        <x:v>横風区間で全開牽引し、味方を前方集団へ残したまま集団を分断する。</x:v>
      </x:c>
      <x:c r="J128" s="23" t="str">
        <x:v>サブエース / スーパー・ドメスティーク / TTスペシャリスト / 巡航力 / 連携力 / 技術力</x:v>
      </x:c>
      <x:c r="K128" s="23" t="str">
        <x:v>アシスト適性 80</x:v>
      </x:c>
      <x:c r="L128" s="29" t="n">
        <x:v>1</x:v>
      </x:c>
      <x:c r="M128" s="23" t="str">
        <x:v>Stefan Bissegger</x:v>
      </x:c>
      <x:c r="N128" s="23" t="str">
        <x:v>採用中</x:v>
      </x:c>
    </x:row>
    <x:row r="129" ht="40" customHeight="1">
      <x:c r="A129" s="23" t="str">
        <x:v>高適性アシスト固有</x:v>
      </x:c>
      <x:c r="B129" s="23" t="str">
        <x:v>勝負手</x:v>
      </x:c>
      <x:c r="C129" s="26" t="n">
        <x:v>3</x:v>
      </x:c>
      <x:c r="D129" s="23" t="n">
        <x:v>1</x:v>
      </x:c>
      <x:c r="E129" s="23" t="str">
        <x:v>高速再編</x:v>
      </x:c>
      <x:c r="F129" s="23" t="str">
        <x:v>Edoardo Affini</x:v>
      </x:c>
      <x:c r="G129" s="23" t="str">
        <x:v>役割依存</x:v>
      </x:c>
      <x:c r="H129" s="23" t="str">
        <x:v>味方エース</x:v>
      </x:c>
      <x:c r="I129" s="23" t="str">
        <x:v>散らばった味方を集め直し、高速隊列を即座に再構築する。</x:v>
      </x:c>
      <x:c r="J129" s="23" t="str">
        <x:v>ロードキャプテン / TTスペシャリスト / 平坦アシスト / 連携力 / 巡航力 / 技術力</x:v>
      </x:c>
      <x:c r="K129" s="23" t="str">
        <x:v>アシスト適性 80</x:v>
      </x:c>
      <x:c r="L129" s="29" t="n">
        <x:v>1</x:v>
      </x:c>
      <x:c r="M129" s="23" t="str">
        <x:v>Edoardo Affini</x:v>
      </x:c>
      <x:c r="N129" s="23" t="str">
        <x:v>採用中</x:v>
      </x:c>
    </x:row>
    <x:row r="130" ht="40" customHeight="1">
      <x:c r="A130" s="23" t="str">
        <x:v>高適性アシスト固有</x:v>
      </x:c>
      <x:c r="B130" s="23" t="str">
        <x:v>勝負手</x:v>
      </x:c>
      <x:c r="C130" s="26" t="n">
        <x:v>3</x:v>
      </x:c>
      <x:c r="D130" s="23" t="n">
        <x:v>1</x:v>
      </x:c>
      <x:c r="E130" s="23" t="str">
        <x:v>高速追走</x:v>
      </x:c>
      <x:c r="F130" s="23" t="str">
        <x:v>Ben Turner</x:v>
      </x:c>
      <x:c r="G130" s="23" t="str">
        <x:v>役割依存</x:v>
      </x:c>
      <x:c r="H130" s="23" t="str">
        <x:v>味方エース</x:v>
      </x:c>
      <x:c r="I130" s="23" t="str">
        <x:v>終盤に全開牽引し、逃げ集団を勝負圏内まで引き戻す。</x:v>
      </x:c>
      <x:c r="J130" s="23" t="str">
        <x:v>TTスペシャリスト / 平坦アシスト / 集団コントローラー / 巡航力 / 連携力 / スタミナ</x:v>
      </x:c>
      <x:c r="K130" s="23" t="str">
        <x:v>アシスト適性 80</x:v>
      </x:c>
      <x:c r="L130" s="29" t="n">
        <x:v>1</x:v>
      </x:c>
      <x:c r="M130" s="23" t="str">
        <x:v>Ben Turner</x:v>
      </x:c>
      <x:c r="N130" s="23" t="str">
        <x:v>採用中</x:v>
      </x:c>
    </x:row>
    <x:row r="131" ht="40" customHeight="1">
      <x:c r="A131" s="23" t="str">
        <x:v>高適性アシスト固有</x:v>
      </x:c>
      <x:c r="B131" s="23" t="str">
        <x:v>勝負手</x:v>
      </x:c>
      <x:c r="C131" s="26" t="n">
        <x:v>3</x:v>
      </x:c>
      <x:c r="D131" s="23" t="n">
        <x:v>1</x:v>
      </x:c>
      <x:c r="E131" s="23" t="str">
        <x:v>高速発射</x:v>
      </x:c>
      <x:c r="F131" s="23" t="str">
        <x:v>Ethan Hayter</x:v>
      </x:c>
      <x:c r="G131" s="23" t="str">
        <x:v>役割依存</x:v>
      </x:c>
      <x:c r="H131" s="23" t="str">
        <x:v>味方エース</x:v>
      </x:c>
      <x:c r="I131" s="23" t="str">
        <x:v>高速巡航から一段加速し、味方エースをスプリント位置へ送り出す。</x:v>
      </x:c>
      <x:c r="J131" s="23" t="str">
        <x:v>TTスペシャリスト / 平坦アシスト / 平坦ペースメーカー / 連携力 / 巡航力 / 技術力</x:v>
      </x:c>
      <x:c r="K131" s="23" t="str">
        <x:v>アシスト適性 80</x:v>
      </x:c>
      <x:c r="L131" s="29" t="n">
        <x:v>1</x:v>
      </x:c>
      <x:c r="M131" s="23" t="str">
        <x:v>Ethan Hayter</x:v>
      </x:c>
      <x:c r="N131" s="23" t="str">
        <x:v>採用中</x:v>
      </x:c>
    </x:row>
    <x:row r="132" ht="40" customHeight="1">
      <x:c r="A132" s="23" t="str">
        <x:v>高適性アシスト固有</x:v>
      </x:c>
      <x:c r="B132" s="23" t="str">
        <x:v>勝負手</x:v>
      </x:c>
      <x:c r="C132" s="26" t="n">
        <x:v>3</x:v>
      </x:c>
      <x:c r="D132" s="23" t="n">
        <x:v>1</x:v>
      </x:c>
      <x:c r="E132" s="23" t="str">
        <x:v>山岳献身</x:v>
      </x:c>
      <x:c r="F132" s="23" t="str">
        <x:v>Sepp Kuss</x:v>
      </x:c>
      <x:c r="G132" s="23" t="str">
        <x:v>役割依存</x:v>
      </x:c>
      <x:c r="H132" s="23" t="str">
        <x:v>味方エース</x:v>
      </x:c>
      <x:c r="I132" s="23" t="str">
        <x:v>自分の残り体力を使い切り、味方エースの山岳攻撃を最大限に強化する。</x:v>
      </x:c>
      <x:c r="J132" s="23" t="str">
        <x:v>サブエース / スーパー・ドメスティーク / 山岳アシスト / 連携力 / 回復力 / 日別回復</x:v>
      </x:c>
      <x:c r="K132" s="23" t="str">
        <x:v>アシスト適性 80</x:v>
      </x:c>
      <x:c r="L132" s="29" t="n">
        <x:v>1</x:v>
      </x:c>
      <x:c r="M132" s="23" t="str">
        <x:v>Sepp Kuss</x:v>
      </x:c>
      <x:c r="N132" s="23" t="str">
        <x:v>採用中</x:v>
      </x:c>
    </x:row>
    <x:row r="133" ht="40" customHeight="1">
      <x:c r="A133" s="23" t="str">
        <x:v>高適性アシスト固有</x:v>
      </x:c>
      <x:c r="B133" s="23" t="str">
        <x:v>勝負手</x:v>
      </x:c>
      <x:c r="C133" s="26" t="n">
        <x:v>3</x:v>
      </x:c>
      <x:c r="D133" s="23" t="n">
        <x:v>1</x:v>
      </x:c>
      <x:c r="E133" s="23" t="str">
        <x:v>集団復帰牽引</x:v>
      </x:c>
      <x:c r="F133" s="23" t="str">
        <x:v>Amaury Capiot</x:v>
      </x:c>
      <x:c r="G133" s="23" t="str">
        <x:v>役割依存</x:v>
      </x:c>
      <x:c r="H133" s="23" t="str">
        <x:v>味方エース</x:v>
      </x:c>
      <x:c r="I133" s="23" t="str">
        <x:v>遅れた味方エースを全力でメイングループへ復帰させる。</x:v>
      </x:c>
      <x:c r="J133" s="23" t="str">
        <x:v>山岳賞ハンター / 平坦アシスト / TT牽引 / 技術力 / 連携力 / 闘争心</x:v>
      </x:c>
      <x:c r="K133" s="23" t="str">
        <x:v>アシスト適性 80</x:v>
      </x:c>
      <x:c r="L133" s="29" t="n">
        <x:v>1</x:v>
      </x:c>
      <x:c r="M133" s="23" t="str">
        <x:v>Amaury Capiot</x:v>
      </x:c>
      <x:c r="N133" s="23" t="str">
        <x:v>採用中</x:v>
      </x:c>
    </x:row>
    <x:row r="134" ht="40" customHeight="1">
      <x:c r="A134" s="23" t="str">
        <x:v>高適性アシスト固有</x:v>
      </x:c>
      <x:c r="B134" s="23" t="str">
        <x:v>勝負手</x:v>
      </x:c>
      <x:c r="C134" s="26" t="n">
        <x:v>3</x:v>
      </x:c>
      <x:c r="D134" s="23" t="n">
        <x:v>1</x:v>
      </x:c>
      <x:c r="E134" s="23" t="str">
        <x:v>石畳の追撃</x:v>
      </x:c>
      <x:c r="F134" s="23" t="str">
        <x:v>Dylan van Baarle</x:v>
      </x:c>
      <x:c r="G134" s="23" t="str">
        <x:v>役割依存</x:v>
      </x:c>
      <x:c r="H134" s="23" t="str">
        <x:v>味方エース</x:v>
      </x:c>
      <x:c r="I134" s="23" t="str">
        <x:v>石畳区間を全開で追走し、味方エースを先頭グループへ運ぶ。</x:v>
      </x:c>
      <x:c r="J134" s="23" t="str">
        <x:v>平坦アシスト / TT牽引 / ブレイクアウェイキラー / 巡航力 / 連携力 / パヴェ適性</x:v>
      </x:c>
      <x:c r="K134" s="23" t="str">
        <x:v>アシスト適性 80</x:v>
      </x:c>
      <x:c r="L134" s="29" t="n">
        <x:v>1</x:v>
      </x:c>
      <x:c r="M134" s="23" t="str">
        <x:v>Dylan van Baarle</x:v>
      </x:c>
      <x:c r="N134" s="23" t="str">
        <x:v>採用中</x:v>
      </x:c>
    </x:row>
    <x:row r="135" ht="40" customHeight="1">
      <x:c r="A135" s="23" t="str">
        <x:v>高適性アシスト固有</x:v>
      </x:c>
      <x:c r="B135" s="23" t="str">
        <x:v>勝負手</x:v>
      </x:c>
      <x:c r="C135" s="26" t="n">
        <x:v>3</x:v>
      </x:c>
      <x:c r="D135" s="23" t="n">
        <x:v>1</x:v>
      </x:c>
      <x:c r="E135" s="23" t="str">
        <x:v>全開ブリッジ</x:v>
      </x:c>
      <x:c r="F135" s="23" t="str">
        <x:v>Victor Campenaerts</x:v>
      </x:c>
      <x:c r="G135" s="23" t="str">
        <x:v>役割依存</x:v>
      </x:c>
      <x:c r="H135" s="23" t="str">
        <x:v>味方エース</x:v>
      </x:c>
      <x:c r="I135" s="23" t="str">
        <x:v>自分の体力を使い切る高速走で、味方エースを前方集団へ合流させる。</x:v>
      </x:c>
      <x:c r="J135" s="23" t="str">
        <x:v>サブエース / スーパー・ドメスティーク / TTスペシャリスト / 巡航力 / 連携力 / 技術力</x:v>
      </x:c>
      <x:c r="K135" s="23" t="str">
        <x:v>アシスト適性 80</x:v>
      </x:c>
      <x:c r="L135" s="29" t="n">
        <x:v>1</x:v>
      </x:c>
      <x:c r="M135" s="23" t="str">
        <x:v>Victor Campenaerts</x:v>
      </x:c>
      <x:c r="N135" s="23" t="str">
        <x:v>採用中</x:v>
      </x:c>
    </x:row>
    <x:row r="136" ht="40" customHeight="1">
      <x:c r="A136" s="23" t="str">
        <x:v>高適性アシスト固有</x:v>
      </x:c>
      <x:c r="B136" s="23" t="str">
        <x:v>勝負手</x:v>
      </x:c>
      <x:c r="C136" s="26" t="n">
        <x:v>3</x:v>
      </x:c>
      <x:c r="D136" s="23" t="n">
        <x:v>1</x:v>
      </x:c>
      <x:c r="E136" s="23" t="str">
        <x:v>長距離追走</x:v>
      </x:c>
      <x:c r="F136" s="23" t="str">
        <x:v>Johan Price-Pejtersen</x:v>
      </x:c>
      <x:c r="G136" s="23" t="str">
        <x:v>役割依存</x:v>
      </x:c>
      <x:c r="H136" s="23" t="str">
        <x:v>味方エース</x:v>
      </x:c>
      <x:c r="I136" s="23" t="str">
        <x:v>長時間の全開巡航で、前方集団との大きな差を縮める。</x:v>
      </x:c>
      <x:c r="J136" s="23" t="str">
        <x:v>TTスペシャリスト / 平坦アシスト / 集団コントローラー / 巡航力 / 連携力 / 技術力</x:v>
      </x:c>
      <x:c r="K136" s="23" t="str">
        <x:v>アシスト適性 81</x:v>
      </x:c>
      <x:c r="L136" s="29" t="n">
        <x:v>1</x:v>
      </x:c>
      <x:c r="M136" s="23" t="str">
        <x:v>Johan Price-Pejtersen</x:v>
      </x:c>
      <x:c r="N136" s="23" t="str">
        <x:v>採用中</x:v>
      </x:c>
    </x:row>
    <x:row r="137" ht="40" customHeight="1">
      <x:c r="A137" s="23" t="str">
        <x:v>高適性アシスト固有</x:v>
      </x:c>
      <x:c r="B137" s="23" t="str">
        <x:v>勝負手</x:v>
      </x:c>
      <x:c r="C137" s="26" t="n">
        <x:v>3</x:v>
      </x:c>
      <x:c r="D137" s="23" t="n">
        <x:v>1</x:v>
      </x:c>
      <x:c r="E137" s="23" t="str">
        <x:v>逃げ完全吸収</x:v>
      </x:c>
      <x:c r="F137" s="23" t="str">
        <x:v>Bob Jungels</x:v>
      </x:c>
      <x:c r="G137" s="23" t="str">
        <x:v>役割依存</x:v>
      </x:c>
      <x:c r="H137" s="23" t="str">
        <x:v>味方エース</x:v>
      </x:c>
      <x:c r="I137" s="23" t="str">
        <x:v>チームをまとめて追走させ、危険な逃げを一気に吸収する。</x:v>
      </x:c>
      <x:c r="J137" s="23" t="str">
        <x:v>ロードキャプテン / 平坦アシスト / 平坦ペースメーカー / 連携力 / 巡航力 / 技術力</x:v>
      </x:c>
      <x:c r="K137" s="23" t="str">
        <x:v>アシスト適性 80</x:v>
      </x:c>
      <x:c r="L137" s="29" t="n">
        <x:v>1</x:v>
      </x:c>
      <x:c r="M137" s="23" t="str">
        <x:v>Bob Jungels</x:v>
      </x:c>
      <x:c r="N137" s="23" t="str">
        <x:v>採用中</x:v>
      </x:c>
    </x:row>
    <x:row r="138" ht="40" customHeight="1">
      <x:c r="A138" s="23" t="str">
        <x:v>汎用勝負手</x:v>
      </x:c>
      <x:c r="B138" s="23" t="str">
        <x:v>勝負手</x:v>
      </x:c>
      <x:c r="C138" s="26" t="n">
        <x:v>3</x:v>
      </x:c>
      <x:c r="D138" s="23" t="n">
        <x:v>1</x:v>
      </x:c>
      <x:c r="E138" s="23" t="str">
        <x:v>サテライト救援</x:v>
      </x:c>
      <x:c r="F138" s="23" t="str">
        <x:v>サテライトアシスト</x:v>
      </x:c>
      <x:c r="G138" s="23" t="str">
        <x:v>サテライト</x:v>
      </x:c>
      <x:c r="H138" s="23" t="str">
        <x:v>味方エース</x:v>
      </x:c>
      <x:c r="I138" s="23" t="str">
        <x:v>前方待機から合流し、補給・牽引・風よけをまとめて行う。</x:v>
      </x:c>
      <x:c r="J138" s="23" t="str">
        <x:v>climbing / stamina / recovery / teamwork</x:v>
      </x:c>
      <x:c r="K138" s="23" t="str">
        <x:v>発展元: サテライト合流 / ブリッジ</x:v>
      </x:c>
      <x:c r="L138" s="29" t="n">
        <x:v>5</x:v>
      </x:c>
      <x:c r="M138" s="23" t="str">
        <x:v>Lorenzo Rota / Andrew August / Johannes Staune-Mittet / Axel Laurance / Gonzalo Serrano</x:v>
      </x:c>
      <x:c r="N138" s="23" t="str">
        <x:v>採用中</x:v>
      </x:c>
    </x:row>
    <x:row r="139" ht="40" customHeight="1">
      <x:c r="A139" s="23" t="str">
        <x:v>汎用勝負手</x:v>
      </x:c>
      <x:c r="B139" s="23" t="str">
        <x:v>勝負手</x:v>
      </x:c>
      <x:c r="C139" s="26" t="n">
        <x:v>3</x:v>
      </x:c>
      <x:c r="D139" s="23" t="n">
        <x:v>1</x:v>
      </x:c>
      <x:c r="E139" s="23" t="str">
        <x:v>スプリント決戦</x:v>
      </x:c>
      <x:c r="F139" s="23" t="str">
        <x:v>スプリントエース</x:v>
      </x:c>
      <x:c r="G139" s="23" t="str">
        <x:v>スプリント</x:v>
      </x:c>
      <x:c r="H139" s="23" t="str">
        <x:v>本人</x:v>
      </x:c>
      <x:c r="I139" s="23" t="str">
        <x:v>フィニッシュへ残した力をすべて使い、最高速で勝負する。</x:v>
      </x:c>
      <x:c r="J139" s="23" t="str">
        <x:v>sprint / acceleration / positioning</x:v>
      </x:c>
      <x:c r="K139" s="23" t="str">
        <x:v>発展元: 高速巡航 / 平坦カウンター</x:v>
      </x:c>
      <x:c r="L139" s="29" t="n">
        <x:v>19</x:v>
      </x:c>
      <x:c r="M139" s="23" t="str">
        <x:v>Andre Greipel / Alessandro Petacchi / Mario Cipollini / Mark Cavendish / Robbie McEwen</x:v>
      </x:c>
      <x:c r="N139" s="23" t="str">
        <x:v>採用中</x:v>
      </x:c>
    </x:row>
    <x:row r="140" ht="40" customHeight="1">
      <x:c r="A140" s="23" t="str">
        <x:v>汎用勝負手</x:v>
      </x:c>
      <x:c r="B140" s="23" t="str">
        <x:v>勝負手</x:v>
      </x:c>
      <x:c r="C140" s="26" t="n">
        <x:v>3</x:v>
      </x:c>
      <x:c r="D140" s="23" t="n">
        <x:v>1</x:v>
      </x:c>
      <x:c r="E140" s="23" t="str">
        <x:v>悪路独走</x:v>
      </x:c>
      <x:c r="F140" s="23" t="str">
        <x:v>パヴェエース</x:v>
      </x:c>
      <x:c r="G140" s="23" t="str">
        <x:v>パヴェ</x:v>
      </x:c>
      <x:c r="H140" s="23" t="str">
        <x:v>本人</x:v>
      </x:c>
      <x:c r="I140" s="23" t="str">
        <x:v>荒れた路面を利用して単独で抜け出し、追走との差を広げる。</x:v>
      </x:c>
      <x:c r="J140" s="23" t="str">
        <x:v>cobble / fighting / stamina</x:v>
      </x:c>
      <x:c r="K140" s="23" t="str">
        <x:v>発展元: 悪路アタック</x:v>
      </x:c>
      <x:c r="L140" s="29" t="n">
        <x:v>0</x:v>
      </x:c>
      <x:c r="M140" s="23" t="str"/>
      <x:c r="N140" s="23" t="str">
        <x:v>未割当</x:v>
      </x:c>
    </x:row>
    <x:row r="141" ht="40" customHeight="1">
      <x:c r="A141" s="23" t="str">
        <x:v>汎用勝負手</x:v>
      </x:c>
      <x:c r="B141" s="23" t="str">
        <x:v>勝負手</x:v>
      </x:c>
      <x:c r="C141" s="26" t="n">
        <x:v>3</x:v>
      </x:c>
      <x:c r="D141" s="23" t="n">
        <x:v>1</x:v>
      </x:c>
      <x:c r="E141" s="23" t="str">
        <x:v>横風防衛</x:v>
      </x:c>
      <x:c r="F141" s="23" t="str">
        <x:v>横風アシスト</x:v>
      </x:c>
      <x:c r="G141" s="23" t="str">
        <x:v>横風</x:v>
      </x:c>
      <x:c r="H141" s="23" t="str">
        <x:v>味方エース</x:v>
      </x:c>
      <x:c r="I141" s="23" t="str">
        <x:v>横風による味方エースの消耗と分断を一度だけ防ぐ。</x:v>
      </x:c>
      <x:c r="J141" s="23" t="str">
        <x:v>cruise / positioning / teamwork</x:v>
      </x:c>
      <x:c r="K141" s="23" t="str">
        <x:v>発展元: 横風ガード</x:v>
      </x:c>
      <x:c r="L141" s="29" t="n">
        <x:v>0</x:v>
      </x:c>
      <x:c r="M141" s="23" t="str"/>
      <x:c r="N141" s="23" t="str">
        <x:v>未割当</x:v>
      </x:c>
    </x:row>
    <x:row r="142" ht="40" customHeight="1">
      <x:c r="A142" s="23" t="str">
        <x:v>汎用勝負手</x:v>
      </x:c>
      <x:c r="B142" s="23" t="str">
        <x:v>勝負手</x:v>
      </x:c>
      <x:c r="C142" s="26" t="n">
        <x:v>3</x:v>
      </x:c>
      <x:c r="D142" s="23" t="n">
        <x:v>1</x:v>
      </x:c>
      <x:c r="E142" s="23" t="str">
        <x:v>下り護衛</x:v>
      </x:c>
      <x:c r="F142" s="23" t="str">
        <x:v>下りアシスト</x:v>
      </x:c>
      <x:c r="G142" s="23" t="str">
        <x:v>下り</x:v>
      </x:c>
      <x:c r="H142" s="23" t="str">
        <x:v>味方エース</x:v>
      </x:c>
      <x:c r="I142" s="23" t="str">
        <x:v>下りで味方エースを安全かつ高速に前方集団へ運ぶ。</x:v>
      </x:c>
      <x:c r="J142" s="23" t="str">
        <x:v>bikeControl / technique / teamwork</x:v>
      </x:c>
      <x:c r="K142" s="23" t="str">
        <x:v>発展元: ダウンヒル牽引</x:v>
      </x:c>
      <x:c r="L142" s="29" t="n">
        <x:v>15</x:v>
      </x:c>
      <x:c r="M142" s="23" t="str">
        <x:v>Andrea Bagioli / Michał Kwiatkowski / Bjoern Koerdt / Iván Romeo / Andreas Kron</x:v>
      </x:c>
      <x:c r="N142" s="23" t="str">
        <x:v>採用中</x:v>
      </x:c>
    </x:row>
    <x:row r="143" ht="40" customHeight="1">
      <x:c r="A143" s="23" t="str">
        <x:v>汎用勝負手</x:v>
      </x:c>
      <x:c r="B143" s="23" t="str">
        <x:v>勝負手</x:v>
      </x:c>
      <x:c r="C143" s="26" t="n">
        <x:v>3</x:v>
      </x:c>
      <x:c r="D143" s="23" t="n">
        <x:v>1</x:v>
      </x:c>
      <x:c r="E143" s="23" t="str">
        <x:v>下り勝負</x:v>
      </x:c>
      <x:c r="F143" s="23" t="str">
        <x:v>下りエース</x:v>
      </x:c>
      <x:c r="G143" s="23" t="str">
        <x:v>下り</x:v>
      </x:c>
      <x:c r="H143" s="23" t="str">
        <x:v>本人</x:v>
      </x:c>
      <x:c r="I143" s="23" t="str">
        <x:v>高速ダウンヒルで仕掛け、後続とのタイム差を広げる。</x:v>
      </x:c>
      <x:c r="J143" s="23" t="str">
        <x:v>bikeControl / technique / fighting</x:v>
      </x:c>
      <x:c r="K143" s="23" t="str">
        <x:v>発展元: 下り加速 / 下りアタック</x:v>
      </x:c>
      <x:c r="L143" s="29" t="n">
        <x:v>0</x:v>
      </x:c>
      <x:c r="M143" s="23" t="str"/>
      <x:c r="N143" s="23" t="str">
        <x:v>未割当</x:v>
      </x:c>
    </x:row>
    <x:row r="144" ht="40" customHeight="1">
      <x:c r="A144" s="23" t="str">
        <x:v>汎用勝負手</x:v>
      </x:c>
      <x:c r="B144" s="23" t="str">
        <x:v>勝負手</x:v>
      </x:c>
      <x:c r="C144" s="26" t="n">
        <x:v>3</x:v>
      </x:c>
      <x:c r="D144" s="23" t="n">
        <x:v>1</x:v>
      </x:c>
      <x:c r="E144" s="23" t="str">
        <x:v>完全吸収</x:v>
      </x:c>
      <x:c r="F144" s="23" t="str">
        <x:v>プロトンコントロール</x:v>
      </x:c>
      <x:c r="G144" s="23" t="str">
        <x:v>プロトンコントロール</x:v>
      </x:c>
      <x:c r="H144" s="23" t="str">
        <x:v>味方チーム</x:v>
      </x:c>
      <x:c r="I144" s="23" t="str">
        <x:v>チームを全力追走させ、危険な逃げをプロトンへ吸収する。</x:v>
      </x:c>
      <x:c r="J144" s="23" t="str">
        <x:v>cruise / stamina / teamwork</x:v>
      </x:c>
      <x:c r="K144" s="23" t="str">
        <x:v>発展元: 逃げ吸収 / ハイペース維持</x:v>
      </x:c>
      <x:c r="L144" s="29" t="n">
        <x:v>21</x:v>
      </x:c>
      <x:c r="M144" s="23" t="str">
        <x:v>Krists Neilands / Albert Torres / Clément Russo / Alessandro Pinarello / Filippo Conca</x:v>
      </x:c>
      <x:c r="N144" s="23" t="str">
        <x:v>採用中</x:v>
      </x:c>
    </x:row>
    <x:row r="145" ht="40" customHeight="1">
      <x:c r="A145" s="23" t="str">
        <x:v>汎用勝負手</x:v>
      </x:c>
      <x:c r="B145" s="23" t="str">
        <x:v>勝負手</x:v>
      </x:c>
      <x:c r="C145" s="26" t="n">
        <x:v>3</x:v>
      </x:c>
      <x:c r="D145" s="23" t="n">
        <x:v>1</x:v>
      </x:c>
      <x:c r="E145" s="23" t="str">
        <x:v>丘陵決戦</x:v>
      </x:c>
      <x:c r="F145" s="23" t="str">
        <x:v>丘陵エース</x:v>
      </x:c>
      <x:c r="G145" s="23" t="str">
        <x:v>丘陵</x:v>
      </x:c>
      <x:c r="H145" s="23" t="str">
        <x:v>本人</x:v>
      </x:c>
      <x:c r="I145" s="23" t="str">
        <x:v>丘陵の勝負所で全力加速し、追走集団を絞り込む。</x:v>
      </x:c>
      <x:c r="J145" s="23" t="str">
        <x:v>punch / acceleration / fighting</x:v>
      </x:c>
      <x:c r="K145" s="23" t="str">
        <x:v>発展元: 丘陵加速 / 短坂アタック</x:v>
      </x:c>
      <x:c r="L145" s="29" t="n">
        <x:v>19</x:v>
      </x:c>
      <x:c r="M145" s="23" t="str">
        <x:v>Michele Bartoli / Joaquim Rodriguez / Cadel Evans / Paolo Bettini / Simon Gerrans</x:v>
      </x:c>
      <x:c r="N145" s="23" t="str">
        <x:v>採用中</x:v>
      </x:c>
    </x:row>
    <x:row r="146" ht="40" customHeight="1">
      <x:c r="A146" s="23" t="str">
        <x:v>汎用勝負手</x:v>
      </x:c>
      <x:c r="B146" s="23" t="str">
        <x:v>勝負手</x:v>
      </x:c>
      <x:c r="C146" s="26" t="n">
        <x:v>3</x:v>
      </x:c>
      <x:c r="D146" s="23" t="n">
        <x:v>1</x:v>
      </x:c>
      <x:c r="E146" s="23" t="str">
        <x:v>丘陵封鎖</x:v>
      </x:c>
      <x:c r="F146" s="23" t="str">
        <x:v>丘陵アシスト</x:v>
      </x:c>
      <x:c r="G146" s="23" t="str">
        <x:v>丘陵</x:v>
      </x:c>
      <x:c r="H146" s="23" t="str">
        <x:v>味方エース</x:v>
      </x:c>
      <x:c r="I146" s="23" t="str">
        <x:v>丘陵で高いペースを維持し、ライバルの攻撃を封じる。</x:v>
      </x:c>
      <x:c r="J146" s="23" t="str">
        <x:v>punch / stamina / teamwork</x:v>
      </x:c>
      <x:c r="K146" s="23" t="str">
        <x:v>発展元: 丘陵ペース / 仕掛け封じ</x:v>
      </x:c>
      <x:c r="L146" s="29" t="n">
        <x:v>16</x:v>
      </x:c>
      <x:c r="M146" s="23" t="str">
        <x:v>Alexey Lutsenko / Cedric Beullens / Diego Ulissi / Andrea Vendrame / Ben Healy</x:v>
      </x:c>
      <x:c r="N146" s="23" t="str">
        <x:v>採用中</x:v>
      </x:c>
    </x:row>
    <x:row r="147" ht="40" customHeight="1">
      <x:c r="A147" s="23" t="str">
        <x:v>汎用勝負手</x:v>
      </x:c>
      <x:c r="B147" s="23" t="str">
        <x:v>勝負手</x:v>
      </x:c>
      <x:c r="C147" s="26" t="n">
        <x:v>3</x:v>
      </x:c>
      <x:c r="D147" s="23" t="n">
        <x:v>1</x:v>
      </x:c>
      <x:c r="E147" s="23" t="str">
        <x:v>緊急再編</x:v>
      </x:c>
      <x:c r="F147" s="23" t="str">
        <x:v>ロードキャプテン</x:v>
      </x:c>
      <x:c r="G147" s="23" t="str">
        <x:v>ロードキャプテン</x:v>
      </x:c>
      <x:c r="H147" s="23" t="str">
        <x:v>味方チーム</x:v>
      </x:c>
      <x:c r="I147" s="23" t="str">
        <x:v>崩れたチーム隊列を即座に組み直し、勝負位置へ戻す。</x:v>
      </x:c>
      <x:c r="J147" s="23" t="str">
        <x:v>teamwork / technique / recovery</x:v>
      </x:c>
      <x:c r="K147" s="23" t="str">
        <x:v>発展元: 隊列再編</x:v>
      </x:c>
      <x:c r="L147" s="29" t="n">
        <x:v>22</x:v>
      </x:c>
      <x:c r="M147" s="23" t="str">
        <x:v>Daniel Martínez / Anthon Charmig / Henrik Pedersen / Callum Thornley / Madis Mihkels</x:v>
      </x:c>
      <x:c r="N147" s="23" t="str">
        <x:v>採用中</x:v>
      </x:c>
    </x:row>
    <x:row r="148" ht="40" customHeight="1">
      <x:c r="A148" s="23" t="str">
        <x:v>汎用勝負手</x:v>
      </x:c>
      <x:c r="B148" s="23" t="str">
        <x:v>勝負手</x:v>
      </x:c>
      <x:c r="C148" s="26" t="n">
        <x:v>3</x:v>
      </x:c>
      <x:c r="D148" s="23" t="n">
        <x:v>1</x:v>
      </x:c>
      <x:c r="E148" s="23" t="str">
        <x:v>決定的カウンター</x:v>
      </x:c>
      <x:c r="F148" s="23" t="str">
        <x:v>平坦エース</x:v>
      </x:c>
      <x:c r="G148" s="23" t="str">
        <x:v>平坦</x:v>
      </x:c>
      <x:c r="H148" s="23" t="str">
        <x:v>本人</x:v>
      </x:c>
      <x:c r="I148" s="23" t="str">
        <x:v>ライバルの攻撃直後に最大加速し、その動きを逆に勝機へ変える。</x:v>
      </x:c>
      <x:c r="J148" s="23" t="str">
        <x:v>acceleration / positioning / fighting</x:v>
      </x:c>
      <x:c r="K148" s="23" t="str">
        <x:v>発展元: 平坦カウンター</x:v>
      </x:c>
      <x:c r="L148" s="29" t="n">
        <x:v>0</x:v>
      </x:c>
      <x:c r="M148" s="23" t="str"/>
      <x:c r="N148" s="23" t="str">
        <x:v>未割当</x:v>
      </x:c>
    </x:row>
    <x:row r="149" ht="40" customHeight="1">
      <x:c r="A149" s="23" t="str">
        <x:v>汎用勝負手</x:v>
      </x:c>
      <x:c r="B149" s="23" t="str">
        <x:v>勝負手</x:v>
      </x:c>
      <x:c r="C149" s="26" t="n">
        <x:v>3</x:v>
      </x:c>
      <x:c r="D149" s="23" t="n">
        <x:v>1</x:v>
      </x:c>
      <x:c r="E149" s="23" t="str">
        <x:v>最終発射</x:v>
      </x:c>
      <x:c r="F149" s="23" t="str">
        <x:v>リードアウト</x:v>
      </x:c>
      <x:c r="G149" s="23" t="str">
        <x:v>リードアウト</x:v>
      </x:c>
      <x:c r="H149" s="23" t="str">
        <x:v>味方エース</x:v>
      </x:c>
      <x:c r="I149" s="23" t="str">
        <x:v>味方エースを最高速度でスプリントへ送り出す。</x:v>
      </x:c>
      <x:c r="J149" s="23" t="str">
        <x:v>sprint / acceleration / teamwork</x:v>
      </x:c>
      <x:c r="K149" s="23" t="str">
        <x:v>発展元: 高速リードアウト / トレイン加速</x:v>
      </x:c>
      <x:c r="L149" s="29" t="n">
        <x:v>61</x:v>
      </x:c>
      <x:c r="M149" s="23" t="str">
        <x:v>Ethan Vernon / Hugo Hofstetter / Itamar Einhorn / Kevin Geniets / Alan Hatherly</x:v>
      </x:c>
      <x:c r="N149" s="23" t="str">
        <x:v>採用中</x:v>
      </x:c>
    </x:row>
    <x:row r="150" ht="40" customHeight="1">
      <x:c r="A150" s="23" t="str">
        <x:v>汎用勝負手</x:v>
      </x:c>
      <x:c r="B150" s="23" t="str">
        <x:v>勝負手</x:v>
      </x:c>
      <x:c r="C150" s="26" t="n">
        <x:v>3</x:v>
      </x:c>
      <x:c r="D150" s="23" t="n">
        <x:v>1</x:v>
      </x:c>
      <x:c r="E150" s="23" t="str">
        <x:v>山岳救援</x:v>
      </x:c>
      <x:c r="F150" s="23" t="str">
        <x:v>山岳アシスト</x:v>
      </x:c>
      <x:c r="G150" s="23" t="str">
        <x:v>山岳</x:v>
      </x:c>
      <x:c r="H150" s="23" t="str">
        <x:v>味方エース</x:v>
      </x:c>
      <x:c r="I150" s="23" t="str">
        <x:v>山岳で遅れた味方エースを牽引し、先頭集団へ戻す。</x:v>
      </x:c>
      <x:c r="J150" s="23" t="str">
        <x:v>climbing / recovery / teamwork</x:v>
      </x:c>
      <x:c r="K150" s="23" t="str">
        <x:v>発展元: 登坂チェイス / 山岳ペースアップ</x:v>
      </x:c>
      <x:c r="L150" s="29" t="n">
        <x:v>54</x:v>
      </x:c>
      <x:c r="M150" s="23" t="str">
        <x:v>Bauke Mollema / Frits Biesterbos / Julien Bernard / Anders Skaarseth / Jefferson Alexander Cepeda</x:v>
      </x:c>
      <x:c r="N150" s="23" t="str">
        <x:v>採用中</x:v>
      </x:c>
    </x:row>
    <x:row r="151" ht="40" customHeight="1">
      <x:c r="A151" s="23" t="str">
        <x:v>汎用勝負手</x:v>
      </x:c>
      <x:c r="B151" s="23" t="str">
        <x:v>勝負手</x:v>
      </x:c>
      <x:c r="C151" s="26" t="n">
        <x:v>3</x:v>
      </x:c>
      <x:c r="D151" s="23" t="n">
        <x:v>1</x:v>
      </x:c>
      <x:c r="E151" s="23" t="str">
        <x:v>山岳決戦</x:v>
      </x:c>
      <x:c r="F151" s="23" t="str">
        <x:v>山岳エース</x:v>
      </x:c>
      <x:c r="G151" s="23" t="str">
        <x:v>山岳</x:v>
      </x:c>
      <x:c r="H151" s="23" t="str">
        <x:v>本人</x:v>
      </x:c>
      <x:c r="I151" s="23" t="str">
        <x:v>長い登りで最大出力を維持し、ライバルを一人ずつ脱落させる。</x:v>
      </x:c>
      <x:c r="J151" s="23" t="str">
        <x:v>climbing / stamina / fighting</x:v>
      </x:c>
      <x:c r="K151" s="23" t="str">
        <x:v>発展元: 登坂ペースアップ / 頂上前加速</x:v>
      </x:c>
      <x:c r="L151" s="29" t="n">
        <x:v>37</x:v>
      </x:c>
      <x:c r="M151" s="23" t="str">
        <x:v>Miguel Indurain / Chris Froome / Roberto Heras / Alberto Contador / Vincenzo Nibali</x:v>
      </x:c>
      <x:c r="N151" s="23" t="str">
        <x:v>採用中</x:v>
      </x:c>
    </x:row>
    <x:row r="152" ht="40" customHeight="1">
      <x:c r="A152" s="23" t="str">
        <x:v>汎用勝負手</x:v>
      </x:c>
      <x:c r="B152" s="23" t="str">
        <x:v>勝負手</x:v>
      </x:c>
      <x:c r="C152" s="26" t="n">
        <x:v>3</x:v>
      </x:c>
      <x:c r="D152" s="23" t="n">
        <x:v>1</x:v>
      </x:c>
      <x:c r="E152" s="23" t="str">
        <x:v>石畳決戦</x:v>
      </x:c>
      <x:c r="F152" s="23" t="str">
        <x:v>パヴェエース</x:v>
      </x:c>
      <x:c r="G152" s="23" t="str">
        <x:v>パヴェ</x:v>
      </x:c>
      <x:c r="H152" s="23" t="str">
        <x:v>本人</x:v>
      </x:c>
      <x:c r="I152" s="23" t="str">
        <x:v>パヴェで最大加速し、悪路適性の低い選手を脱落させる。</x:v>
      </x:c>
      <x:c r="J152" s="23" t="str">
        <x:v>cobble / acceleration / bike_control</x:v>
      </x:c>
      <x:c r="K152" s="23" t="str">
        <x:v>発展元: 石畳加速 / 悪路アタック</x:v>
      </x:c>
      <x:c r="L152" s="29" t="n">
        <x:v>18</x:v>
      </x:c>
      <x:c r="M152" s="23" t="str">
        <x:v>Fabian Cancellara / Tom Boonen / Franco Ballerini / Stijn Devolder / Johan Museeuw</x:v>
      </x:c>
      <x:c r="N152" s="23" t="str">
        <x:v>採用中</x:v>
      </x:c>
    </x:row>
    <x:row r="153" ht="40" customHeight="1">
      <x:c r="A153" s="23" t="str">
        <x:v>汎用勝負手</x:v>
      </x:c>
      <x:c r="B153" s="23" t="str">
        <x:v>勝負手</x:v>
      </x:c>
      <x:c r="C153" s="26" t="n">
        <x:v>3</x:v>
      </x:c>
      <x:c r="D153" s="23" t="n">
        <x:v>1</x:v>
      </x:c>
      <x:c r="E153" s="23" t="str">
        <x:v>石畳護衛</x:v>
      </x:c>
      <x:c r="F153" s="23" t="str">
        <x:v>パヴェアシスト</x:v>
      </x:c>
      <x:c r="G153" s="23" t="str">
        <x:v>パヴェ</x:v>
      </x:c>
      <x:c r="H153" s="23" t="str">
        <x:v>味方エース</x:v>
      </x:c>
      <x:c r="I153" s="23" t="str">
        <x:v>パヴェで進路を確保し、味方エースを前方集団へ残す。</x:v>
      </x:c>
      <x:c r="J153" s="23" t="str">
        <x:v>cobble / bike_control / teamwork</x:v>
      </x:c>
      <x:c r="K153" s="23" t="str">
        <x:v>発展元: 石畳牽引 / パヴェ追走</x:v>
      </x:c>
      <x:c r="L153" s="29" t="n">
        <x:v>50</x:v>
      </x:c>
      <x:c r="M153" s="23" t="str">
        <x:v>Harry Sweeny / Jefferson Alveiro Cepeda / Carl-Frederik Bévort / Iván García Cortina / Jake Stewart</x:v>
      </x:c>
      <x:c r="N153" s="23" t="str">
        <x:v>採用中</x:v>
      </x:c>
    </x:row>
    <x:row r="154" ht="40" customHeight="1">
      <x:c r="A154" s="23" t="str">
        <x:v>汎用勝負手</x:v>
      </x:c>
      <x:c r="B154" s="23" t="str">
        <x:v>勝負手</x:v>
      </x:c>
      <x:c r="C154" s="26" t="n">
        <x:v>3</x:v>
      </x:c>
      <x:c r="D154" s="23" t="n">
        <x:v>1</x:v>
      </x:c>
      <x:c r="E154" s="23" t="str">
        <x:v>全開牽引</x:v>
      </x:c>
      <x:c r="F154" s="23" t="str">
        <x:v>平坦・TTアシスト</x:v>
      </x:c>
      <x:c r="G154" s="23" t="str">
        <x:v>平坦</x:v>
      </x:c>
      <x:c r="H154" s="23" t="str">
        <x:v>味方エース</x:v>
      </x:c>
      <x:c r="I154" s="23" t="str">
        <x:v>本人の体力を使い切る高速牽引で、味方エースを勝負区間へ運ぶ。</x:v>
      </x:c>
      <x:c r="J154" s="23" t="str">
        <x:v>cruise / stamina / teamwork</x:v>
      </x:c>
      <x:c r="K154" s="23" t="str">
        <x:v>発展元: 高速牽引 / ハイペース維持</x:v>
      </x:c>
      <x:c r="L154" s="29" t="n">
        <x:v>62</x:v>
      </x:c>
      <x:c r="M154" s="23" t="str">
        <x:v>Hugo Houle / Joshua Tarling / Attila Valter / Lukas Nerurkar / Daan Hoole</x:v>
      </x:c>
      <x:c r="N154" s="23" t="str">
        <x:v>採用中</x:v>
      </x:c>
    </x:row>
    <x:row r="155" ht="40" customHeight="1">
      <x:c r="A155" s="23" t="str">
        <x:v>汎用勝負手</x:v>
      </x:c>
      <x:c r="B155" s="23" t="str">
        <x:v>勝負手</x:v>
      </x:c>
      <x:c r="C155" s="26" t="n">
        <x:v>3</x:v>
      </x:c>
      <x:c r="D155" s="23" t="n">
        <x:v>1</x:v>
      </x:c>
      <x:c r="E155" s="23" t="str">
        <x:v>全開独走</x:v>
      </x:c>
      <x:c r="F155" s="23" t="str">
        <x:v>平坦エース</x:v>
      </x:c>
      <x:c r="G155" s="23" t="str">
        <x:v>平坦</x:v>
      </x:c>
      <x:c r="H155" s="23" t="str">
        <x:v>本人</x:v>
      </x:c>
      <x:c r="I155" s="23" t="str">
        <x:v>平坦で全力の単独走を開始し、大きなタイム差を狙う。</x:v>
      </x:c>
      <x:c r="J155" s="23" t="str">
        <x:v>cruise / stamina / acceleration</x:v>
      </x:c>
      <x:c r="K155" s="23" t="str">
        <x:v>発展元: 高速巡航 / 平坦カウンター</x:v>
      </x:c>
      <x:c r="L155" s="29" t="n">
        <x:v>6</x:v>
      </x:c>
      <x:c r="M155" s="23" t="str">
        <x:v>Chris Boardman / Tony Martin / Bradley Wiggins / Luis Leon Sanchez / Rohan Dennis</x:v>
      </x:c>
      <x:c r="N155" s="23" t="str">
        <x:v>採用中</x:v>
      </x:c>
    </x:row>
    <x:row r="156" ht="40" customHeight="1">
      <x:c r="A156" s="23" t="str">
        <x:v>汎用勝負手</x:v>
      </x:c>
      <x:c r="B156" s="23" t="str">
        <x:v>勝負手</x:v>
      </x:c>
      <x:c r="C156" s="26" t="n">
        <x:v>3</x:v>
      </x:c>
      <x:c r="D156" s="23" t="n">
        <x:v>1</x:v>
      </x:c>
      <x:c r="E156" s="23" t="str">
        <x:v>全力献身</x:v>
      </x:c>
      <x:c r="F156" s="23" t="str">
        <x:v>山岳アシスト</x:v>
      </x:c>
      <x:c r="G156" s="23" t="str">
        <x:v>山岳</x:v>
      </x:c>
      <x:c r="H156" s="23" t="str">
        <x:v>味方エース</x:v>
      </x:c>
      <x:c r="I156" s="23" t="str">
        <x:v>山岳で体力を使い切り、味方エースを攻撃位置へ送り出す。</x:v>
      </x:c>
      <x:c r="J156" s="23" t="str">
        <x:v>climbing / stamina / recovery / teamwork</x:v>
      </x:c>
      <x:c r="K156" s="23" t="str">
        <x:v>発展元: 山岳先導 / 最後の山岳牽引</x:v>
      </x:c>
      <x:c r="L156" s="29" t="n">
        <x:v>35</x:v>
      </x:c>
      <x:c r="M156" s="23" t="str">
        <x:v>George Bennett / Lennert Van Eetvelt / Gregor Mühlberger / Lennard Kämna / Lewis Askey</x:v>
      </x:c>
      <x:c r="N156" s="23" t="str">
        <x:v>採用中</x:v>
      </x:c>
    </x:row>
    <x:row r="157" ht="40" customHeight="1">
      <x:c r="A157" s="23" t="str">
        <x:v>汎用勝負手</x:v>
      </x:c>
      <x:c r="B157" s="23" t="str">
        <x:v>勝負手</x:v>
      </x:c>
      <x:c r="C157" s="26" t="n">
        <x:v>3</x:v>
      </x:c>
      <x:c r="D157" s="23" t="n">
        <x:v>1</x:v>
      </x:c>
      <x:c r="E157" s="23" t="str">
        <x:v>全力復帰</x:v>
      </x:c>
      <x:c r="F157" s="23" t="str">
        <x:v>復帰アシスト</x:v>
      </x:c>
      <x:c r="G157" s="23" t="str">
        <x:v>復帰</x:v>
      </x:c>
      <x:c r="H157" s="23" t="str">
        <x:v>味方エース</x:v>
      </x:c>
      <x:c r="I157" s="23" t="str">
        <x:v>遅れた味方エースを全力でプロトンへ復帰させる。</x:v>
      </x:c>
      <x:c r="J157" s="23" t="str">
        <x:v>cruise / stamina / teamwork</x:v>
      </x:c>
      <x:c r="K157" s="23" t="str">
        <x:v>発展元: 集団復帰 / 下り復帰</x:v>
      </x:c>
      <x:c r="L157" s="29" t="n">
        <x:v>4</x:v>
      </x:c>
      <x:c r="M157" s="23" t="str">
        <x:v>Jens Voigt / Lars Bak / Salvatore Puccio / Jack Bauer</x:v>
      </x:c>
      <x:c r="N157" s="23" t="str">
        <x:v>採用中</x:v>
      </x:c>
    </x:row>
    <x:row r="158" ht="40" customHeight="1">
      <x:c r="A158" s="23" t="str">
        <x:v>汎用勝負手</x:v>
      </x:c>
      <x:c r="B158" s="23" t="str">
        <x:v>勝負手</x:v>
      </x:c>
      <x:c r="C158" s="26" t="n">
        <x:v>3</x:v>
      </x:c>
      <x:c r="D158" s="23" t="n">
        <x:v>1</x:v>
      </x:c>
      <x:c r="E158" s="23" t="str">
        <x:v>単独ブリッジ</x:v>
      </x:c>
      <x:c r="F158" s="23" t="str">
        <x:v>逃げエース</x:v>
      </x:c>
      <x:c r="G158" s="23" t="str">
        <x:v>逃げ</x:v>
      </x:c>
      <x:c r="H158" s="23" t="str">
        <x:v>本人</x:v>
      </x:c>
      <x:c r="I158" s="23" t="str">
        <x:v>大きな体力を使って前方集団へ一気に合流する。</x:v>
      </x:c>
      <x:c r="J158" s="23" t="str">
        <x:v>cruise / acceleration / stamina</x:v>
      </x:c>
      <x:c r="K158" s="23" t="str">
        <x:v>発展元: 逃げ参加 / ブリッジ</x:v>
      </x:c>
      <x:c r="L158" s="29" t="n">
        <x:v>2</x:v>
      </x:c>
      <x:c r="M158" s="23" t="str">
        <x:v>Erik Zabel / Laurent Jalabert</x:v>
      </x:c>
      <x:c r="N158" s="23" t="str">
        <x:v>採用中</x:v>
      </x:c>
    </x:row>
    <x:row r="159" ht="40" customHeight="1">
      <x:c r="A159" s="23" t="str">
        <x:v>汎用勝負手</x:v>
      </x:c>
      <x:c r="B159" s="23" t="str">
        <x:v>勝負手</x:v>
      </x:c>
      <x:c r="C159" s="26" t="n">
        <x:v>3</x:v>
      </x:c>
      <x:c r="D159" s="23" t="n">
        <x:v>1</x:v>
      </x:c>
      <x:c r="E159" s="23" t="str">
        <x:v>短坂決戦</x:v>
      </x:c>
      <x:c r="F159" s="23" t="str">
        <x:v>丘陵エース</x:v>
      </x:c>
      <x:c r="G159" s="23" t="str">
        <x:v>丘陵</x:v>
      </x:c>
      <x:c r="H159" s="23" t="str">
        <x:v>本人</x:v>
      </x:c>
      <x:c r="I159" s="23" t="str">
        <x:v>短い急坂へ全力を集中し、頂上までに決定的な差を作る。</x:v>
      </x:c>
      <x:c r="J159" s="23" t="str">
        <x:v>punch / fighting</x:v>
      </x:c>
      <x:c r="K159" s="23" t="str">
        <x:v>発展元: 短坂アタック</x:v>
      </x:c>
      <x:c r="L159" s="29" t="n">
        <x:v>0</x:v>
      </x:c>
      <x:c r="M159" s="23" t="str"/>
      <x:c r="N159" s="23" t="str">
        <x:v>未割当</x:v>
      </x:c>
    </x:row>
    <x:row r="160" ht="40" customHeight="1">
      <x:c r="A160" s="23" t="str">
        <x:v>汎用勝負手</x:v>
      </x:c>
      <x:c r="B160" s="23" t="str">
        <x:v>勝負手</x:v>
      </x:c>
      <x:c r="C160" s="26" t="n">
        <x:v>3</x:v>
      </x:c>
      <x:c r="D160" s="23" t="n">
        <x:v>1</x:v>
      </x:c>
      <x:c r="E160" s="23" t="str">
        <x:v>頂上前アタック</x:v>
      </x:c>
      <x:c r="F160" s="23" t="str">
        <x:v>山岳エース</x:v>
      </x:c>
      <x:c r="G160" s="23" t="str">
        <x:v>山岳</x:v>
      </x:c>
      <x:c r="H160" s="23" t="str">
        <x:v>本人</x:v>
      </x:c>
      <x:c r="I160" s="23" t="str">
        <x:v>山頂前から全力で仕掛け、下りへ入る前に時間差を作る。</x:v>
      </x:c>
      <x:c r="J160" s="23" t="str">
        <x:v>climbing / acceleration</x:v>
      </x:c>
      <x:c r="K160" s="23" t="str">
        <x:v>発展元: 頂上前加速</x:v>
      </x:c>
      <x:c r="L160" s="29" t="n">
        <x:v>0</x:v>
      </x:c>
      <x:c r="M160" s="23" t="str"/>
      <x:c r="N160" s="23" t="str">
        <x:v>未割当</x:v>
      </x:c>
    </x:row>
    <x:row r="161" ht="40" customHeight="1">
      <x:c r="A161" s="24" t="str">
        <x:v>汎用勝負手</x:v>
      </x:c>
      <x:c r="B161" s="24" t="str">
        <x:v>勝負手</x:v>
      </x:c>
      <x:c r="C161" s="27" t="n">
        <x:v>3</x:v>
      </x:c>
      <x:c r="D161" s="24" t="n">
        <x:v>1</x:v>
      </x:c>
      <x:c r="E161" s="24" t="str">
        <x:v>逃げ切り</x:v>
      </x:c>
      <x:c r="F161" s="24" t="str">
        <x:v>逃げエース</x:v>
      </x:c>
      <x:c r="G161" s="24" t="str">
        <x:v>逃げ</x:v>
      </x:c>
      <x:c r="H161" s="24" t="str">
        <x:v>本人</x:v>
      </x:c>
      <x:c r="I161" s="24" t="str">
        <x:v>残り区間を全力で走り、プロトンの吸収を振り切る。</x:v>
      </x:c>
      <x:c r="J161" s="24" t="str">
        <x:v>stamina / cruise / fighting / recovery</x:v>
      </x:c>
      <x:c r="K161" s="24" t="str">
        <x:v>発展元: 逃げ選別 / 逃げ粘り</x:v>
      </x:c>
      <x:c r="L161" s="30" t="n">
        <x:v>0</x:v>
      </x:c>
      <x:c r="M161" s="24" t="str"/>
      <x:c r="N161" s="24" t="str">
        <x:v>未割当</x:v>
      </x:c>
    </x:row>
  </x:sheetData>
  <x:mergeCells>
    <x:mergeCell ref="A1:N1"/>
    <x:mergeCell ref="A2:N2"/>
  </x:mergeCells>
  <x:conditionalFormatting sqref="B5:B161">
    <x:cfRule type="containsText" dxfId="0" priority="1" operator="containsText" text="基本"/>
    <x:cfRule type="containsText" dxfId="1" priority="2" operator="containsText" text="得意"/>
    <x:cfRule type="containsText" dxfId="2" priority="3" operator="containsText" text="勝負"/>
  </x:conditionalFormatting>
  <x:conditionalFormatting sqref="N5:N161">
    <x:cfRule type="containsText" dxfId="3" priority="4" operator="containsText" text="未割当"/>
  </x:conditionalFormatting>
  <x:pageMargins left="0.7" right="0.7" top="0.75" bottom="0.75" header="0.3" footer="0.3"/>
  <x:tableParts count="1">
    <x:tablePart xmlns:r="http://schemas.openxmlformats.org/officeDocument/2006/relationships" r:id="R2e0ed2e3b06f45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4" hidden="0" customWidth="1"/>
    <x:col min="4" max="4" width="15" hidden="0" customWidth="1"/>
    <x:col min="5" max="5" width="15" hidden="0" customWidth="1"/>
    <x:col min="6" max="6" width="13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8" hidden="0" customWidth="1"/>
  </x:cols>
  <x:sheetData>
    <x:row r="1" ht="34" customHeight="1">
      <x:c r="A1" s="3" t="str">
        <x:v>選手別採用カード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8" t="str">
        <x:v>全510名の固定6枚。カード性能一覧の採用人数・代表選手はこの割当を集計しています。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0" customHeight="1">
      <x:c r="A4" s="14" t="str">
        <x:v>区分</x:v>
      </x:c>
      <x:c r="B4" s="14" t="str">
        <x:v>No.</x:v>
      </x:c>
      <x:c r="C4" s="14" t="str">
        <x:v>選手名</x:v>
      </x:c>
      <x:c r="D4" s="14" t="str">
        <x:v>主脚質</x:v>
      </x:c>
      <x:c r="E4" s="14" t="str">
        <x:v>副脚質</x:v>
      </x:c>
      <x:c r="F4" s="14" t="str">
        <x:v>カード型</x:v>
      </x:c>
      <x:c r="G4" s="14" t="str">
        <x:v>役割（3つ）</x:v>
      </x:c>
      <x:c r="H4" s="14" t="str">
        <x:v>基本1</x:v>
      </x:c>
      <x:c r="I4" s="14" t="str">
        <x:v>基本2</x:v>
      </x:c>
      <x:c r="J4" s="14" t="str">
        <x:v>基本3</x:v>
      </x:c>
      <x:c r="K4" s="14" t="str">
        <x:v>得意1</x:v>
      </x:c>
      <x:c r="L4" s="14" t="str">
        <x:v>得意2</x:v>
      </x:c>
      <x:c r="M4" s="14" t="str">
        <x:v>勝負手</x:v>
      </x:c>
    </x:row>
    <x:row r="5" ht="40" customHeight="1">
      <x:c r="A5" s="22" t="str">
        <x:v>現役</x:v>
      </x:c>
      <x:c r="B5" s="25" t="n">
        <x:v>1</x:v>
      </x:c>
      <x:c r="C5" s="22" t="str">
        <x:v>Tadej Pogacar</x:v>
      </x:c>
      <x:c r="D5" s="22" t="str">
        <x:v>総合型</x:v>
      </x:c>
      <x:c r="E5" s="22" t="str">
        <x:v>パンチャー</x:v>
      </x:c>
      <x:c r="F5" s="22" t="str">
        <x:v>エース型</x:v>
      </x:c>
      <x:c r="G5" s="22" t="str">
        <x:v>総合エース / 山岳賞ハンター / 丘陵エース</x:v>
      </x:c>
      <x:c r="H5" s="22" t="str">
        <x:v>急勾配対応</x:v>
      </x:c>
      <x:c r="I5" s="22" t="str">
        <x:v>登坂リズム</x:v>
      </x:c>
      <x:c r="J5" s="22" t="str">
        <x:v>山岳待機</x:v>
      </x:c>
      <x:c r="K5" s="22" t="str">
        <x:v>登坂ペースアップ</x:v>
      </x:c>
      <x:c r="L5" s="22" t="str">
        <x:v>丘陵加速</x:v>
      </x:c>
      <x:c r="M5" s="22" t="str">
        <x:v>皇帝のカウンター</x:v>
      </x:c>
    </x:row>
    <x:row r="6" ht="40" customHeight="1">
      <x:c r="A6" s="23" t="str">
        <x:v>現役</x:v>
      </x:c>
      <x:c r="B6" s="26" t="n">
        <x:v>2</x:v>
      </x:c>
      <x:c r="C6" s="23" t="str">
        <x:v>Mathieu van der Poel</x:v>
      </x:c>
      <x:c r="D6" s="23" t="str">
        <x:v>クラシック型</x:v>
      </x:c>
      <x:c r="E6" s="23" t="str">
        <x:v>パンチャー</x:v>
      </x:c>
      <x:c r="F6" s="23" t="str">
        <x:v>エース型</x:v>
      </x:c>
      <x:c r="G6" s="23" t="str">
        <x:v>丘陵エース / リードアウト / 最終発射台</x:v>
      </x:c>
      <x:c r="H6" s="23" t="str">
        <x:v>悪路ライン</x:v>
      </x:c>
      <x:c r="I6" s="23" t="str">
        <x:v>衝撃吸収</x:v>
      </x:c>
      <x:c r="J6" s="23" t="str">
        <x:v>前方進入</x:v>
      </x:c>
      <x:c r="K6" s="23" t="str">
        <x:v>悪路アタック</x:v>
      </x:c>
      <x:c r="L6" s="23" t="str">
        <x:v>石畳加速</x:v>
      </x:c>
      <x:c r="M6" s="23" t="str">
        <x:v>暴君の射程</x:v>
      </x:c>
    </x:row>
    <x:row r="7" ht="40" customHeight="1">
      <x:c r="A7" s="23" t="str">
        <x:v>現役</x:v>
      </x:c>
      <x:c r="B7" s="26" t="n">
        <x:v>3</x:v>
      </x:c>
      <x:c r="C7" s="23" t="str">
        <x:v>Paul Seixas</x:v>
      </x:c>
      <x:c r="D7" s="23" t="str">
        <x:v>総合型</x:v>
      </x:c>
      <x:c r="E7" s="23" t="str">
        <x:v>パンチャー</x:v>
      </x:c>
      <x:c r="F7" s="23" t="str">
        <x:v>エース型</x:v>
      </x:c>
      <x:c r="G7" s="23" t="str">
        <x:v>総合エース / 集団コントローラー / 山岳番手</x:v>
      </x:c>
      <x:c r="H7" s="23" t="str">
        <x:v>急勾配対応</x:v>
      </x:c>
      <x:c r="I7" s="23" t="str">
        <x:v>登坂リズム</x:v>
      </x:c>
      <x:c r="J7" s="23" t="str">
        <x:v>山岳待機</x:v>
      </x:c>
      <x:c r="K7" s="23" t="str">
        <x:v>最後の山岳牽引</x:v>
      </x:c>
      <x:c r="L7" s="23" t="str">
        <x:v>登坂ペースアップ</x:v>
      </x:c>
      <x:c r="M7" s="23" t="str">
        <x:v>新星の飛躍</x:v>
      </x:c>
    </x:row>
    <x:row r="8" ht="40" customHeight="1">
      <x:c r="A8" s="23" t="str">
        <x:v>現役</x:v>
      </x:c>
      <x:c r="B8" s="26" t="n">
        <x:v>4</x:v>
      </x:c>
      <x:c r="C8" s="23" t="str">
        <x:v>Isaac del Toro</x:v>
      </x:c>
      <x:c r="D8" s="23" t="str">
        <x:v>総合型</x:v>
      </x:c>
      <x:c r="E8" s="23" t="str">
        <x:v>パンチャー</x:v>
      </x:c>
      <x:c r="F8" s="23" t="str">
        <x:v>エース型</x:v>
      </x:c>
      <x:c r="G8" s="23" t="str">
        <x:v>総合エース / 山岳番手 / 集団コントローラー</x:v>
      </x:c>
      <x:c r="H8" s="23" t="str">
        <x:v>急勾配対応</x:v>
      </x:c>
      <x:c r="I8" s="23" t="str">
        <x:v>登坂リズム</x:v>
      </x:c>
      <x:c r="J8" s="23" t="str">
        <x:v>山岳待機</x:v>
      </x:c>
      <x:c r="K8" s="23" t="str">
        <x:v>最後の山岳牽引</x:v>
      </x:c>
      <x:c r="L8" s="23" t="str">
        <x:v>登坂ペースアップ</x:v>
      </x:c>
      <x:c r="M8" s="23" t="str">
        <x:v>火花の噴出</x:v>
      </x:c>
    </x:row>
    <x:row r="9" ht="40" customHeight="1">
      <x:c r="A9" s="23" t="str">
        <x:v>現役</x:v>
      </x:c>
      <x:c r="B9" s="26" t="n">
        <x:v>5</x:v>
      </x:c>
      <x:c r="C9" s="23" t="str">
        <x:v>Jonas Vingegaard</x:v>
      </x:c>
      <x:c r="D9" s="23" t="str">
        <x:v>総合型</x:v>
      </x:c>
      <x:c r="E9" s="23" t="str">
        <x:v>クライマー</x:v>
      </x:c>
      <x:c r="F9" s="23" t="str">
        <x:v>エース型</x:v>
      </x:c>
      <x:c r="G9" s="23" t="str">
        <x:v>総合エース / 山岳賞ハンター / 山岳番手</x:v>
      </x:c>
      <x:c r="H9" s="23" t="str">
        <x:v>急勾配対応</x:v>
      </x:c>
      <x:c r="I9" s="23" t="str">
        <x:v>登坂リズム</x:v>
      </x:c>
      <x:c r="J9" s="23" t="str">
        <x:v>山岳待機</x:v>
      </x:c>
      <x:c r="K9" s="23" t="str">
        <x:v>登坂ペースアップ</x:v>
      </x:c>
      <x:c r="L9" s="23" t="str">
        <x:v>最後の山岳牽引</x:v>
      </x:c>
      <x:c r="M9" s="23" t="str">
        <x:v>山岳王の封鎖</x:v>
      </x:c>
    </x:row>
    <x:row r="10" ht="40" customHeight="1">
      <x:c r="A10" s="23" t="str">
        <x:v>現役</x:v>
      </x:c>
      <x:c r="B10" s="26" t="n">
        <x:v>6</x:v>
      </x:c>
      <x:c r="C10" s="23" t="str">
        <x:v>Wout van Aert</x:v>
      </x:c>
      <x:c r="D10" s="23" t="str">
        <x:v>クラシック型</x:v>
      </x:c>
      <x:c r="E10" s="23" t="str">
        <x:v>パンチャー</x:v>
      </x:c>
      <x:c r="F10" s="23" t="str">
        <x:v>エース型</x:v>
      </x:c>
      <x:c r="G10" s="23" t="str">
        <x:v>丘陵エース / TTスペシャリスト / 石畳護衛</x:v>
      </x:c>
      <x:c r="H10" s="23" t="str">
        <x:v>衝撃吸収</x:v>
      </x:c>
      <x:c r="I10" s="23" t="str">
        <x:v>悪路ライン</x:v>
      </x:c>
      <x:c r="J10" s="23" t="str">
        <x:v>前方進入</x:v>
      </x:c>
      <x:c r="K10" s="23" t="str">
        <x:v>悪路アタック</x:v>
      </x:c>
      <x:c r="L10" s="23" t="str">
        <x:v>石畳加速</x:v>
      </x:c>
      <x:c r="M10" s="23" t="str">
        <x:v>銀弾の献身</x:v>
      </x:c>
    </x:row>
    <x:row r="11" ht="40" customHeight="1">
      <x:c r="A11" s="23" t="str">
        <x:v>現役</x:v>
      </x:c>
      <x:c r="B11" s="26" t="n">
        <x:v>7</x:v>
      </x:c>
      <x:c r="C11" s="23" t="str">
        <x:v>Remco Evenepoel</x:v>
      </x:c>
      <x:c r="D11" s="23" t="str">
        <x:v>総合型</x:v>
      </x:c>
      <x:c r="E11" s="23" t="str">
        <x:v>TT・ルーラー型</x:v>
      </x:c>
      <x:c r="F11" s="23" t="str">
        <x:v>エース型</x:v>
      </x:c>
      <x:c r="G11" s="23" t="str">
        <x:v>総合エース / TTスペシャリスト / 山岳番手</x:v>
      </x:c>
      <x:c r="H11" s="23" t="str">
        <x:v>登坂リズム</x:v>
      </x:c>
      <x:c r="I11" s="23" t="str">
        <x:v>急勾配対応</x:v>
      </x:c>
      <x:c r="J11" s="23" t="str">
        <x:v>巡航温存</x:v>
      </x:c>
      <x:c r="K11" s="23" t="str">
        <x:v>登坂ペースアップ</x:v>
      </x:c>
      <x:c r="L11" s="23" t="str">
        <x:v>高速巡航</x:v>
      </x:c>
      <x:c r="M11" s="23" t="str">
        <x:v>弾丸の独走</x:v>
      </x:c>
    </x:row>
    <x:row r="12" ht="40" customHeight="1">
      <x:c r="A12" s="23" t="str">
        <x:v>現役</x:v>
      </x:c>
      <x:c r="B12" s="26" t="n">
        <x:v>8</x:v>
      </x:c>
      <x:c r="C12" s="23" t="str">
        <x:v>Primoz Roglic</x:v>
      </x:c>
      <x:c r="D12" s="23" t="str">
        <x:v>総合型</x:v>
      </x:c>
      <x:c r="E12" s="23" t="str">
        <x:v>パンチャー</x:v>
      </x:c>
      <x:c r="F12" s="23" t="str">
        <x:v>エース型</x:v>
      </x:c>
      <x:c r="G12" s="23" t="str">
        <x:v>総合エース / 逃げ屋 / 山岳番手</x:v>
      </x:c>
      <x:c r="H12" s="23" t="str">
        <x:v>急勾配対応</x:v>
      </x:c>
      <x:c r="I12" s="23" t="str">
        <x:v>登坂リズム</x:v>
      </x:c>
      <x:c r="J12" s="23" t="str">
        <x:v>山岳待機</x:v>
      </x:c>
      <x:c r="K12" s="23" t="str">
        <x:v>登坂ペースアップ</x:v>
      </x:c>
      <x:c r="L12" s="23" t="str">
        <x:v>最後の山岳牽引</x:v>
      </x:c>
      <x:c r="M12" s="23" t="str">
        <x:v>跳躍者の逆転</x:v>
      </x:c>
    </x:row>
    <x:row r="13" ht="40" customHeight="1">
      <x:c r="A13" s="23" t="str">
        <x:v>現役</x:v>
      </x:c>
      <x:c r="B13" s="26" t="n">
        <x:v>9</x:v>
      </x:c>
      <x:c r="C13" s="23" t="str">
        <x:v>Julian Alaphilippe</x:v>
      </x:c>
      <x:c r="D13" s="23" t="str">
        <x:v>パンチャー</x:v>
      </x:c>
      <x:c r="E13" s="23" t="str">
        <x:v>クライマー</x:v>
      </x:c>
      <x:c r="F13" s="23" t="str">
        <x:v>エース型</x:v>
      </x:c>
      <x:c r="G13" s="23" t="str">
        <x:v>丘陵エース / ステージハンター / 山岳賞ハンター</x:v>
      </x:c>
      <x:c r="H13" s="23" t="str">
        <x:v>仕掛け待ち</x:v>
      </x:c>
      <x:c r="I13" s="23" t="str">
        <x:v>短坂対応</x:v>
      </x:c>
      <x:c r="J13" s="23" t="str">
        <x:v>丘陵リズム</x:v>
      </x:c>
      <x:c r="K13" s="23" t="str">
        <x:v>短坂アタック</x:v>
      </x:c>
      <x:c r="L13" s="23" t="str">
        <x:v>丘陵加速</x:v>
      </x:c>
      <x:c r="M13" s="23" t="str">
        <x:v>踊り子の一撃</x:v>
      </x:c>
    </x:row>
    <x:row r="14" ht="40" customHeight="1">
      <x:c r="A14" s="23" t="str">
        <x:v>現役</x:v>
      </x:c>
      <x:c r="B14" s="26" t="n">
        <x:v>10</x:v>
      </x:c>
      <x:c r="C14" s="23" t="str">
        <x:v>Jasper Philipsen</x:v>
      </x:c>
      <x:c r="D14" s="23" t="str">
        <x:v>スプリンター</x:v>
      </x:c>
      <x:c r="E14" s="23" t="str">
        <x:v>クラシック型</x:v>
      </x:c>
      <x:c r="F14" s="23" t="str">
        <x:v>エース型</x:v>
      </x:c>
      <x:c r="G14" s="23" t="str">
        <x:v>スプリントエース / ステージハンター / リードアウト</x:v>
      </x:c>
      <x:c r="H14" s="23" t="str">
        <x:v>車輪キープ</x:v>
      </x:c>
      <x:c r="I14" s="23" t="str">
        <x:v>ポジション確保</x:v>
      </x:c>
      <x:c r="J14" s="23" t="str">
        <x:v>巡航温存</x:v>
      </x:c>
      <x:c r="K14" s="23" t="str">
        <x:v>高速リードアウト</x:v>
      </x:c>
      <x:c r="L14" s="23" t="str">
        <x:v>平坦カウンター</x:v>
      </x:c>
      <x:c r="M14" s="23" t="str">
        <x:v>快速王の進路</x:v>
      </x:c>
    </x:row>
    <x:row r="15" ht="40" customHeight="1">
      <x:c r="A15" s="23" t="str">
        <x:v>現役</x:v>
      </x:c>
      <x:c r="B15" s="26" t="n">
        <x:v>11</x:v>
      </x:c>
      <x:c r="C15" s="23" t="str">
        <x:v>Filippo Ganna</x:v>
      </x:c>
      <x:c r="D15" s="23" t="str">
        <x:v>TT・ルーラー型</x:v>
      </x:c>
      <x:c r="E15" s="23" t="str">
        <x:v>クラシック型</x:v>
      </x:c>
      <x:c r="F15" s="23" t="str">
        <x:v>エース型</x:v>
      </x:c>
      <x:c r="G15" s="23" t="str">
        <x:v>丘陵エース / TTスペシャリスト / ブレイクアウェイキラー</x:v>
      </x:c>
      <x:c r="H15" s="23" t="str">
        <x:v>巡航温存</x:v>
      </x:c>
      <x:c r="I15" s="23" t="str">
        <x:v>ポジション確保</x:v>
      </x:c>
      <x:c r="J15" s="23" t="str">
        <x:v>車輪キープ</x:v>
      </x:c>
      <x:c r="K15" s="23" t="str">
        <x:v>逃げ吸収</x:v>
      </x:c>
      <x:c r="L15" s="23" t="str">
        <x:v>高速巡航</x:v>
      </x:c>
      <x:c r="M15" s="23" t="str">
        <x:v>トップギアの巡航</x:v>
      </x:c>
    </x:row>
    <x:row r="16" ht="40" customHeight="1">
      <x:c r="A16" s="23" t="str">
        <x:v>現役</x:v>
      </x:c>
      <x:c r="B16" s="26" t="n">
        <x:v>12</x:v>
      </x:c>
      <x:c r="C16" s="23" t="str">
        <x:v>Egan Bernal</x:v>
      </x:c>
      <x:c r="D16" s="23" t="str">
        <x:v>総合型</x:v>
      </x:c>
      <x:c r="E16" s="23" t="str">
        <x:v>クライマー</x:v>
      </x:c>
      <x:c r="F16" s="23" t="str">
        <x:v>エース型</x:v>
      </x:c>
      <x:c r="G16" s="23" t="str">
        <x:v>総合エース / 山岳賞ハンター / 山岳アシスト</x:v>
      </x:c>
      <x:c r="H16" s="23" t="str">
        <x:v>急勾配対応</x:v>
      </x:c>
      <x:c r="I16" s="23" t="str">
        <x:v>登坂リズム</x:v>
      </x:c>
      <x:c r="J16" s="23" t="str">
        <x:v>山岳待機</x:v>
      </x:c>
      <x:c r="K16" s="23" t="str">
        <x:v>登坂ペースアップ</x:v>
      </x:c>
      <x:c r="L16" s="23" t="str">
        <x:v>頂上前加速</x:v>
      </x:c>
      <x:c r="M16" s="23" t="str">
        <x:v>若き王の帰還</x:v>
      </x:c>
    </x:row>
    <x:row r="17" ht="40" customHeight="1">
      <x:c r="A17" s="23" t="str">
        <x:v>現役</x:v>
      </x:c>
      <x:c r="B17" s="26" t="n">
        <x:v>13</x:v>
      </x:c>
      <x:c r="C17" s="23" t="str">
        <x:v>Jonathan Milan</x:v>
      </x:c>
      <x:c r="D17" s="23" t="str">
        <x:v>スプリンター</x:v>
      </x:c>
      <x:c r="E17" s="23" t="str">
        <x:v>TT・ルーラー型</x:v>
      </x:c>
      <x:c r="F17" s="23" t="str">
        <x:v>エース型</x:v>
      </x:c>
      <x:c r="G17" s="23" t="str">
        <x:v>スプリントエース / リードアウト / 最終発射台</x:v>
      </x:c>
      <x:c r="H17" s="23" t="str">
        <x:v>車輪キープ</x:v>
      </x:c>
      <x:c r="I17" s="23" t="str">
        <x:v>ポジション確保</x:v>
      </x:c>
      <x:c r="J17" s="23" t="str">
        <x:v>巡航温存</x:v>
      </x:c>
      <x:c r="K17" s="23" t="str">
        <x:v>高速リードアウト</x:v>
      </x:c>
      <x:c r="L17" s="23" t="str">
        <x:v>平坦カウンター</x:v>
      </x:c>
      <x:c r="M17" s="23" t="str">
        <x:v>大砲の直線</x:v>
      </x:c>
    </x:row>
    <x:row r="18" ht="40" customHeight="1">
      <x:c r="A18" s="23" t="str">
        <x:v>現役</x:v>
      </x:c>
      <x:c r="B18" s="26" t="n">
        <x:v>14</x:v>
      </x:c>
      <x:c r="C18" s="23" t="str">
        <x:v>Biniam Girmay</x:v>
      </x:c>
      <x:c r="D18" s="23" t="str">
        <x:v>スプリンター</x:v>
      </x:c>
      <x:c r="E18" s="23" t="str">
        <x:v>パンチャー</x:v>
      </x:c>
      <x:c r="F18" s="23" t="str">
        <x:v>エース型</x:v>
      </x:c>
      <x:c r="G18" s="23" t="str">
        <x:v>スプリントエース / ステージハンター / リードアウト</x:v>
      </x:c>
      <x:c r="H18" s="23" t="str">
        <x:v>車輪キープ</x:v>
      </x:c>
      <x:c r="I18" s="23" t="str">
        <x:v>ポジション確保</x:v>
      </x:c>
      <x:c r="J18" s="23" t="str">
        <x:v>巡航温存</x:v>
      </x:c>
      <x:c r="K18" s="23" t="str">
        <x:v>高速リードアウト</x:v>
      </x:c>
      <x:c r="L18" s="23" t="str">
        <x:v>平坦カウンター</x:v>
      </x:c>
      <x:c r="M18" s="23" t="str">
        <x:v>疾風の突破</x:v>
      </x:c>
    </x:row>
    <x:row r="19" ht="40" customHeight="1">
      <x:c r="A19" s="23" t="str">
        <x:v>現役</x:v>
      </x:c>
      <x:c r="B19" s="26" t="n">
        <x:v>15</x:v>
      </x:c>
      <x:c r="C19" s="23" t="str">
        <x:v>Arnaud De Lie</x:v>
      </x:c>
      <x:c r="D19" s="23" t="str">
        <x:v>パンチャー</x:v>
      </x:c>
      <x:c r="E19" s="23" t="str">
        <x:v>スプリンター</x:v>
      </x:c>
      <x:c r="F19" s="23" t="str">
        <x:v>エース型</x:v>
      </x:c>
      <x:c r="G19" s="23" t="str">
        <x:v>丘陵エース / ステージハンター / スプリントトレイン</x:v>
      </x:c>
      <x:c r="H19" s="23" t="str">
        <x:v>短坂対応</x:v>
      </x:c>
      <x:c r="I19" s="23" t="str">
        <x:v>仕掛け待ち</x:v>
      </x:c>
      <x:c r="J19" s="23" t="str">
        <x:v>車輪キープ</x:v>
      </x:c>
      <x:c r="K19" s="23" t="str">
        <x:v>丘陵加速</x:v>
      </x:c>
      <x:c r="L19" s="23" t="str">
        <x:v>短坂アタック</x:v>
      </x:c>
      <x:c r="M19" s="23" t="str">
        <x:v>猛牛の突進</x:v>
      </x:c>
    </x:row>
    <x:row r="20" ht="40" customHeight="1">
      <x:c r="A20" s="23" t="str">
        <x:v>現役</x:v>
      </x:c>
      <x:c r="B20" s="26" t="n">
        <x:v>16</x:v>
      </x:c>
      <x:c r="C20" s="23" t="str">
        <x:v>Juan Ayuso</x:v>
      </x:c>
      <x:c r="D20" s="23" t="str">
        <x:v>総合型</x:v>
      </x:c>
      <x:c r="E20" s="23" t="str">
        <x:v>パンチャー</x:v>
      </x:c>
      <x:c r="F20" s="23" t="str">
        <x:v>エース型</x:v>
      </x:c>
      <x:c r="G20" s="23" t="str">
        <x:v>総合エース / 山岳番手 / 集団コントローラー</x:v>
      </x:c>
      <x:c r="H20" s="23" t="str">
        <x:v>急勾配対応</x:v>
      </x:c>
      <x:c r="I20" s="23" t="str">
        <x:v>登坂リズム</x:v>
      </x:c>
      <x:c r="J20" s="23" t="str">
        <x:v>山岳待機</x:v>
      </x:c>
      <x:c r="K20" s="23" t="str">
        <x:v>最後の山岳牽引</x:v>
      </x:c>
      <x:c r="L20" s="23" t="str">
        <x:v>登坂ペースアップ</x:v>
      </x:c>
      <x:c r="M20" s="23" t="str">
        <x:v>野心家の主導権</x:v>
      </x:c>
    </x:row>
    <x:row r="21" ht="40" customHeight="1">
      <x:c r="A21" s="23" t="str">
        <x:v>現役</x:v>
      </x:c>
      <x:c r="B21" s="26" t="n">
        <x:v>17</x:v>
      </x:c>
      <x:c r="C21" s="23" t="str">
        <x:v>Olav Kooij</x:v>
      </x:c>
      <x:c r="D21" s="23" t="str">
        <x:v>スプリンター</x:v>
      </x:c>
      <x:c r="E21" s="23" t="str">
        <x:v>TT・ルーラー型</x:v>
      </x:c>
      <x:c r="F21" s="23" t="str">
        <x:v>エース型</x:v>
      </x:c>
      <x:c r="G21" s="23" t="str">
        <x:v>スプリントエース / リードアウト / 最終発射台</x:v>
      </x:c>
      <x:c r="H21" s="23" t="str">
        <x:v>車輪キープ</x:v>
      </x:c>
      <x:c r="I21" s="23" t="str">
        <x:v>ポジション確保</x:v>
      </x:c>
      <x:c r="J21" s="23" t="str">
        <x:v>巡航温存</x:v>
      </x:c>
      <x:c r="K21" s="23" t="str">
        <x:v>高速リードアウト</x:v>
      </x:c>
      <x:c r="L21" s="23" t="str">
        <x:v>平坦カウンター</x:v>
      </x:c>
      <x:c r="M21" s="23" t="str">
        <x:v>若き矢の最短路</x:v>
      </x:c>
    </x:row>
    <x:row r="22" ht="40" customHeight="1">
      <x:c r="A22" s="23" t="str">
        <x:v>現役</x:v>
      </x:c>
      <x:c r="B22" s="26" t="n">
        <x:v>18</x:v>
      </x:c>
      <x:c r="C22" s="23" t="str">
        <x:v>Alberto Bettiol</x:v>
      </x:c>
      <x:c r="D22" s="23" t="str">
        <x:v>クラシック型</x:v>
      </x:c>
      <x:c r="E22" s="23" t="str">
        <x:v>パンチャー</x:v>
      </x:c>
      <x:c r="F22" s="23" t="str">
        <x:v>エース型</x:v>
      </x:c>
      <x:c r="G22" s="23" t="str">
        <x:v>丘陵エース / 石畳護衛 / 横風要員</x:v>
      </x:c>
      <x:c r="H22" s="23" t="str">
        <x:v>悪路ライン</x:v>
      </x:c>
      <x:c r="I22" s="23" t="str">
        <x:v>衝撃吸収</x:v>
      </x:c>
      <x:c r="J22" s="23" t="str">
        <x:v>前方進入</x:v>
      </x:c>
      <x:c r="K22" s="23" t="str">
        <x:v>悪路アタック</x:v>
      </x:c>
      <x:c r="L22" s="23" t="str">
        <x:v>石畳加速</x:v>
      </x:c>
      <x:c r="M22" s="23" t="str">
        <x:v>剛脚の突破口</x:v>
      </x:c>
    </x:row>
    <x:row r="23" ht="40" customHeight="1">
      <x:c r="A23" s="23" t="str">
        <x:v>現役</x:v>
      </x:c>
      <x:c r="B23" s="26" t="n">
        <x:v>19</x:v>
      </x:c>
      <x:c r="C23" s="23" t="str">
        <x:v>Tim Wellens</x:v>
      </x:c>
      <x:c r="D23" s="23" t="str">
        <x:v>パンチャー</x:v>
      </x:c>
      <x:c r="E23" s="23" t="str">
        <x:v>クラシック型</x:v>
      </x:c>
      <x:c r="F23" s="23" t="str">
        <x:v>エース型</x:v>
      </x:c>
      <x:c r="G23" s="23" t="str">
        <x:v>丘陵エース / ステージハンター / 逃げ屋</x:v>
      </x:c>
      <x:c r="H23" s="23" t="str">
        <x:v>仕掛け待ち</x:v>
      </x:c>
      <x:c r="I23" s="23" t="str">
        <x:v>短坂対応</x:v>
      </x:c>
      <x:c r="J23" s="23" t="str">
        <x:v>丘陵リズム</x:v>
      </x:c>
      <x:c r="K23" s="23" t="str">
        <x:v>丘陵加速</x:v>
      </x:c>
      <x:c r="L23" s="23" t="str">
        <x:v>短坂アタック</x:v>
      </x:c>
      <x:c r="M23" s="23" t="str">
        <x:v>狩人の勝負勘</x:v>
      </x:c>
    </x:row>
    <x:row r="24" ht="40" customHeight="1">
      <x:c r="A24" s="23" t="str">
        <x:v>現役</x:v>
      </x:c>
      <x:c r="B24" s="26" t="n">
        <x:v>20</x:v>
      </x:c>
      <x:c r="C24" s="23" t="str">
        <x:v>Mattias Skjelmose</x:v>
      </x:c>
      <x:c r="D24" s="23" t="str">
        <x:v>パンチャー</x:v>
      </x:c>
      <x:c r="E24" s="23" t="str">
        <x:v>総合型</x:v>
      </x:c>
      <x:c r="F24" s="23" t="str">
        <x:v>エース型</x:v>
      </x:c>
      <x:c r="G24" s="23" t="str">
        <x:v>丘陵エース / ステージハンター / 集団コントローラー</x:v>
      </x:c>
      <x:c r="H24" s="23" t="str">
        <x:v>仕掛け待ち</x:v>
      </x:c>
      <x:c r="I24" s="23" t="str">
        <x:v>短坂対応</x:v>
      </x:c>
      <x:c r="J24" s="23" t="str">
        <x:v>丘陵リズム</x:v>
      </x:c>
      <x:c r="K24" s="23" t="str">
        <x:v>丘陵加速</x:v>
      </x:c>
      <x:c r="L24" s="23" t="str">
        <x:v>短坂アタック</x:v>
      </x:c>
      <x:c r="M24" s="23" t="str">
        <x:v>鋭刃の勾配</x:v>
      </x:c>
    </x:row>
    <x:row r="25" ht="40" customHeight="1">
      <x:c r="A25" s="23" t="str">
        <x:v>現役</x:v>
      </x:c>
      <x:c r="B25" s="26" t="n">
        <x:v>21</x:v>
      </x:c>
      <x:c r="C25" s="23" t="str">
        <x:v>Kaden Groves</x:v>
      </x:c>
      <x:c r="D25" s="23" t="str">
        <x:v>スプリンター</x:v>
      </x:c>
      <x:c r="E25" s="23" t="str">
        <x:v>クラシック型</x:v>
      </x:c>
      <x:c r="F25" s="23" t="str">
        <x:v>エース型</x:v>
      </x:c>
      <x:c r="G25" s="23" t="str">
        <x:v>スプリントエース / リードアウト / 最終発射台</x:v>
      </x:c>
      <x:c r="H25" s="23" t="str">
        <x:v>車輪キープ</x:v>
      </x:c>
      <x:c r="I25" s="23" t="str">
        <x:v>ポジション確保</x:v>
      </x:c>
      <x:c r="J25" s="23" t="str">
        <x:v>巡航温存</x:v>
      </x:c>
      <x:c r="K25" s="23" t="str">
        <x:v>高速リードアウト</x:v>
      </x:c>
      <x:c r="L25" s="23" t="str">
        <x:v>平坦カウンター</x:v>
      </x:c>
      <x:c r="M25" s="23" t="str">
        <x:v>快速車の巡航</x:v>
      </x:c>
    </x:row>
    <x:row r="26" ht="40" customHeight="1">
      <x:c r="A26" s="23" t="str">
        <x:v>現役</x:v>
      </x:c>
      <x:c r="B26" s="26" t="n">
        <x:v>22</x:v>
      </x:c>
      <x:c r="C26" s="23" t="str">
        <x:v>Fabio Jakobsen</x:v>
      </x:c>
      <x:c r="D26" s="23" t="str">
        <x:v>スプリンター</x:v>
      </x:c>
      <x:c r="E26" s="23" t="str">
        <x:v>クラシック型</x:v>
      </x:c>
      <x:c r="F26" s="23" t="str">
        <x:v>エース型</x:v>
      </x:c>
      <x:c r="G26" s="23" t="str">
        <x:v>スプリントエース / リードアウト / 最終発射台</x:v>
      </x:c>
      <x:c r="H26" s="23" t="str">
        <x:v>車輪キープ</x:v>
      </x:c>
      <x:c r="I26" s="23" t="str">
        <x:v>ポジション確保</x:v>
      </x:c>
      <x:c r="J26" s="23" t="str">
        <x:v>巡航温存</x:v>
      </x:c>
      <x:c r="K26" s="23" t="str">
        <x:v>高速リードアウト</x:v>
      </x:c>
      <x:c r="L26" s="23" t="str">
        <x:v>平坦カウンター</x:v>
      </x:c>
      <x:c r="M26" s="23" t="str">
        <x:v>疾走者の復活</x:v>
      </x:c>
    </x:row>
    <x:row r="27" ht="40" customHeight="1">
      <x:c r="A27" s="23" t="str">
        <x:v>現役</x:v>
      </x:c>
      <x:c r="B27" s="26" t="n">
        <x:v>23</x:v>
      </x:c>
      <x:c r="C27" s="23" t="str">
        <x:v>Tom Pidcock</x:v>
      </x:c>
      <x:c r="D27" s="23" t="str">
        <x:v>クラシック型</x:v>
      </x:c>
      <x:c r="E27" s="23" t="str">
        <x:v>パンチャー</x:v>
      </x:c>
      <x:c r="F27" s="23" t="str">
        <x:v>エース型</x:v>
      </x:c>
      <x:c r="G27" s="23" t="str">
        <x:v>丘陵エース / 石畳護衛 / 逃げ屋</x:v>
      </x:c>
      <x:c r="H27" s="23" t="str">
        <x:v>ポジション確保</x:v>
      </x:c>
      <x:c r="I27" s="23" t="str">
        <x:v>仕掛け待ち</x:v>
      </x:c>
      <x:c r="J27" s="23" t="str">
        <x:v>ペース調整</x:v>
      </x:c>
      <x:c r="K27" s="23" t="str">
        <x:v>ブリッジ</x:v>
      </x:c>
      <x:c r="L27" s="23" t="str">
        <x:v>逃げ参加</x:v>
      </x:c>
      <x:c r="M27" s="23" t="str">
        <x:v>曲芸師の急降下</x:v>
      </x:c>
    </x:row>
    <x:row r="28" ht="40" customHeight="1">
      <x:c r="A28" s="23" t="str">
        <x:v>現役</x:v>
      </x:c>
      <x:c r="B28" s="26" t="n">
        <x:v>24</x:v>
      </x:c>
      <x:c r="C28" s="23" t="str">
        <x:v>Jasper Stuyven</x:v>
      </x:c>
      <x:c r="D28" s="23" t="str">
        <x:v>クラシック型</x:v>
      </x:c>
      <x:c r="E28" s="23" t="str">
        <x:v>スプリンター</x:v>
      </x:c>
      <x:c r="F28" s="23" t="str">
        <x:v>エース型</x:v>
      </x:c>
      <x:c r="G28" s="23" t="str">
        <x:v>丘陵エース / スプリントトレイン / 石畳護衛</x:v>
      </x:c>
      <x:c r="H28" s="23" t="str">
        <x:v>悪路ライン</x:v>
      </x:c>
      <x:c r="I28" s="23" t="str">
        <x:v>前方進入</x:v>
      </x:c>
      <x:c r="J28" s="23" t="str">
        <x:v>衝撃吸収</x:v>
      </x:c>
      <x:c r="K28" s="23" t="str">
        <x:v>悪路アタック</x:v>
      </x:c>
      <x:c r="L28" s="23" t="str">
        <x:v>石畳加速</x:v>
      </x:c>
      <x:c r="M28" s="23" t="str">
        <x:v>石畳槍の射程</x:v>
      </x:c>
    </x:row>
    <x:row r="29" ht="40" customHeight="1">
      <x:c r="A29" s="23" t="str">
        <x:v>現役</x:v>
      </x:c>
      <x:c r="B29" s="26" t="n">
        <x:v>25</x:v>
      </x:c>
      <x:c r="C29" s="23" t="str">
        <x:v>Warren Barguil</x:v>
      </x:c>
      <x:c r="D29" s="23" t="str">
        <x:v>クライマー</x:v>
      </x:c>
      <x:c r="E29" s="23" t="str">
        <x:v>パンチャー</x:v>
      </x:c>
      <x:c r="F29" s="23" t="str">
        <x:v>エース型</x:v>
      </x:c>
      <x:c r="G29" s="23" t="str">
        <x:v>山岳エース / 山岳アシスト / 山岳番手</x:v>
      </x:c>
      <x:c r="H29" s="23" t="str">
        <x:v>急勾配対応</x:v>
      </x:c>
      <x:c r="I29" s="23" t="str">
        <x:v>登坂リズム</x:v>
      </x:c>
      <x:c r="J29" s="23" t="str">
        <x:v>山岳待機</x:v>
      </x:c>
      <x:c r="K29" s="23" t="str">
        <x:v>登坂ペースアップ</x:v>
      </x:c>
      <x:c r="L29" s="23" t="str">
        <x:v>最後の山岳牽引</x:v>
      </x:c>
      <x:c r="M29" s="23" t="str">
        <x:v>山猫の頂上</x:v>
      </x:c>
    </x:row>
    <x:row r="30" ht="40" customHeight="1">
      <x:c r="A30" s="23" t="str">
        <x:v>現役</x:v>
      </x:c>
      <x:c r="B30" s="26" t="n">
        <x:v>26</x:v>
      </x:c>
      <x:c r="C30" s="23" t="str">
        <x:v>Maxim Van Gils</x:v>
      </x:c>
      <x:c r="D30" s="23" t="str">
        <x:v>パンチャー</x:v>
      </x:c>
      <x:c r="E30" s="23" t="str">
        <x:v>クライマー</x:v>
      </x:c>
      <x:c r="F30" s="23" t="str">
        <x:v>エース型</x:v>
      </x:c>
      <x:c r="G30" s="23" t="str">
        <x:v>丘陵エース / ステージハンター / 山岳賞ハンター</x:v>
      </x:c>
      <x:c r="H30" s="23" t="str">
        <x:v>仕掛け待ち</x:v>
      </x:c>
      <x:c r="I30" s="23" t="str">
        <x:v>短坂対応</x:v>
      </x:c>
      <x:c r="J30" s="23" t="str">
        <x:v>丘陵リズム</x:v>
      </x:c>
      <x:c r="K30" s="23" t="str">
        <x:v>丘陵加速</x:v>
      </x:c>
      <x:c r="L30" s="23" t="str">
        <x:v>短坂アタック</x:v>
      </x:c>
      <x:c r="M30" s="23" t="str">
        <x:v>パンチ砲の一閃</x:v>
      </x:c>
    </x:row>
    <x:row r="31" ht="40" customHeight="1">
      <x:c r="A31" s="23" t="str">
        <x:v>現役</x:v>
      </x:c>
      <x:c r="B31" s="26" t="n">
        <x:v>27</x:v>
      </x:c>
      <x:c r="C31" s="23" t="str">
        <x:v>Pascal Ackermann</x:v>
      </x:c>
      <x:c r="D31" s="23" t="str">
        <x:v>スプリンター</x:v>
      </x:c>
      <x:c r="E31" s="23" t="str">
        <x:v>TT・ルーラー型</x:v>
      </x:c>
      <x:c r="F31" s="23" t="str">
        <x:v>エース型</x:v>
      </x:c>
      <x:c r="G31" s="23" t="str">
        <x:v>スプリントエース / リードアウト / 最終発射台</x:v>
      </x:c>
      <x:c r="H31" s="23" t="str">
        <x:v>車輪キープ</x:v>
      </x:c>
      <x:c r="I31" s="23" t="str">
        <x:v>ポジション確保</x:v>
      </x:c>
      <x:c r="J31" s="23" t="str">
        <x:v>巡航温存</x:v>
      </x:c>
      <x:c r="K31" s="23" t="str">
        <x:v>高速リードアウト</x:v>
      </x:c>
      <x:c r="L31" s="23" t="str">
        <x:v>平坦カウンター</x:v>
      </x:c>
      <x:c r="M31" s="23" t="str">
        <x:v>急行の最終便</x:v>
      </x:c>
    </x:row>
    <x:row r="32" ht="40" customHeight="1">
      <x:c r="A32" s="23" t="str">
        <x:v>現役</x:v>
      </x:c>
      <x:c r="B32" s="26" t="n">
        <x:v>28</x:v>
      </x:c>
      <x:c r="C32" s="23" t="str">
        <x:v>Giulio Ciccone</x:v>
      </x:c>
      <x:c r="D32" s="23" t="str">
        <x:v>クライマー</x:v>
      </x:c>
      <x:c r="E32" s="23" t="str">
        <x:v>パンチャー</x:v>
      </x:c>
      <x:c r="F32" s="23" t="str">
        <x:v>エース型</x:v>
      </x:c>
      <x:c r="G32" s="23" t="str">
        <x:v>山岳エース / 山岳アシスト / 山岳ペースメーカー</x:v>
      </x:c>
      <x:c r="H32" s="23" t="str">
        <x:v>急勾配対応</x:v>
      </x:c>
      <x:c r="I32" s="23" t="str">
        <x:v>登坂リズム</x:v>
      </x:c>
      <x:c r="J32" s="23" t="str">
        <x:v>山岳待機</x:v>
      </x:c>
      <x:c r="K32" s="23" t="str">
        <x:v>登坂ペースアップ</x:v>
      </x:c>
      <x:c r="L32" s="23" t="str">
        <x:v>頂上前加速</x:v>
      </x:c>
      <x:c r="M32" s="23" t="str">
        <x:v>山岳狩人の牙</x:v>
      </x:c>
    </x:row>
    <x:row r="33" ht="40" customHeight="1">
      <x:c r="A33" s="23" t="str">
        <x:v>現役</x:v>
      </x:c>
      <x:c r="B33" s="26" t="n">
        <x:v>29</x:v>
      </x:c>
      <x:c r="C33" s="23" t="str">
        <x:v>Jai Hindley</x:v>
      </x:c>
      <x:c r="D33" s="23" t="str">
        <x:v>総合型</x:v>
      </x:c>
      <x:c r="E33" s="23" t="str">
        <x:v>クライマー</x:v>
      </x:c>
      <x:c r="F33" s="23" t="str">
        <x:v>エース型</x:v>
      </x:c>
      <x:c r="G33" s="23" t="str">
        <x:v>総合エース / 山岳賞ハンター / 山岳アシスト</x:v>
      </x:c>
      <x:c r="H33" s="23" t="str">
        <x:v>急勾配対応</x:v>
      </x:c>
      <x:c r="I33" s="23" t="str">
        <x:v>登坂リズム</x:v>
      </x:c>
      <x:c r="J33" s="23" t="str">
        <x:v>山岳待機</x:v>
      </x:c>
      <x:c r="K33" s="23" t="str">
        <x:v>登坂ペースアップ</x:v>
      </x:c>
      <x:c r="L33" s="23" t="str">
        <x:v>頂上前加速</x:v>
      </x:c>
      <x:c r="M33" s="23" t="str">
        <x:v>航海士の登坂路</x:v>
      </x:c>
    </x:row>
    <x:row r="34" ht="40" customHeight="1">
      <x:c r="A34" s="23" t="str">
        <x:v>現役</x:v>
      </x:c>
      <x:c r="B34" s="26" t="n">
        <x:v>30</x:v>
      </x:c>
      <x:c r="C34" s="23" t="str">
        <x:v>Matej Mohoric</x:v>
      </x:c>
      <x:c r="D34" s="23" t="str">
        <x:v>クラシック型</x:v>
      </x:c>
      <x:c r="E34" s="23" t="str">
        <x:v>パンチャー</x:v>
      </x:c>
      <x:c r="F34" s="23" t="str">
        <x:v>エース型</x:v>
      </x:c>
      <x:c r="G34" s="23" t="str">
        <x:v>丘陵エース / 石畳護衛 / 下り牽引</x:v>
      </x:c>
      <x:c r="H34" s="23" t="str">
        <x:v>安全誘導</x:v>
      </x:c>
      <x:c r="I34" s="23" t="str">
        <x:v>高速コーナリング</x:v>
      </x:c>
      <x:c r="J34" s="23" t="str">
        <x:v>ポジション確保</x:v>
      </x:c>
      <x:c r="K34" s="23" t="str">
        <x:v>ダウンヒル牽引</x:v>
      </x:c>
      <x:c r="L34" s="23" t="str">
        <x:v>下りアタック</x:v>
      </x:c>
      <x:c r="M34" s="23" t="str">
        <x:v>異端児の下降線</x:v>
      </x:c>
    </x:row>
    <x:row r="35" ht="40" customHeight="1">
      <x:c r="A35" s="23" t="str">
        <x:v>現役</x:v>
      </x:c>
      <x:c r="B35" s="26" t="n">
        <x:v>31</x:v>
      </x:c>
      <x:c r="C35" s="23" t="str">
        <x:v>David Gaudu</x:v>
      </x:c>
      <x:c r="D35" s="23" t="str">
        <x:v>クライマー</x:v>
      </x:c>
      <x:c r="E35" s="23" t="str">
        <x:v>総合型</x:v>
      </x:c>
      <x:c r="F35" s="23" t="str">
        <x:v>エース型</x:v>
      </x:c>
      <x:c r="G35" s="23" t="str">
        <x:v>山岳エース / 山岳賞ハンター / 山岳アシスト</x:v>
      </x:c>
      <x:c r="H35" s="23" t="str">
        <x:v>急勾配対応</x:v>
      </x:c>
      <x:c r="I35" s="23" t="str">
        <x:v>登坂リズム</x:v>
      </x:c>
      <x:c r="J35" s="23" t="str">
        <x:v>山岳待機</x:v>
      </x:c>
      <x:c r="K35" s="23" t="str">
        <x:v>登坂ペースアップ</x:v>
      </x:c>
      <x:c r="L35" s="23" t="str">
        <x:v>頂上前加速</x:v>
      </x:c>
      <x:c r="M35" s="23" t="str">
        <x:v>山岳剣の頂上戦</x:v>
      </x:c>
    </x:row>
    <x:row r="36" ht="40" customHeight="1">
      <x:c r="A36" s="23" t="str">
        <x:v>現役</x:v>
      </x:c>
      <x:c r="B36" s="26" t="n">
        <x:v>32</x:v>
      </x:c>
      <x:c r="C36" s="23" t="str">
        <x:v>Tiesj Benoot</x:v>
      </x:c>
      <x:c r="D36" s="23" t="str">
        <x:v>クラシック型</x:v>
      </x:c>
      <x:c r="E36" s="23" t="str">
        <x:v>パンチャー</x:v>
      </x:c>
      <x:c r="F36" s="23" t="str">
        <x:v>エース型</x:v>
      </x:c>
      <x:c r="G36" s="23" t="str">
        <x:v>丘陵エース / 石畳護衛 / 横風要員</x:v>
      </x:c>
      <x:c r="H36" s="23" t="str">
        <x:v>仕掛け待ち</x:v>
      </x:c>
      <x:c r="I36" s="23" t="str">
        <x:v>ポジション確保</x:v>
      </x:c>
      <x:c r="J36" s="23" t="str">
        <x:v>悪路ライン</x:v>
      </x:c>
      <x:c r="K36" s="23" t="str">
        <x:v>短坂アタック</x:v>
      </x:c>
      <x:c r="L36" s="23" t="str">
        <x:v>平坦カウンター</x:v>
      </x:c>
      <x:c r="M36" s="23" t="str">
        <x:v>闘犬の追走</x:v>
      </x:c>
    </x:row>
    <x:row r="37" ht="40" customHeight="1">
      <x:c r="A37" s="23" t="str">
        <x:v>現役</x:v>
      </x:c>
      <x:c r="B37" s="26" t="n">
        <x:v>33</x:v>
      </x:c>
      <x:c r="C37" s="23" t="str">
        <x:v>Valentin Madouas</x:v>
      </x:c>
      <x:c r="D37" s="23" t="str">
        <x:v>パンチャー</x:v>
      </x:c>
      <x:c r="E37" s="23" t="str">
        <x:v>クラシック型</x:v>
      </x:c>
      <x:c r="F37" s="23" t="str">
        <x:v>エース型</x:v>
      </x:c>
      <x:c r="G37" s="23" t="str">
        <x:v>丘陵エース / ステージハンター / 下り牽引</x:v>
      </x:c>
      <x:c r="H37" s="23" t="str">
        <x:v>仕掛け待ち</x:v>
      </x:c>
      <x:c r="I37" s="23" t="str">
        <x:v>短坂対応</x:v>
      </x:c>
      <x:c r="J37" s="23" t="str">
        <x:v>丘陵リズム</x:v>
      </x:c>
      <x:c r="K37" s="23" t="str">
        <x:v>丘陵加速</x:v>
      </x:c>
      <x:c r="L37" s="23" t="str">
        <x:v>短坂アタック</x:v>
      </x:c>
      <x:c r="M37" s="23" t="str">
        <x:v>閃光の残像</x:v>
      </x:c>
    </x:row>
    <x:row r="38" ht="40" customHeight="1">
      <x:c r="A38" s="23" t="str">
        <x:v>現役</x:v>
      </x:c>
      <x:c r="B38" s="26" t="n">
        <x:v>34</x:v>
      </x:c>
      <x:c r="C38" s="23" t="str">
        <x:v>Florian Lipowitz</x:v>
      </x:c>
      <x:c r="D38" s="23" t="str">
        <x:v>総合型</x:v>
      </x:c>
      <x:c r="E38" s="23" t="str">
        <x:v>クライマー</x:v>
      </x:c>
      <x:c r="F38" s="23" t="str">
        <x:v>エース型</x:v>
      </x:c>
      <x:c r="G38" s="23" t="str">
        <x:v>総合エース / ロードキャプテン / 山岳アシスト</x:v>
      </x:c>
      <x:c r="H38" s="23" t="str">
        <x:v>急勾配対応</x:v>
      </x:c>
      <x:c r="I38" s="23" t="str">
        <x:v>登坂リズム</x:v>
      </x:c>
      <x:c r="J38" s="23" t="str">
        <x:v>山岳待機</x:v>
      </x:c>
      <x:c r="K38" s="23" t="str">
        <x:v>登坂ペースアップ</x:v>
      </x:c>
      <x:c r="L38" s="23" t="str">
        <x:v>隊列再編</x:v>
      </x:c>
      <x:c r="M38" s="23" t="str">
        <x:v>新星の登攀</x:v>
      </x:c>
    </x:row>
    <x:row r="39" ht="40" customHeight="1">
      <x:c r="A39" s="23" t="str">
        <x:v>現役</x:v>
      </x:c>
      <x:c r="B39" s="26" t="n">
        <x:v>35</x:v>
      </x:c>
      <x:c r="C39" s="23" t="str">
        <x:v>Pello Bilbao</x:v>
      </x:c>
      <x:c r="D39" s="23" t="str">
        <x:v>パンチャー</x:v>
      </x:c>
      <x:c r="E39" s="23" t="str">
        <x:v>総合型</x:v>
      </x:c>
      <x:c r="F39" s="23" t="str">
        <x:v>エース型</x:v>
      </x:c>
      <x:c r="G39" s="23" t="str">
        <x:v>丘陵エース / ステージハンター / 下り牽引</x:v>
      </x:c>
      <x:c r="H39" s="23" t="str">
        <x:v>仕掛け待ち</x:v>
      </x:c>
      <x:c r="I39" s="23" t="str">
        <x:v>短坂対応</x:v>
      </x:c>
      <x:c r="J39" s="23" t="str">
        <x:v>安全誘導</x:v>
      </x:c>
      <x:c r="K39" s="23" t="str">
        <x:v>丘陵加速</x:v>
      </x:c>
      <x:c r="L39" s="23" t="str">
        <x:v>短坂アタック</x:v>
      </x:c>
      <x:c r="M39" s="23" t="str">
        <x:v>急降下の勝負線</x:v>
      </x:c>
    </x:row>
    <x:row r="40" ht="40" customHeight="1">
      <x:c r="A40" s="23" t="str">
        <x:v>現役</x:v>
      </x:c>
      <x:c r="B40" s="26" t="n">
        <x:v>36</x:v>
      </x:c>
      <x:c r="C40" s="23" t="str">
        <x:v>Romain Gregoire</x:v>
      </x:c>
      <x:c r="D40" s="23" t="str">
        <x:v>パンチャー</x:v>
      </x:c>
      <x:c r="E40" s="23" t="str">
        <x:v>スプリンター</x:v>
      </x:c>
      <x:c r="F40" s="23" t="str">
        <x:v>エース型</x:v>
      </x:c>
      <x:c r="G40" s="23" t="str">
        <x:v>丘陵エース / ステージハンター / スプリントトレイン</x:v>
      </x:c>
      <x:c r="H40" s="23" t="str">
        <x:v>短坂対応</x:v>
      </x:c>
      <x:c r="I40" s="23" t="str">
        <x:v>仕掛け待ち</x:v>
      </x:c>
      <x:c r="J40" s="23" t="str">
        <x:v>車輪キープ</x:v>
      </x:c>
      <x:c r="K40" s="23" t="str">
        <x:v>丘陵加速</x:v>
      </x:c>
      <x:c r="L40" s="23" t="str">
        <x:v>短坂アタック</x:v>
      </x:c>
      <x:c r="M40" s="23" t="str">
        <x:v>若き拳の連打</x:v>
      </x:c>
    </x:row>
    <x:row r="41" ht="40" customHeight="1">
      <x:c r="A41" s="23" t="str">
        <x:v>現役</x:v>
      </x:c>
      <x:c r="B41" s="26" t="n">
        <x:v>37</x:v>
      </x:c>
      <x:c r="C41" s="23" t="str">
        <x:v>Juan Sebastian Molano</x:v>
      </x:c>
      <x:c r="D41" s="23" t="str">
        <x:v>スプリンター</x:v>
      </x:c>
      <x:c r="E41" s="23" t="str">
        <x:v>TT・ルーラー型</x:v>
      </x:c>
      <x:c r="F41" s="23" t="str">
        <x:v>エース型</x:v>
      </x:c>
      <x:c r="G41" s="23" t="str">
        <x:v>スプリントエース / リードアウト / 最終発射台</x:v>
      </x:c>
      <x:c r="H41" s="23" t="str">
        <x:v>車輪キープ</x:v>
      </x:c>
      <x:c r="I41" s="23" t="str">
        <x:v>ポジション確保</x:v>
      </x:c>
      <x:c r="J41" s="23" t="str">
        <x:v>巡航温存</x:v>
      </x:c>
      <x:c r="K41" s="23" t="str">
        <x:v>高速リードアウト</x:v>
      </x:c>
      <x:c r="L41" s="23" t="str">
        <x:v>平坦カウンター</x:v>
      </x:c>
      <x:c r="M41" s="23" t="str">
        <x:v>快速弾の発射</x:v>
      </x:c>
    </x:row>
    <x:row r="42" ht="40" customHeight="1">
      <x:c r="A42" s="23" t="str">
        <x:v>現役</x:v>
      </x:c>
      <x:c r="B42" s="26" t="n">
        <x:v>38</x:v>
      </x:c>
      <x:c r="C42" s="23" t="str">
        <x:v>Jhonatan Narvaez</x:v>
      </x:c>
      <x:c r="D42" s="23" t="str">
        <x:v>パンチャー</x:v>
      </x:c>
      <x:c r="E42" s="23" t="str">
        <x:v>クラシック型</x:v>
      </x:c>
      <x:c r="F42" s="23" t="str">
        <x:v>エース型</x:v>
      </x:c>
      <x:c r="G42" s="23" t="str">
        <x:v>丘陵エース / ステージハンター / 下り牽引</x:v>
      </x:c>
      <x:c r="H42" s="23" t="str">
        <x:v>仕掛け待ち</x:v>
      </x:c>
      <x:c r="I42" s="23" t="str">
        <x:v>短坂対応</x:v>
      </x:c>
      <x:c r="J42" s="23" t="str">
        <x:v>丘陵リズム</x:v>
      </x:c>
      <x:c r="K42" s="23" t="str">
        <x:v>丘陵加速</x:v>
      </x:c>
      <x:c r="L42" s="23" t="str">
        <x:v>短坂アタック</x:v>
      </x:c>
      <x:c r="M42" s="23" t="str">
        <x:v>パンチ砲の連撃</x:v>
      </x:c>
    </x:row>
    <x:row r="43" ht="40" customHeight="1">
      <x:c r="A43" s="23" t="str">
        <x:v>現役</x:v>
      </x:c>
      <x:c r="B43" s="26" t="n">
        <x:v>39</x:v>
      </x:c>
      <x:c r="C43" s="23" t="str">
        <x:v>Felix Gall</x:v>
      </x:c>
      <x:c r="D43" s="23" t="str">
        <x:v>クライマー</x:v>
      </x:c>
      <x:c r="E43" s="23" t="str">
        <x:v>総合型</x:v>
      </x:c>
      <x:c r="F43" s="23" t="str">
        <x:v>エース型</x:v>
      </x:c>
      <x:c r="G43" s="23" t="str">
        <x:v>山岳エース / 山岳アシスト / 山岳番手</x:v>
      </x:c>
      <x:c r="H43" s="23" t="str">
        <x:v>急勾配対応</x:v>
      </x:c>
      <x:c r="I43" s="23" t="str">
        <x:v>登坂リズム</x:v>
      </x:c>
      <x:c r="J43" s="23" t="str">
        <x:v>山岳待機</x:v>
      </x:c>
      <x:c r="K43" s="23" t="str">
        <x:v>登坂ペースアップ</x:v>
      </x:c>
      <x:c r="L43" s="23" t="str">
        <x:v>最後の山岳牽引</x:v>
      </x:c>
      <x:c r="M43" s="23" t="str">
        <x:v>登坂者の耐久戦</x:v>
      </x:c>
    </x:row>
    <x:row r="44" ht="40" customHeight="1">
      <x:c r="A44" s="23" t="str">
        <x:v>現役</x:v>
      </x:c>
      <x:c r="B44" s="26" t="n">
        <x:v>40</x:v>
      </x:c>
      <x:c r="C44" s="23" t="str">
        <x:v>Jordi Meeus</x:v>
      </x:c>
      <x:c r="D44" s="23" t="str">
        <x:v>スプリンター</x:v>
      </x:c>
      <x:c r="E44" s="23" t="str">
        <x:v>クラシック型</x:v>
      </x:c>
      <x:c r="F44" s="23" t="str">
        <x:v>エース型</x:v>
      </x:c>
      <x:c r="G44" s="23" t="str">
        <x:v>スプリントエース / リードアウト / 最終発射台</x:v>
      </x:c>
      <x:c r="H44" s="23" t="str">
        <x:v>車輪キープ</x:v>
      </x:c>
      <x:c r="I44" s="23" t="str">
        <x:v>ポジション確保</x:v>
      </x:c>
      <x:c r="J44" s="23" t="str">
        <x:v>前方進入</x:v>
      </x:c>
      <x:c r="K44" s="23" t="str">
        <x:v>高速リードアウト</x:v>
      </x:c>
      <x:c r="L44" s="23" t="str">
        <x:v>平坦カウンター</x:v>
      </x:c>
      <x:c r="M44" s="23" t="str">
        <x:v>突風の直線</x:v>
      </x:c>
    </x:row>
    <x:row r="45" ht="40" customHeight="1">
      <x:c r="A45" s="23" t="str">
        <x:v>現役</x:v>
      </x:c>
      <x:c r="B45" s="26" t="n">
        <x:v>41</x:v>
      </x:c>
      <x:c r="C45" s="23" t="str">
        <x:v>Tim Merlier</x:v>
      </x:c>
      <x:c r="D45" s="23" t="str">
        <x:v>スプリンター</x:v>
      </x:c>
      <x:c r="E45" s="23" t="str">
        <x:v>クラシック型</x:v>
      </x:c>
      <x:c r="F45" s="23" t="str">
        <x:v>エース型</x:v>
      </x:c>
      <x:c r="G45" s="23" t="str">
        <x:v>スプリントエース / ステージハンター / 最終発射台</x:v>
      </x:c>
      <x:c r="H45" s="23" t="str">
        <x:v>車輪キープ</x:v>
      </x:c>
      <x:c r="I45" s="23" t="str">
        <x:v>ポジション確保</x:v>
      </x:c>
      <x:c r="J45" s="23" t="str">
        <x:v>巡航温存</x:v>
      </x:c>
      <x:c r="K45" s="23" t="str">
        <x:v>高速巡航</x:v>
      </x:c>
      <x:c r="L45" s="23" t="str">
        <x:v>平坦カウンター</x:v>
      </x:c>
      <x:c r="M45" s="23" t="str">
        <x:v>石畳王の号砲</x:v>
      </x:c>
    </x:row>
    <x:row r="46" ht="40" customHeight="1">
      <x:c r="A46" s="23" t="str">
        <x:v>現役</x:v>
      </x:c>
      <x:c r="B46" s="26" t="n">
        <x:v>42</x:v>
      </x:c>
      <x:c r="C46" s="23" t="str">
        <x:v>Antonio Tiberi</x:v>
      </x:c>
      <x:c r="D46" s="23" t="str">
        <x:v>総合型</x:v>
      </x:c>
      <x:c r="E46" s="23" t="str">
        <x:v>TT・ルーラー型</x:v>
      </x:c>
      <x:c r="F46" s="23" t="str">
        <x:v>エース型</x:v>
      </x:c>
      <x:c r="G46" s="23" t="str">
        <x:v>総合エース / ロードキャプテン / 山岳アシスト</x:v>
      </x:c>
      <x:c r="H46" s="23" t="str">
        <x:v>急勾配対応</x:v>
      </x:c>
      <x:c r="I46" s="23" t="str">
        <x:v>登坂リズム</x:v>
      </x:c>
      <x:c r="J46" s="23" t="str">
        <x:v>山岳待機</x:v>
      </x:c>
      <x:c r="K46" s="23" t="str">
        <x:v>登坂ペースアップ</x:v>
      </x:c>
      <x:c r="L46" s="23" t="str">
        <x:v>隊列再編</x:v>
      </x:c>
      <x:c r="M46" s="23" t="str">
        <x:v>計算者の方程式</x:v>
      </x:c>
    </x:row>
    <x:row r="47" ht="40" customHeight="1">
      <x:c r="A47" s="23" t="str">
        <x:v>現役</x:v>
      </x:c>
      <x:c r="B47" s="26" t="n">
        <x:v>43</x:v>
      </x:c>
      <x:c r="C47" s="23" t="str">
        <x:v>Oscar Onley</x:v>
      </x:c>
      <x:c r="D47" s="23" t="str">
        <x:v>パンチャー</x:v>
      </x:c>
      <x:c r="E47" s="23" t="str">
        <x:v>クライマー</x:v>
      </x:c>
      <x:c r="F47" s="23" t="str">
        <x:v>エース型</x:v>
      </x:c>
      <x:c r="G47" s="23" t="str">
        <x:v>丘陵エース / ステージハンター / 山岳賞ハンター</x:v>
      </x:c>
      <x:c r="H47" s="23" t="str">
        <x:v>短坂対応</x:v>
      </x:c>
      <x:c r="I47" s="23" t="str">
        <x:v>仕掛け待ち</x:v>
      </x:c>
      <x:c r="J47" s="23" t="str">
        <x:v>丘陵リズム</x:v>
      </x:c>
      <x:c r="K47" s="23" t="str">
        <x:v>丘陵加速</x:v>
      </x:c>
      <x:c r="L47" s="23" t="str">
        <x:v>短坂アタック</x:v>
      </x:c>
      <x:c r="M47" s="23" t="str">
        <x:v>山岳拳の一撃</x:v>
      </x:c>
    </x:row>
    <x:row r="48" ht="40" customHeight="1">
      <x:c r="A48" s="23" t="str">
        <x:v>現役</x:v>
      </x:c>
      <x:c r="B48" s="26" t="n">
        <x:v>44</x:v>
      </x:c>
      <x:c r="C48" s="23" t="str">
        <x:v>Benoit Cosnefroy</x:v>
      </x:c>
      <x:c r="D48" s="23" t="str">
        <x:v>パンチャー</x:v>
      </x:c>
      <x:c r="E48" s="23" t="str">
        <x:v>スプリンター</x:v>
      </x:c>
      <x:c r="F48" s="23" t="str">
        <x:v>エース型</x:v>
      </x:c>
      <x:c r="G48" s="23" t="str">
        <x:v>丘陵エース / ステージハンター / スプリントトレイン</x:v>
      </x:c>
      <x:c r="H48" s="23" t="str">
        <x:v>短坂対応</x:v>
      </x:c>
      <x:c r="I48" s="23" t="str">
        <x:v>仕掛け待ち</x:v>
      </x:c>
      <x:c r="J48" s="23" t="str">
        <x:v>車輪キープ</x:v>
      </x:c>
      <x:c r="K48" s="23" t="str">
        <x:v>丘陵加速</x:v>
      </x:c>
      <x:c r="L48" s="23" t="str">
        <x:v>短坂アタック</x:v>
      </x:c>
      <x:c r="M48" s="23" t="str">
        <x:v>速射砲の連射</x:v>
      </x:c>
    </x:row>
    <x:row r="49" ht="40" customHeight="1">
      <x:c r="A49" s="23" t="str">
        <x:v>現役</x:v>
      </x:c>
      <x:c r="B49" s="26" t="n">
        <x:v>45</x:v>
      </x:c>
      <x:c r="C49" s="23" t="str">
        <x:v>Mads Pedersen</x:v>
      </x:c>
      <x:c r="D49" s="23" t="str">
        <x:v>スプリンター</x:v>
      </x:c>
      <x:c r="E49" s="23" t="str">
        <x:v>パンチャー</x:v>
      </x:c>
      <x:c r="F49" s="23" t="str">
        <x:v>エース型</x:v>
      </x:c>
      <x:c r="G49" s="23" t="str">
        <x:v>スプリントエース / 丘陵エース / ステージハンター</x:v>
      </x:c>
      <x:c r="H49" s="23" t="str">
        <x:v>車輪キープ</x:v>
      </x:c>
      <x:c r="I49" s="23" t="str">
        <x:v>仕掛け待ち</x:v>
      </x:c>
      <x:c r="J49" s="23" t="str">
        <x:v>登坂リズム</x:v>
      </x:c>
      <x:c r="K49" s="23" t="str">
        <x:v>丘陵加速</x:v>
      </x:c>
      <x:c r="L49" s="23" t="str">
        <x:v>高速巡航</x:v>
      </x:c>
      <x:c r="M49" s="23" t="str">
        <x:v>暴風の登坂スプリント</x:v>
      </x:c>
    </x:row>
    <x:row r="50" ht="40" customHeight="1">
      <x:c r="A50" s="23" t="str">
        <x:v>現役</x:v>
      </x:c>
      <x:c r="B50" s="26" t="n">
        <x:v>46</x:v>
      </x:c>
      <x:c r="C50" s="23" t="str">
        <x:v>Daniel Martínez</x:v>
      </x:c>
      <x:c r="D50" s="23" t="str">
        <x:v>総合型</x:v>
      </x:c>
      <x:c r="E50" s="23" t="str">
        <x:v>スプリンター</x:v>
      </x:c>
      <x:c r="F50" s="23" t="str">
        <x:v>アシスト型</x:v>
      </x:c>
      <x:c r="G50" s="23" t="str">
        <x:v>ロードキャプテン / スプリントトレイン / 平坦アシスト</x:v>
      </x:c>
      <x:c r="H50" s="23" t="str">
        <x:v>山岳ガード</x:v>
      </x:c>
      <x:c r="I50" s="23" t="str">
        <x:v>山岳牽引</x:v>
      </x:c>
      <x:c r="J50" s="23" t="str">
        <x:v>山岳番手</x:v>
      </x:c>
      <x:c r="K50" s="23" t="str">
        <x:v>山岳先導</x:v>
      </x:c>
      <x:c r="L50" s="23" t="str">
        <x:v>山岳風よけ</x:v>
      </x:c>
      <x:c r="M50" s="23" t="str">
        <x:v>緊急再編</x:v>
      </x:c>
    </x:row>
    <x:row r="51" ht="40" customHeight="1">
      <x:c r="A51" s="23" t="str">
        <x:v>現役</x:v>
      </x:c>
      <x:c r="B51" s="26" t="n">
        <x:v>47</x:v>
      </x:c>
      <x:c r="C51" s="23" t="str">
        <x:v>Guillaume Martin</x:v>
      </x:c>
      <x:c r="D51" s="23" t="str">
        <x:v>クライマー</x:v>
      </x:c>
      <x:c r="E51" s="23" t="str">
        <x:v>総合型</x:v>
      </x:c>
      <x:c r="F51" s="23" t="str">
        <x:v>エース型</x:v>
      </x:c>
      <x:c r="G51" s="23" t="str">
        <x:v>山岳エース / 山岳賞ハンター / 山岳アシスト</x:v>
      </x:c>
      <x:c r="H51" s="23" t="str">
        <x:v>急勾配対応</x:v>
      </x:c>
      <x:c r="I51" s="23" t="str">
        <x:v>登坂リズム</x:v>
      </x:c>
      <x:c r="J51" s="23" t="str">
        <x:v>山岳待機</x:v>
      </x:c>
      <x:c r="K51" s="23" t="str">
        <x:v>登坂ペースアップ</x:v>
      </x:c>
      <x:c r="L51" s="23" t="str">
        <x:v>頂上前加速</x:v>
      </x:c>
      <x:c r="M51" s="23" t="str">
        <x:v>哲学者の選択</x:v>
      </x:c>
    </x:row>
    <x:row r="52" ht="40" customHeight="1">
      <x:c r="A52" s="23" t="str">
        <x:v>現役</x:v>
      </x:c>
      <x:c r="B52" s="26" t="n">
        <x:v>48</x:v>
      </x:c>
      <x:c r="C52" s="23" t="str">
        <x:v>Giulio Pellizzari</x:v>
      </x:c>
      <x:c r="D52" s="23" t="str">
        <x:v>クライマー</x:v>
      </x:c>
      <x:c r="E52" s="23" t="str">
        <x:v>総合型</x:v>
      </x:c>
      <x:c r="F52" s="23" t="str">
        <x:v>エース型</x:v>
      </x:c>
      <x:c r="G52" s="23" t="str">
        <x:v>山岳エース / 山岳賞ハンター / 山岳アシスト</x:v>
      </x:c>
      <x:c r="H52" s="23" t="str">
        <x:v>急勾配対応</x:v>
      </x:c>
      <x:c r="I52" s="23" t="str">
        <x:v>登坂リズム</x:v>
      </x:c>
      <x:c r="J52" s="23" t="str">
        <x:v>山岳待機</x:v>
      </x:c>
      <x:c r="K52" s="23" t="str">
        <x:v>登坂ペースアップ</x:v>
      </x:c>
      <x:c r="L52" s="23" t="str">
        <x:v>頂上前加速</x:v>
      </x:c>
      <x:c r="M52" s="23" t="str">
        <x:v>新星の上昇</x:v>
      </x:c>
    </x:row>
    <x:row r="53" ht="40" customHeight="1">
      <x:c r="A53" s="23" t="str">
        <x:v>現役</x:v>
      </x:c>
      <x:c r="B53" s="26" t="n">
        <x:v>49</x:v>
      </x:c>
      <x:c r="C53" s="23" t="str">
        <x:v>Enric Mas</x:v>
      </x:c>
      <x:c r="D53" s="23" t="str">
        <x:v>総合型</x:v>
      </x:c>
      <x:c r="E53" s="23" t="str">
        <x:v>クライマー</x:v>
      </x:c>
      <x:c r="F53" s="23" t="str">
        <x:v>エース型</x:v>
      </x:c>
      <x:c r="G53" s="23" t="str">
        <x:v>総合エース / ロードキャプテン / 山岳アシスト</x:v>
      </x:c>
      <x:c r="H53" s="23" t="str">
        <x:v>急勾配対応</x:v>
      </x:c>
      <x:c r="I53" s="23" t="str">
        <x:v>登坂リズム</x:v>
      </x:c>
      <x:c r="J53" s="23" t="str">
        <x:v>山岳待機</x:v>
      </x:c>
      <x:c r="K53" s="23" t="str">
        <x:v>登坂ペースアップ</x:v>
      </x:c>
      <x:c r="L53" s="23" t="str">
        <x:v>隊列再編</x:v>
      </x:c>
      <x:c r="M53" s="23" t="str">
        <x:v>山岳騎士の圧力</x:v>
      </x:c>
    </x:row>
    <x:row r="54" ht="40" customHeight="1">
      <x:c r="A54" s="23" t="str">
        <x:v>現役</x:v>
      </x:c>
      <x:c r="B54" s="26" t="n">
        <x:v>50</x:v>
      </x:c>
      <x:c r="C54" s="23" t="str">
        <x:v>Hugo Houle</x:v>
      </x:c>
      <x:c r="D54" s="23" t="str">
        <x:v>総合型</x:v>
      </x:c>
      <x:c r="E54" s="23" t="str">
        <x:v>スプリンター</x:v>
      </x:c>
      <x:c r="F54" s="23" t="str">
        <x:v>アシスト型</x:v>
      </x:c>
      <x:c r="G54" s="23" t="str">
        <x:v>山岳賞ハンター / スプリントトレイン / 平坦アシスト</x:v>
      </x:c>
      <x:c r="H54" s="23" t="str">
        <x:v>山岳牽引</x:v>
      </x:c>
      <x:c r="I54" s="23" t="str">
        <x:v>山岳ガード</x:v>
      </x:c>
      <x:c r="J54" s="23" t="str">
        <x:v>山岳番手</x:v>
      </x:c>
      <x:c r="K54" s="23" t="str">
        <x:v>山岳先導</x:v>
      </x:c>
      <x:c r="L54" s="23" t="str">
        <x:v>山岳風よけ</x:v>
      </x:c>
      <x:c r="M54" s="23" t="str">
        <x:v>全開牽引</x:v>
      </x:c>
    </x:row>
    <x:row r="55" ht="40" customHeight="1">
      <x:c r="A55" s="23" t="str">
        <x:v>現役</x:v>
      </x:c>
      <x:c r="B55" s="26" t="n">
        <x:v>51</x:v>
      </x:c>
      <x:c r="C55" s="23" t="str">
        <x:v>Joshua Tarling</x:v>
      </x:c>
      <x:c r="D55" s="23" t="str">
        <x:v>TT・ルーラー型</x:v>
      </x:c>
      <x:c r="E55" s="23" t="str">
        <x:v>クラシック型</x:v>
      </x:c>
      <x:c r="F55" s="23" t="str">
        <x:v>アシスト型</x:v>
      </x:c>
      <x:c r="G55" s="23" t="str">
        <x:v>サブエース / TTスペシャリスト / 平坦アシスト</x:v>
      </x:c>
      <x:c r="H55" s="23" t="str">
        <x:v>平坦牽引</x:v>
      </x:c>
      <x:c r="I55" s="23" t="str">
        <x:v>風よけ</x:v>
      </x:c>
      <x:c r="J55" s="23" t="str">
        <x:v>前方誘導</x:v>
      </x:c>
      <x:c r="K55" s="23" t="str">
        <x:v>ローテーション牽引</x:v>
      </x:c>
      <x:c r="L55" s="23" t="str">
        <x:v>高速牽引</x:v>
      </x:c>
      <x:c r="M55" s="23" t="str">
        <x:v>全開牽引</x:v>
      </x:c>
    </x:row>
    <x:row r="56" ht="40" customHeight="1">
      <x:c r="A56" s="23" t="str">
        <x:v>現役</x:v>
      </x:c>
      <x:c r="B56" s="26" t="n">
        <x:v>52</x:v>
      </x:c>
      <x:c r="C56" s="23" t="str">
        <x:v>John Degenkolb</x:v>
      </x:c>
      <x:c r="D56" s="23" t="str">
        <x:v>クラシック型</x:v>
      </x:c>
      <x:c r="E56" s="23" t="str">
        <x:v>パンチャー</x:v>
      </x:c>
      <x:c r="F56" s="23" t="str">
        <x:v>エース型</x:v>
      </x:c>
      <x:c r="G56" s="23" t="str">
        <x:v>丘陵エース / 石畳護衛 / 横風要員</x:v>
      </x:c>
      <x:c r="H56" s="23" t="str">
        <x:v>悪路ライン</x:v>
      </x:c>
      <x:c r="I56" s="23" t="str">
        <x:v>衝撃吸収</x:v>
      </x:c>
      <x:c r="J56" s="23" t="str">
        <x:v>前方進入</x:v>
      </x:c>
      <x:c r="K56" s="23" t="str">
        <x:v>悪路アタック</x:v>
      </x:c>
      <x:c r="L56" s="23" t="str">
        <x:v>石畳加速</x:v>
      </x:c>
      <x:c r="M56" s="23" t="str">
        <x:v>重戦車の粉砕</x:v>
      </x:c>
    </x:row>
    <x:row r="57" ht="40" customHeight="1">
      <x:c r="A57" s="23" t="str">
        <x:v>現役</x:v>
      </x:c>
      <x:c r="B57" s="26" t="n">
        <x:v>53</x:v>
      </x:c>
      <x:c r="C57" s="23" t="str">
        <x:v>Florian Sénéchal</x:v>
      </x:c>
      <x:c r="D57" s="23" t="str">
        <x:v>クラシック型</x:v>
      </x:c>
      <x:c r="E57" s="23" t="str">
        <x:v>TT・ルーラー型</x:v>
      </x:c>
      <x:c r="F57" s="23" t="str">
        <x:v>アシスト型</x:v>
      </x:c>
      <x:c r="G57" s="23" t="str">
        <x:v>平坦アシスト / 平坦ペースメーカー / TT牽引</x:v>
      </x:c>
      <x:c r="H57" s="23" t="str">
        <x:v>進路確保</x:v>
      </x:c>
      <x:c r="I57" s="23" t="str">
        <x:v>トラブル復帰</x:v>
      </x:c>
      <x:c r="J57" s="23" t="str">
        <x:v>パヴェ護衛</x:v>
      </x:c>
      <x:c r="K57" s="23" t="str">
        <x:v>ライン誘導</x:v>
      </x:c>
      <x:c r="L57" s="23" t="str">
        <x:v>石畳牽引</x:v>
      </x:c>
      <x:c r="M57" s="23" t="str">
        <x:v>クラシック牽引</x:v>
      </x:c>
    </x:row>
    <x:row r="58" ht="40" customHeight="1">
      <x:c r="A58" s="23" t="str">
        <x:v>現役</x:v>
      </x:c>
      <x:c r="B58" s="26" t="n">
        <x:v>54</x:v>
      </x:c>
      <x:c r="C58" s="23" t="str">
        <x:v>Bauke Mollema</x:v>
      </x:c>
      <x:c r="D58" s="23" t="str">
        <x:v>総合型</x:v>
      </x:c>
      <x:c r="E58" s="23" t="str">
        <x:v>スプリンター</x:v>
      </x:c>
      <x:c r="F58" s="23" t="str">
        <x:v>アシスト型</x:v>
      </x:c>
      <x:c r="G58" s="23" t="str">
        <x:v>山岳賞ハンター / スプリントトレイン / 山岳アシスト</x:v>
      </x:c>
      <x:c r="H58" s="23" t="str">
        <x:v>山岳ガード</x:v>
      </x:c>
      <x:c r="I58" s="23" t="str">
        <x:v>山岳牽引</x:v>
      </x:c>
      <x:c r="J58" s="23" t="str">
        <x:v>山岳番手</x:v>
      </x:c>
      <x:c r="K58" s="23" t="str">
        <x:v>登坂チェイス</x:v>
      </x:c>
      <x:c r="L58" s="23" t="str">
        <x:v>山岳先導</x:v>
      </x:c>
      <x:c r="M58" s="23" t="str">
        <x:v>山岳救援</x:v>
      </x:c>
    </x:row>
    <x:row r="59" ht="40" customHeight="1">
      <x:c r="A59" s="23" t="str">
        <x:v>現役</x:v>
      </x:c>
      <x:c r="B59" s="26" t="n">
        <x:v>55</x:v>
      </x:c>
      <x:c r="C59" s="23" t="str">
        <x:v>Victor Campenaerts</x:v>
      </x:c>
      <x:c r="D59" s="23" t="str">
        <x:v>TT・ルーラー型</x:v>
      </x:c>
      <x:c r="E59" s="23" t="str">
        <x:v>クラシック型</x:v>
      </x:c>
      <x:c r="F59" s="23" t="str">
        <x:v>アシスト型</x:v>
      </x:c>
      <x:c r="G59" s="23" t="str">
        <x:v>サブエース / スーパー・ドメスティーク / TTスペシャリスト</x:v>
      </x:c>
      <x:c r="H59" s="23" t="str">
        <x:v>平坦牽引</x:v>
      </x:c>
      <x:c r="I59" s="23" t="str">
        <x:v>風よけ</x:v>
      </x:c>
      <x:c r="J59" s="23" t="str">
        <x:v>前方誘導</x:v>
      </x:c>
      <x:c r="K59" s="23" t="str">
        <x:v>ローテーション牽引</x:v>
      </x:c>
      <x:c r="L59" s="23" t="str">
        <x:v>高速牽引</x:v>
      </x:c>
      <x:c r="M59" s="23" t="str">
        <x:v>全開ブリッジ</x:v>
      </x:c>
    </x:row>
    <x:row r="60" ht="40" customHeight="1">
      <x:c r="A60" s="23" t="str">
        <x:v>現役</x:v>
      </x:c>
      <x:c r="B60" s="26" t="n">
        <x:v>56</x:v>
      </x:c>
      <x:c r="C60" s="23" t="str">
        <x:v>Richard Carapaz</x:v>
      </x:c>
      <x:c r="D60" s="23" t="str">
        <x:v>総合型</x:v>
      </x:c>
      <x:c r="E60" s="23" t="str">
        <x:v>クライマー</x:v>
      </x:c>
      <x:c r="F60" s="23" t="str">
        <x:v>エース型</x:v>
      </x:c>
      <x:c r="G60" s="23" t="str">
        <x:v>総合エース / 山岳賞ハンター / 山岳アシスト</x:v>
      </x:c>
      <x:c r="H60" s="23" t="str">
        <x:v>急勾配対応</x:v>
      </x:c>
      <x:c r="I60" s="23" t="str">
        <x:v>登坂リズム</x:v>
      </x:c>
      <x:c r="J60" s="23" t="str">
        <x:v>山岳待機</x:v>
      </x:c>
      <x:c r="K60" s="23" t="str">
        <x:v>登坂ペースアップ</x:v>
      </x:c>
      <x:c r="L60" s="23" t="str">
        <x:v>頂上前加速</x:v>
      </x:c>
      <x:c r="M60" s="23" t="str">
        <x:v>機関車の奇襲</x:v>
      </x:c>
    </x:row>
    <x:row r="61" ht="40" customHeight="1">
      <x:c r="A61" s="23" t="str">
        <x:v>現役</x:v>
      </x:c>
      <x:c r="B61" s="26" t="n">
        <x:v>57</x:v>
      </x:c>
      <x:c r="C61" s="23" t="str">
        <x:v>George Bennett</x:v>
      </x:c>
      <x:c r="D61" s="23" t="str">
        <x:v>クライマー</x:v>
      </x:c>
      <x:c r="E61" s="23" t="str">
        <x:v>総合型</x:v>
      </x:c>
      <x:c r="F61" s="23" t="str">
        <x:v>アシスト型</x:v>
      </x:c>
      <x:c r="G61" s="23" t="str">
        <x:v>山岳賞ハンター / 山岳アシスト / 山岳番手</x:v>
      </x:c>
      <x:c r="H61" s="23" t="str">
        <x:v>山岳牽引</x:v>
      </x:c>
      <x:c r="I61" s="23" t="str">
        <x:v>山岳ガード</x:v>
      </x:c>
      <x:c r="J61" s="23" t="str">
        <x:v>山岳番手</x:v>
      </x:c>
      <x:c r="K61" s="23" t="str">
        <x:v>山岳先導</x:v>
      </x:c>
      <x:c r="L61" s="23" t="str">
        <x:v>山岳風よけ</x:v>
      </x:c>
      <x:c r="M61" s="23" t="str">
        <x:v>全力献身</x:v>
      </x:c>
    </x:row>
    <x:row r="62" ht="40" customHeight="1">
      <x:c r="A62" s="23" t="str">
        <x:v>現役</x:v>
      </x:c>
      <x:c r="B62" s="26" t="n">
        <x:v>58</x:v>
      </x:c>
      <x:c r="C62" s="23" t="str">
        <x:v>Lennert Van Eetvelt</x:v>
      </x:c>
      <x:c r="D62" s="23" t="str">
        <x:v>総合型</x:v>
      </x:c>
      <x:c r="E62" s="23" t="str">
        <x:v>スプリンター</x:v>
      </x:c>
      <x:c r="F62" s="23" t="str">
        <x:v>アシスト型</x:v>
      </x:c>
      <x:c r="G62" s="23" t="str">
        <x:v>スプリントトレイン / 山岳アシスト / ポジションキーパー</x:v>
      </x:c>
      <x:c r="H62" s="23" t="str">
        <x:v>山岳牽引</x:v>
      </x:c>
      <x:c r="I62" s="23" t="str">
        <x:v>山岳ガード</x:v>
      </x:c>
      <x:c r="J62" s="23" t="str">
        <x:v>山岳番手</x:v>
      </x:c>
      <x:c r="K62" s="23" t="str">
        <x:v>山岳先導</x:v>
      </x:c>
      <x:c r="L62" s="23" t="str">
        <x:v>山岳風よけ</x:v>
      </x:c>
      <x:c r="M62" s="23" t="str">
        <x:v>全力献身</x:v>
      </x:c>
    </x:row>
    <x:row r="63" ht="40" customHeight="1">
      <x:c r="A63" s="23" t="str">
        <x:v>現役</x:v>
      </x:c>
      <x:c r="B63" s="26" t="n">
        <x:v>59</x:v>
      </x:c>
      <x:c r="C63" s="23" t="str">
        <x:v>Stefan Bissegger</x:v>
      </x:c>
      <x:c r="D63" s="23" t="str">
        <x:v>TT・ルーラー型</x:v>
      </x:c>
      <x:c r="E63" s="23" t="str">
        <x:v>クラシック型</x:v>
      </x:c>
      <x:c r="F63" s="23" t="str">
        <x:v>アシスト型</x:v>
      </x:c>
      <x:c r="G63" s="23" t="str">
        <x:v>サブエース / スーパー・ドメスティーク / TTスペシャリスト</x:v>
      </x:c>
      <x:c r="H63" s="23" t="str">
        <x:v>平坦牽引</x:v>
      </x:c>
      <x:c r="I63" s="23" t="str">
        <x:v>風よけ</x:v>
      </x:c>
      <x:c r="J63" s="23" t="str">
        <x:v>トラブル復帰</x:v>
      </x:c>
      <x:c r="K63" s="23" t="str">
        <x:v>ローテーション牽引</x:v>
      </x:c>
      <x:c r="L63" s="23" t="str">
        <x:v>高速牽引</x:v>
      </x:c>
      <x:c r="M63" s="23" t="str">
        <x:v>横風エンジン</x:v>
      </x:c>
    </x:row>
    <x:row r="64" ht="40" customHeight="1">
      <x:c r="A64" s="23" t="str">
        <x:v>現役</x:v>
      </x:c>
      <x:c r="B64" s="26" t="n">
        <x:v>60</x:v>
      </x:c>
      <x:c r="C64" s="23" t="str">
        <x:v>Harry Sweeny</x:v>
      </x:c>
      <x:c r="D64" s="23" t="str">
        <x:v>クラシック型</x:v>
      </x:c>
      <x:c r="E64" s="23" t="str">
        <x:v>TT・ルーラー型</x:v>
      </x:c>
      <x:c r="F64" s="23" t="str">
        <x:v>アシスト型</x:v>
      </x:c>
      <x:c r="G64" s="23" t="str">
        <x:v>平坦アシスト / TT牽引 / 石畳護衛</x:v>
      </x:c>
      <x:c r="H64" s="23" t="str">
        <x:v>進路確保</x:v>
      </x:c>
      <x:c r="I64" s="23" t="str">
        <x:v>トラブル復帰</x:v>
      </x:c>
      <x:c r="J64" s="23" t="str">
        <x:v>パヴェ護衛</x:v>
      </x:c>
      <x:c r="K64" s="23" t="str">
        <x:v>ライン誘導</x:v>
      </x:c>
      <x:c r="L64" s="23" t="str">
        <x:v>石畳牽引</x:v>
      </x:c>
      <x:c r="M64" s="23" t="str">
        <x:v>石畳護衛</x:v>
      </x:c>
    </x:row>
    <x:row r="65" ht="40" customHeight="1">
      <x:c r="A65" s="23" t="str">
        <x:v>現役</x:v>
      </x:c>
      <x:c r="B65" s="26" t="n">
        <x:v>61</x:v>
      </x:c>
      <x:c r="C65" s="23" t="str">
        <x:v>Jefferson Alveiro Cepeda</x:v>
      </x:c>
      <x:c r="D65" s="23" t="str">
        <x:v>クラシック型</x:v>
      </x:c>
      <x:c r="E65" s="23" t="str">
        <x:v>TT・ルーラー型</x:v>
      </x:c>
      <x:c r="F65" s="23" t="str">
        <x:v>アシスト型</x:v>
      </x:c>
      <x:c r="G65" s="23" t="str">
        <x:v>平坦アシスト / TT牽引 / 石畳護衛</x:v>
      </x:c>
      <x:c r="H65" s="23" t="str">
        <x:v>進路確保</x:v>
      </x:c>
      <x:c r="I65" s="23" t="str">
        <x:v>トラブル復帰</x:v>
      </x:c>
      <x:c r="J65" s="23" t="str">
        <x:v>パヴェ護衛</x:v>
      </x:c>
      <x:c r="K65" s="23" t="str">
        <x:v>ライン誘導</x:v>
      </x:c>
      <x:c r="L65" s="23" t="str">
        <x:v>石畳牽引</x:v>
      </x:c>
      <x:c r="M65" s="23" t="str">
        <x:v>石畳護衛</x:v>
      </x:c>
    </x:row>
    <x:row r="66" ht="40" customHeight="1">
      <x:c r="A66" s="23" t="str">
        <x:v>現役</x:v>
      </x:c>
      <x:c r="B66" s="26" t="n">
        <x:v>62</x:v>
      </x:c>
      <x:c r="C66" s="23" t="str">
        <x:v>Gregor Mühlberger</x:v>
      </x:c>
      <x:c r="D66" s="23" t="str">
        <x:v>クライマー</x:v>
      </x:c>
      <x:c r="E66" s="23" t="str">
        <x:v>パンチャー</x:v>
      </x:c>
      <x:c r="F66" s="23" t="str">
        <x:v>アシスト型</x:v>
      </x:c>
      <x:c r="G66" s="23" t="str">
        <x:v>山岳賞ハンター / 山岳アシスト / 山岳番手</x:v>
      </x:c>
      <x:c r="H66" s="23" t="str">
        <x:v>山岳牽引</x:v>
      </x:c>
      <x:c r="I66" s="23" t="str">
        <x:v>山岳ガード</x:v>
      </x:c>
      <x:c r="J66" s="23" t="str">
        <x:v>山岳番手</x:v>
      </x:c>
      <x:c r="K66" s="23" t="str">
        <x:v>山岳先導</x:v>
      </x:c>
      <x:c r="L66" s="23" t="str">
        <x:v>山岳風よけ</x:v>
      </x:c>
      <x:c r="M66" s="23" t="str">
        <x:v>全力献身</x:v>
      </x:c>
    </x:row>
    <x:row r="67" ht="40" customHeight="1">
      <x:c r="A67" s="23" t="str">
        <x:v>現役</x:v>
      </x:c>
      <x:c r="B67" s="26" t="n">
        <x:v>63</x:v>
      </x:c>
      <x:c r="C67" s="23" t="str">
        <x:v>Lennard Kämna</x:v>
      </x:c>
      <x:c r="D67" s="23" t="str">
        <x:v>総合型</x:v>
      </x:c>
      <x:c r="E67" s="23" t="str">
        <x:v>TT・ルーラー型</x:v>
      </x:c>
      <x:c r="F67" s="23" t="str">
        <x:v>アシスト型</x:v>
      </x:c>
      <x:c r="G67" s="23" t="str">
        <x:v>山岳アシスト / TT牽引 / 山岳番手</x:v>
      </x:c>
      <x:c r="H67" s="23" t="str">
        <x:v>山岳ガード</x:v>
      </x:c>
      <x:c r="I67" s="23" t="str">
        <x:v>山岳牽引</x:v>
      </x:c>
      <x:c r="J67" s="23" t="str">
        <x:v>山岳番手</x:v>
      </x:c>
      <x:c r="K67" s="23" t="str">
        <x:v>最後の山岳牽引</x:v>
      </x:c>
      <x:c r="L67" s="23" t="str">
        <x:v>山岳先導</x:v>
      </x:c>
      <x:c r="M67" s="23" t="str">
        <x:v>全力献身</x:v>
      </x:c>
    </x:row>
    <x:row r="68" ht="40" customHeight="1">
      <x:c r="A68" s="23" t="str">
        <x:v>現役</x:v>
      </x:c>
      <x:c r="B68" s="26" t="n">
        <x:v>64</x:v>
      </x:c>
      <x:c r="C68" s="23" t="str">
        <x:v>Lewis Askey</x:v>
      </x:c>
      <x:c r="D68" s="23" t="str">
        <x:v>総合型</x:v>
      </x:c>
      <x:c r="E68" s="23" t="str">
        <x:v>TT・ルーラー型</x:v>
      </x:c>
      <x:c r="F68" s="23" t="str">
        <x:v>アシスト型</x:v>
      </x:c>
      <x:c r="G68" s="23" t="str">
        <x:v>山岳賞ハンター / 平坦アシスト / 山岳アシスト</x:v>
      </x:c>
      <x:c r="H68" s="23" t="str">
        <x:v>山岳ガード</x:v>
      </x:c>
      <x:c r="I68" s="23" t="str">
        <x:v>山岳牽引</x:v>
      </x:c>
      <x:c r="J68" s="23" t="str">
        <x:v>山岳番手</x:v>
      </x:c>
      <x:c r="K68" s="23" t="str">
        <x:v>登坂チェイス</x:v>
      </x:c>
      <x:c r="L68" s="23" t="str">
        <x:v>山岳先導</x:v>
      </x:c>
      <x:c r="M68" s="23" t="str">
        <x:v>全力献身</x:v>
      </x:c>
    </x:row>
    <x:row r="69" ht="40" customHeight="1">
      <x:c r="A69" s="23" t="str">
        <x:v>現役</x:v>
      </x:c>
      <x:c r="B69" s="26" t="n">
        <x:v>65</x:v>
      </x:c>
      <x:c r="C69" s="23" t="str">
        <x:v>Krists Neilands</x:v>
      </x:c>
      <x:c r="D69" s="23" t="str">
        <x:v>パンチャー</x:v>
      </x:c>
      <x:c r="E69" s="23" t="str">
        <x:v>総合型</x:v>
      </x:c>
      <x:c r="F69" s="23" t="str">
        <x:v>アシスト型</x:v>
      </x:c>
      <x:c r="G69" s="23" t="str">
        <x:v>ステージハンター / 山岳賞ハンター / 集団コントローラー</x:v>
      </x:c>
      <x:c r="H69" s="23" t="str">
        <x:v>位置引き上げ</x:v>
      </x:c>
      <x:c r="I69" s="23" t="str">
        <x:v>追走補助</x:v>
      </x:c>
      <x:c r="J69" s="23" t="str">
        <x:v>丘陵牽引</x:v>
      </x:c>
      <x:c r="K69" s="23" t="str">
        <x:v>坂前誘導</x:v>
      </x:c>
      <x:c r="L69" s="23" t="str">
        <x:v>仕掛け封じ</x:v>
      </x:c>
      <x:c r="M69" s="23" t="str">
        <x:v>完全吸収</x:v>
      </x:c>
    </x:row>
    <x:row r="70" ht="40" customHeight="1">
      <x:c r="A70" s="23" t="str">
        <x:v>現役</x:v>
      </x:c>
      <x:c r="B70" s="26" t="n">
        <x:v>66</x:v>
      </x:c>
      <x:c r="C70" s="23" t="str">
        <x:v>Alexey Lutsenko</x:v>
      </x:c>
      <x:c r="D70" s="23" t="str">
        <x:v>パンチャー</x:v>
      </x:c>
      <x:c r="E70" s="23" t="str">
        <x:v>クラシック型</x:v>
      </x:c>
      <x:c r="F70" s="23" t="str">
        <x:v>アシスト型</x:v>
      </x:c>
      <x:c r="G70" s="23" t="str">
        <x:v>ステージハンター / 逃げ屋 / ポジションキーパー</x:v>
      </x:c>
      <x:c r="H70" s="23" t="str">
        <x:v>位置引き上げ</x:v>
      </x:c>
      <x:c r="I70" s="23" t="str">
        <x:v>追走補助</x:v>
      </x:c>
      <x:c r="J70" s="23" t="str">
        <x:v>丘陵牽引</x:v>
      </x:c>
      <x:c r="K70" s="23" t="str">
        <x:v>坂前誘導</x:v>
      </x:c>
      <x:c r="L70" s="23" t="str">
        <x:v>仕掛け封じ</x:v>
      </x:c>
      <x:c r="M70" s="23" t="str">
        <x:v>丘陵封鎖</x:v>
      </x:c>
    </x:row>
    <x:row r="71" ht="40" customHeight="1">
      <x:c r="A71" s="23" t="str">
        <x:v>現役</x:v>
      </x:c>
      <x:c r="B71" s="26" t="n">
        <x:v>67</x:v>
      </x:c>
      <x:c r="C71" s="23" t="str">
        <x:v>Carlos Rodríguez</x:v>
      </x:c>
      <x:c r="D71" s="23" t="str">
        <x:v>総合型</x:v>
      </x:c>
      <x:c r="E71" s="23" t="str">
        <x:v>スプリンター</x:v>
      </x:c>
      <x:c r="F71" s="23" t="str">
        <x:v>アシスト型</x:v>
      </x:c>
      <x:c r="G71" s="23" t="str">
        <x:v>スプリントトレイン / 平坦アシスト / 山岳アシスト</x:v>
      </x:c>
      <x:c r="H71" s="23" t="str">
        <x:v>山岳ガード</x:v>
      </x:c>
      <x:c r="I71" s="23" t="str">
        <x:v>山岳牽引</x:v>
      </x:c>
      <x:c r="J71" s="23" t="str">
        <x:v>山岳番手</x:v>
      </x:c>
      <x:c r="K71" s="23" t="str">
        <x:v>山岳先導</x:v>
      </x:c>
      <x:c r="L71" s="23" t="str">
        <x:v>山岳風よけ</x:v>
      </x:c>
      <x:c r="M71" s="23" t="str">
        <x:v>全力献身</x:v>
      </x:c>
    </x:row>
    <x:row r="72" ht="40" customHeight="1">
      <x:c r="A72" s="23" t="str">
        <x:v>現役</x:v>
      </x:c>
      <x:c r="B72" s="26" t="n">
        <x:v>68</x:v>
      </x:c>
      <x:c r="C72" s="23" t="str">
        <x:v>Nairo Quintana</x:v>
      </x:c>
      <x:c r="D72" s="23" t="str">
        <x:v>クライマー</x:v>
      </x:c>
      <x:c r="E72" s="23" t="str">
        <x:v>パンチャー</x:v>
      </x:c>
      <x:c r="F72" s="23" t="str">
        <x:v>エース型</x:v>
      </x:c>
      <x:c r="G72" s="23" t="str">
        <x:v>山岳エース / 山岳賞ハンター / 山岳アシスト</x:v>
      </x:c>
      <x:c r="H72" s="23" t="str">
        <x:v>急勾配対応</x:v>
      </x:c>
      <x:c r="I72" s="23" t="str">
        <x:v>登坂リズム</x:v>
      </x:c>
      <x:c r="J72" s="23" t="str">
        <x:v>山岳待機</x:v>
      </x:c>
      <x:c r="K72" s="23" t="str">
        <x:v>登坂ペースアップ</x:v>
      </x:c>
      <x:c r="L72" s="23" t="str">
        <x:v>頂上前加速</x:v>
      </x:c>
      <x:c r="M72" s="23" t="str">
        <x:v>鷹の飛翔</x:v>
      </x:c>
    </x:row>
    <x:row r="73" ht="40" customHeight="1">
      <x:c r="A73" s="23" t="str">
        <x:v>現役</x:v>
      </x:c>
      <x:c r="B73" s="26" t="n">
        <x:v>69</x:v>
      </x:c>
      <x:c r="C73" s="23" t="str">
        <x:v>Andreas Leknessund</x:v>
      </x:c>
      <x:c r="D73" s="23" t="str">
        <x:v>総合型</x:v>
      </x:c>
      <x:c r="E73" s="23" t="str">
        <x:v>クラシック型</x:v>
      </x:c>
      <x:c r="F73" s="23" t="str">
        <x:v>アシスト型</x:v>
      </x:c>
      <x:c r="G73" s="23" t="str">
        <x:v>平坦アシスト / 山岳アシスト / 山岳番手</x:v>
      </x:c>
      <x:c r="H73" s="23" t="str">
        <x:v>山岳牽引</x:v>
      </x:c>
      <x:c r="I73" s="23" t="str">
        <x:v>山岳ガード</x:v>
      </x:c>
      <x:c r="J73" s="23" t="str">
        <x:v>風よけ</x:v>
      </x:c>
      <x:c r="K73" s="23" t="str">
        <x:v>最後の山岳牽引</x:v>
      </x:c>
      <x:c r="L73" s="23" t="str">
        <x:v>山岳先導</x:v>
      </x:c>
      <x:c r="M73" s="23" t="str">
        <x:v>全力献身</x:v>
      </x:c>
    </x:row>
    <x:row r="74" ht="40" customHeight="1">
      <x:c r="A74" s="23" t="str">
        <x:v>現役</x:v>
      </x:c>
      <x:c r="B74" s="26" t="n">
        <x:v>70</x:v>
      </x:c>
      <x:c r="C74" s="23" t="str">
        <x:v>Aleksandr Vlasov</x:v>
      </x:c>
      <x:c r="D74" s="23" t="str">
        <x:v>総合型</x:v>
      </x:c>
      <x:c r="E74" s="23" t="str">
        <x:v>クライマー</x:v>
      </x:c>
      <x:c r="F74" s="23" t="str">
        <x:v>アシスト型</x:v>
      </x:c>
      <x:c r="G74" s="23" t="str">
        <x:v>山岳賞ハンター / 山岳アシスト / 山岳番手</x:v>
      </x:c>
      <x:c r="H74" s="23" t="str">
        <x:v>山岳牽引</x:v>
      </x:c>
      <x:c r="I74" s="23" t="str">
        <x:v>山岳ガード</x:v>
      </x:c>
      <x:c r="J74" s="23" t="str">
        <x:v>山岳番手</x:v>
      </x:c>
      <x:c r="K74" s="23" t="str">
        <x:v>最後の山岳牽引</x:v>
      </x:c>
      <x:c r="L74" s="23" t="str">
        <x:v>山岳先導</x:v>
      </x:c>
      <x:c r="M74" s="23" t="str">
        <x:v>全力献身</x:v>
      </x:c>
    </x:row>
    <x:row r="75" ht="40" customHeight="1">
      <x:c r="A75" s="23" t="str">
        <x:v>現役</x:v>
      </x:c>
      <x:c r="B75" s="26" t="n">
        <x:v>71</x:v>
      </x:c>
      <x:c r="C75" s="23" t="str">
        <x:v>Carl-Frederik Bévort</x:v>
      </x:c>
      <x:c r="D75" s="23" t="str">
        <x:v>クラシック型</x:v>
      </x:c>
      <x:c r="E75" s="23" t="str">
        <x:v>パンチャー</x:v>
      </x:c>
      <x:c r="F75" s="23" t="str">
        <x:v>アシスト型</x:v>
      </x:c>
      <x:c r="G75" s="23" t="str">
        <x:v>ステージハンター / 石畳護衛 / ブレイクアウェイキラー</x:v>
      </x:c>
      <x:c r="H75" s="23" t="str">
        <x:v>進路確保</x:v>
      </x:c>
      <x:c r="I75" s="23" t="str">
        <x:v>トラブル復帰</x:v>
      </x:c>
      <x:c r="J75" s="23" t="str">
        <x:v>パヴェ護衛</x:v>
      </x:c>
      <x:c r="K75" s="23" t="str">
        <x:v>ライン誘導</x:v>
      </x:c>
      <x:c r="L75" s="23" t="str">
        <x:v>石畳牽引</x:v>
      </x:c>
      <x:c r="M75" s="23" t="str">
        <x:v>石畳護衛</x:v>
      </x:c>
    </x:row>
    <x:row r="76" ht="40" customHeight="1">
      <x:c r="A76" s="23" t="str">
        <x:v>現役</x:v>
      </x:c>
      <x:c r="B76" s="26" t="n">
        <x:v>72</x:v>
      </x:c>
      <x:c r="C76" s="23" t="str">
        <x:v>Frits Biesterbos</x:v>
      </x:c>
      <x:c r="D76" s="23" t="str">
        <x:v>クライマー</x:v>
      </x:c>
      <x:c r="E76" s="23" t="str">
        <x:v>パンチャー</x:v>
      </x:c>
      <x:c r="F76" s="23" t="str">
        <x:v>アシスト型</x:v>
      </x:c>
      <x:c r="G76" s="23" t="str">
        <x:v>山岳賞ハンター / 山岳アシスト / 山岳番手</x:v>
      </x:c>
      <x:c r="H76" s="23" t="str">
        <x:v>山岳ガード</x:v>
      </x:c>
      <x:c r="I76" s="23" t="str">
        <x:v>山岳牽引</x:v>
      </x:c>
      <x:c r="J76" s="23" t="str">
        <x:v>山岳番手</x:v>
      </x:c>
      <x:c r="K76" s="23" t="str">
        <x:v>登坂チェイス</x:v>
      </x:c>
      <x:c r="L76" s="23" t="str">
        <x:v>最後の山岳牽引</x:v>
      </x:c>
      <x:c r="M76" s="23" t="str">
        <x:v>山岳救援</x:v>
      </x:c>
    </x:row>
    <x:row r="77" ht="40" customHeight="1">
      <x:c r="A77" s="23" t="str">
        <x:v>現役</x:v>
      </x:c>
      <x:c r="B77" s="26" t="n">
        <x:v>73</x:v>
      </x:c>
      <x:c r="C77" s="23" t="str">
        <x:v>Ethan Vernon</x:v>
      </x:c>
      <x:c r="D77" s="23" t="str">
        <x:v>スプリンター</x:v>
      </x:c>
      <x:c r="E77" s="23" t="str">
        <x:v>クラシック型</x:v>
      </x:c>
      <x:c r="F77" s="23" t="str">
        <x:v>アシスト型</x:v>
      </x:c>
      <x:c r="G77" s="23" t="str">
        <x:v>リードアウト / 最終発射台 / 逃げ屋</x:v>
      </x:c>
      <x:c r="H77" s="23" t="str">
        <x:v>ペース調整</x:v>
      </x:c>
      <x:c r="I77" s="23" t="str">
        <x:v>先頭交代</x:v>
      </x:c>
      <x:c r="J77" s="23" t="str">
        <x:v>前方誘導</x:v>
      </x:c>
      <x:c r="K77" s="23" t="str">
        <x:v>高速リードアウト</x:v>
      </x:c>
      <x:c r="L77" s="23" t="str">
        <x:v>ブリッジ</x:v>
      </x:c>
      <x:c r="M77" s="23" t="str">
        <x:v>最終発射</x:v>
      </x:c>
    </x:row>
    <x:row r="78" ht="40" customHeight="1">
      <x:c r="A78" s="23" t="str">
        <x:v>現役</x:v>
      </x:c>
      <x:c r="B78" s="26" t="n">
        <x:v>74</x:v>
      </x:c>
      <x:c r="C78" s="23" t="str">
        <x:v>Hugo Hofstetter</x:v>
      </x:c>
      <x:c r="D78" s="23" t="str">
        <x:v>スプリンター</x:v>
      </x:c>
      <x:c r="E78" s="23" t="str">
        <x:v>総合型</x:v>
      </x:c>
      <x:c r="F78" s="23" t="str">
        <x:v>アシスト型</x:v>
      </x:c>
      <x:c r="G78" s="23" t="str">
        <x:v>リードアウト / 最終発射台 / スプリントトレイン</x:v>
      </x:c>
      <x:c r="H78" s="23" t="str">
        <x:v>前方誘導</x:v>
      </x:c>
      <x:c r="I78" s="23" t="str">
        <x:v>平坦牽引</x:v>
      </x:c>
      <x:c r="J78" s="23" t="str">
        <x:v>位置引き上げ</x:v>
      </x:c>
      <x:c r="K78" s="23" t="str">
        <x:v>トレイン加速</x:v>
      </x:c>
      <x:c r="L78" s="23" t="str">
        <x:v>高速リードアウト</x:v>
      </x:c>
      <x:c r="M78" s="23" t="str">
        <x:v>最終発射</x:v>
      </x:c>
    </x:row>
    <x:row r="79" ht="40" customHeight="1">
      <x:c r="A79" s="23" t="str">
        <x:v>現役</x:v>
      </x:c>
      <x:c r="B79" s="26" t="n">
        <x:v>75</x:v>
      </x:c>
      <x:c r="C79" s="23" t="str">
        <x:v>Itamar Einhorn</x:v>
      </x:c>
      <x:c r="D79" s="23" t="str">
        <x:v>スプリンター</x:v>
      </x:c>
      <x:c r="E79" s="23" t="str">
        <x:v>総合型</x:v>
      </x:c>
      <x:c r="F79" s="23" t="str">
        <x:v>アシスト型</x:v>
      </x:c>
      <x:c r="G79" s="23" t="str">
        <x:v>リードアウト / 最終発射台 / スプリントトレイン</x:v>
      </x:c>
      <x:c r="H79" s="23" t="str">
        <x:v>前方誘導</x:v>
      </x:c>
      <x:c r="I79" s="23" t="str">
        <x:v>位置引き上げ</x:v>
      </x:c>
      <x:c r="J79" s="23" t="str">
        <x:v>平坦牽引</x:v>
      </x:c>
      <x:c r="K79" s="23" t="str">
        <x:v>トレイン加速</x:v>
      </x:c>
      <x:c r="L79" s="23" t="str">
        <x:v>高速リードアウト</x:v>
      </x:c>
      <x:c r="M79" s="23" t="str">
        <x:v>最終発射</x:v>
      </x:c>
    </x:row>
    <x:row r="80" ht="40" customHeight="1">
      <x:c r="A80" s="23" t="str">
        <x:v>現役</x:v>
      </x:c>
      <x:c r="B80" s="26" t="n">
        <x:v>76</x:v>
      </x:c>
      <x:c r="C80" s="23" t="str">
        <x:v>Albert Torres</x:v>
      </x:c>
      <x:c r="D80" s="23" t="str">
        <x:v>クラシック型</x:v>
      </x:c>
      <x:c r="E80" s="23" t="str">
        <x:v>TT・ルーラー型</x:v>
      </x:c>
      <x:c r="F80" s="23" t="str">
        <x:v>アシスト型</x:v>
      </x:c>
      <x:c r="G80" s="23" t="str">
        <x:v>ロードキャプテン / 平坦アシスト / TT牽引</x:v>
      </x:c>
      <x:c r="H80" s="23" t="str">
        <x:v>トラブル復帰</x:v>
      </x:c>
      <x:c r="I80" s="23" t="str">
        <x:v>進路確保</x:v>
      </x:c>
      <x:c r="J80" s="23" t="str">
        <x:v>パヴェ護衛</x:v>
      </x:c>
      <x:c r="K80" s="23" t="str">
        <x:v>パヴェ追走</x:v>
      </x:c>
      <x:c r="L80" s="23" t="str">
        <x:v>ライン誘導</x:v>
      </x:c>
      <x:c r="M80" s="23" t="str">
        <x:v>完全吸収</x:v>
      </x:c>
    </x:row>
    <x:row r="81" ht="40" customHeight="1">
      <x:c r="A81" s="23" t="str">
        <x:v>現役</x:v>
      </x:c>
      <x:c r="B81" s="26" t="n">
        <x:v>77</x:v>
      </x:c>
      <x:c r="C81" s="23" t="str">
        <x:v>Iván García Cortina</x:v>
      </x:c>
      <x:c r="D81" s="23" t="str">
        <x:v>クラシック型</x:v>
      </x:c>
      <x:c r="E81" s="23" t="str">
        <x:v>スプリンター</x:v>
      </x:c>
      <x:c r="F81" s="23" t="str">
        <x:v>アシスト型</x:v>
      </x:c>
      <x:c r="G81" s="23" t="str">
        <x:v>ロードキャプテン / スプリントトレイン / 石畳護衛</x:v>
      </x:c>
      <x:c r="H81" s="23" t="str">
        <x:v>進路確保</x:v>
      </x:c>
      <x:c r="I81" s="23" t="str">
        <x:v>パヴェ護衛</x:v>
      </x:c>
      <x:c r="J81" s="23" t="str">
        <x:v>トラブル復帰</x:v>
      </x:c>
      <x:c r="K81" s="23" t="str">
        <x:v>ライン誘導</x:v>
      </x:c>
      <x:c r="L81" s="23" t="str">
        <x:v>石畳牽引</x:v>
      </x:c>
      <x:c r="M81" s="23" t="str">
        <x:v>石畳護衛</x:v>
      </x:c>
    </x:row>
    <x:row r="82" ht="40" customHeight="1">
      <x:c r="A82" s="23" t="str">
        <x:v>現役</x:v>
      </x:c>
      <x:c r="B82" s="26" t="n">
        <x:v>78</x:v>
      </x:c>
      <x:c r="C82" s="23" t="str">
        <x:v>Kevin Geniets</x:v>
      </x:c>
      <x:c r="D82" s="23" t="str">
        <x:v>パンチャー</x:v>
      </x:c>
      <x:c r="E82" s="23" t="str">
        <x:v>スプリンター</x:v>
      </x:c>
      <x:c r="F82" s="23" t="str">
        <x:v>アシスト型</x:v>
      </x:c>
      <x:c r="G82" s="23" t="str">
        <x:v>ステージハンター / 山岳賞ハンター / スプリントトレイン</x:v>
      </x:c>
      <x:c r="H82" s="23" t="str">
        <x:v>位置引き上げ</x:v>
      </x:c>
      <x:c r="I82" s="23" t="str">
        <x:v>丘陵牽引</x:v>
      </x:c>
      <x:c r="J82" s="23" t="str">
        <x:v>追走補助</x:v>
      </x:c>
      <x:c r="K82" s="23" t="str">
        <x:v>坂前誘導</x:v>
      </x:c>
      <x:c r="L82" s="23" t="str">
        <x:v>仕掛け封じ</x:v>
      </x:c>
      <x:c r="M82" s="23" t="str">
        <x:v>最終発射</x:v>
      </x:c>
    </x:row>
    <x:row r="83" ht="40" customHeight="1">
      <x:c r="A83" s="23" t="str">
        <x:v>現役</x:v>
      </x:c>
      <x:c r="B83" s="26" t="n">
        <x:v>79</x:v>
      </x:c>
      <x:c r="C83" s="23" t="str">
        <x:v>Anthon Charmig</x:v>
      </x:c>
      <x:c r="D83" s="23" t="str">
        <x:v>総合型</x:v>
      </x:c>
      <x:c r="E83" s="23" t="str">
        <x:v>スプリンター</x:v>
      </x:c>
      <x:c r="F83" s="23" t="str">
        <x:v>アシスト型</x:v>
      </x:c>
      <x:c r="G83" s="23" t="str">
        <x:v>ロードキャプテン / 山岳賞ハンター / スプリントトレイン</x:v>
      </x:c>
      <x:c r="H83" s="23" t="str">
        <x:v>山岳ガード</x:v>
      </x:c>
      <x:c r="I83" s="23" t="str">
        <x:v>山岳牽引</x:v>
      </x:c>
      <x:c r="J83" s="23" t="str">
        <x:v>山岳番手</x:v>
      </x:c>
      <x:c r="K83" s="23" t="str">
        <x:v>登坂チェイス</x:v>
      </x:c>
      <x:c r="L83" s="23" t="str">
        <x:v>隊列再編</x:v>
      </x:c>
      <x:c r="M83" s="23" t="str">
        <x:v>緊急再編</x:v>
      </x:c>
    </x:row>
    <x:row r="84" ht="40" customHeight="1">
      <x:c r="A84" s="23" t="str">
        <x:v>現役</x:v>
      </x:c>
      <x:c r="B84" s="26" t="n">
        <x:v>80</x:v>
      </x:c>
      <x:c r="C84" s="23" t="str">
        <x:v>Andrea Bagioli</x:v>
      </x:c>
      <x:c r="D84" s="23" t="str">
        <x:v>パンチャー</x:v>
      </x:c>
      <x:c r="E84" s="23" t="str">
        <x:v>総合型</x:v>
      </x:c>
      <x:c r="F84" s="23" t="str">
        <x:v>アシスト型</x:v>
      </x:c>
      <x:c r="G84" s="23" t="str">
        <x:v>ステージハンター / 下り牽引 / 集団コントローラー</x:v>
      </x:c>
      <x:c r="H84" s="23" t="str">
        <x:v>安全誘導</x:v>
      </x:c>
      <x:c r="I84" s="23" t="str">
        <x:v>高速コーナリング</x:v>
      </x:c>
      <x:c r="J84" s="23" t="str">
        <x:v>追走補助</x:v>
      </x:c>
      <x:c r="K84" s="23" t="str">
        <x:v>ダウンヒル牽引</x:v>
      </x:c>
      <x:c r="L84" s="23" t="str">
        <x:v>下りアタック</x:v>
      </x:c>
      <x:c r="M84" s="23" t="str">
        <x:v>下り護衛</x:v>
      </x:c>
    </x:row>
    <x:row r="85" ht="40" customHeight="1">
      <x:c r="A85" s="23" t="str">
        <x:v>現役</x:v>
      </x:c>
      <x:c r="B85" s="26" t="n">
        <x:v>81</x:v>
      </x:c>
      <x:c r="C85" s="23" t="str">
        <x:v>Alan Hatherly</x:v>
      </x:c>
      <x:c r="D85" s="23" t="str">
        <x:v>スプリンター</x:v>
      </x:c>
      <x:c r="E85" s="23" t="str">
        <x:v>総合型</x:v>
      </x:c>
      <x:c r="F85" s="23" t="str">
        <x:v>アシスト型</x:v>
      </x:c>
      <x:c r="G85" s="23" t="str">
        <x:v>リードアウト / 最終発射台 / 集団コントローラー</x:v>
      </x:c>
      <x:c r="H85" s="23" t="str">
        <x:v>前方誘導</x:v>
      </x:c>
      <x:c r="I85" s="23" t="str">
        <x:v>平坦牽引</x:v>
      </x:c>
      <x:c r="J85" s="23" t="str">
        <x:v>位置引き上げ</x:v>
      </x:c>
      <x:c r="K85" s="23" t="str">
        <x:v>高速リードアウト</x:v>
      </x:c>
      <x:c r="L85" s="23" t="str">
        <x:v>位置取り護衛</x:v>
      </x:c>
      <x:c r="M85" s="23" t="str">
        <x:v>最終発射</x:v>
      </x:c>
    </x:row>
    <x:row r="86" ht="40" customHeight="1">
      <x:c r="A86" s="23" t="str">
        <x:v>現役</x:v>
      </x:c>
      <x:c r="B86" s="26" t="n">
        <x:v>82</x:v>
      </x:c>
      <x:c r="C86" s="23" t="str">
        <x:v>Sepp Kuss</x:v>
      </x:c>
      <x:c r="D86" s="23" t="str">
        <x:v>クライマー</x:v>
      </x:c>
      <x:c r="E86" s="23" t="str">
        <x:v>総合型</x:v>
      </x:c>
      <x:c r="F86" s="23" t="str">
        <x:v>アシスト型</x:v>
      </x:c>
      <x:c r="G86" s="23" t="str">
        <x:v>サブエース / スーパー・ドメスティーク / 山岳アシスト</x:v>
      </x:c>
      <x:c r="H86" s="23" t="str">
        <x:v>山岳ガード</x:v>
      </x:c>
      <x:c r="I86" s="23" t="str">
        <x:v>山岳牽引</x:v>
      </x:c>
      <x:c r="J86" s="23" t="str">
        <x:v>山岳番手</x:v>
      </x:c>
      <x:c r="K86" s="23" t="str">
        <x:v>登坂チェイス</x:v>
      </x:c>
      <x:c r="L86" s="23" t="str">
        <x:v>山岳先導</x:v>
      </x:c>
      <x:c r="M86" s="23" t="str">
        <x:v>山岳献身</x:v>
      </x:c>
    </x:row>
    <x:row r="87" ht="40" customHeight="1">
      <x:c r="A87" s="23" t="str">
        <x:v>現役</x:v>
      </x:c>
      <x:c r="B87" s="26" t="n">
        <x:v>83</x:v>
      </x:c>
      <x:c r="C87" s="23" t="str">
        <x:v>Cedric Beullens</x:v>
      </x:c>
      <x:c r="D87" s="23" t="str">
        <x:v>パンチャー</x:v>
      </x:c>
      <x:c r="E87" s="23" t="str">
        <x:v>TT・ルーラー型</x:v>
      </x:c>
      <x:c r="F87" s="23" t="str">
        <x:v>アシスト型</x:v>
      </x:c>
      <x:c r="G87" s="23" t="str">
        <x:v>ステージハンター / 山岳賞ハンター / 逃げ屋</x:v>
      </x:c>
      <x:c r="H87" s="23" t="str">
        <x:v>位置引き上げ</x:v>
      </x:c>
      <x:c r="I87" s="23" t="str">
        <x:v>追走補助</x:v>
      </x:c>
      <x:c r="J87" s="23" t="str">
        <x:v>丘陵牽引</x:v>
      </x:c>
      <x:c r="K87" s="23" t="str">
        <x:v>仕掛け封じ</x:v>
      </x:c>
      <x:c r="L87" s="23" t="str">
        <x:v>坂前誘導</x:v>
      </x:c>
      <x:c r="M87" s="23" t="str">
        <x:v>丘陵封鎖</x:v>
      </x:c>
    </x:row>
    <x:row r="88" ht="40" customHeight="1">
      <x:c r="A88" s="23" t="str">
        <x:v>現役</x:v>
      </x:c>
      <x:c r="B88" s="26" t="n">
        <x:v>84</x:v>
      </x:c>
      <x:c r="C88" s="23" t="str">
        <x:v>Diego Ulissi</x:v>
      </x:c>
      <x:c r="D88" s="23" t="str">
        <x:v>パンチャー</x:v>
      </x:c>
      <x:c r="E88" s="23" t="str">
        <x:v>クライマー</x:v>
      </x:c>
      <x:c r="F88" s="23" t="str">
        <x:v>アシスト型</x:v>
      </x:c>
      <x:c r="G88" s="23" t="str">
        <x:v>ステージハンター / 山岳賞ハンター / 逃げ屋</x:v>
      </x:c>
      <x:c r="H88" s="23" t="str">
        <x:v>位置引き上げ</x:v>
      </x:c>
      <x:c r="I88" s="23" t="str">
        <x:v>丘陵牽引</x:v>
      </x:c>
      <x:c r="J88" s="23" t="str">
        <x:v>追走補助</x:v>
      </x:c>
      <x:c r="K88" s="23" t="str">
        <x:v>丘越え牽引</x:v>
      </x:c>
      <x:c r="L88" s="23" t="str">
        <x:v>丘陵ペース</x:v>
      </x:c>
      <x:c r="M88" s="23" t="str">
        <x:v>丘陵封鎖</x:v>
      </x:c>
    </x:row>
    <x:row r="89" ht="40" customHeight="1">
      <x:c r="A89" s="23" t="str">
        <x:v>現役</x:v>
      </x:c>
      <x:c r="B89" s="26" t="n">
        <x:v>85</x:v>
      </x:c>
      <x:c r="C89" s="23" t="str">
        <x:v>Henri Uhlig</x:v>
      </x:c>
      <x:c r="D89" s="23" t="str">
        <x:v>総合型</x:v>
      </x:c>
      <x:c r="E89" s="23" t="str">
        <x:v>パンチャー</x:v>
      </x:c>
      <x:c r="F89" s="23" t="str">
        <x:v>アシスト型</x:v>
      </x:c>
      <x:c r="G89" s="23" t="str">
        <x:v>山岳賞ハンター / 山岳アシスト / 山岳番手</x:v>
      </x:c>
      <x:c r="H89" s="23" t="str">
        <x:v>山岳ガード</x:v>
      </x:c>
      <x:c r="I89" s="23" t="str">
        <x:v>山岳牽引</x:v>
      </x:c>
      <x:c r="J89" s="23" t="str">
        <x:v>山岳番手</x:v>
      </x:c>
      <x:c r="K89" s="23" t="str">
        <x:v>最後の山岳牽引</x:v>
      </x:c>
      <x:c r="L89" s="23" t="str">
        <x:v>登坂チェイス</x:v>
      </x:c>
      <x:c r="M89" s="23" t="str">
        <x:v>全力献身</x:v>
      </x:c>
    </x:row>
    <x:row r="90" ht="40" customHeight="1">
      <x:c r="A90" s="23" t="str">
        <x:v>現役</x:v>
      </x:c>
      <x:c r="B90" s="26" t="n">
        <x:v>86</x:v>
      </x:c>
      <x:c r="C90" s="23" t="str">
        <x:v>Alberto Dainese</x:v>
      </x:c>
      <x:c r="D90" s="23" t="str">
        <x:v>スプリンター</x:v>
      </x:c>
      <x:c r="E90" s="23" t="str">
        <x:v>総合型</x:v>
      </x:c>
      <x:c r="F90" s="23" t="str">
        <x:v>アシスト型</x:v>
      </x:c>
      <x:c r="G90" s="23" t="str">
        <x:v>リードアウト / 最終発射台 / スプリントトレイン</x:v>
      </x:c>
      <x:c r="H90" s="23" t="str">
        <x:v>前方誘導</x:v>
      </x:c>
      <x:c r="I90" s="23" t="str">
        <x:v>位置引き上げ</x:v>
      </x:c>
      <x:c r="J90" s="23" t="str">
        <x:v>平坦牽引</x:v>
      </x:c>
      <x:c r="K90" s="23" t="str">
        <x:v>トレイン加速</x:v>
      </x:c>
      <x:c r="L90" s="23" t="str">
        <x:v>高速リードアウト</x:v>
      </x:c>
      <x:c r="M90" s="23" t="str">
        <x:v>最終発射</x:v>
      </x:c>
    </x:row>
    <x:row r="91" ht="40" customHeight="1">
      <x:c r="A91" s="23" t="str">
        <x:v>現役</x:v>
      </x:c>
      <x:c r="B91" s="26" t="n">
        <x:v>87</x:v>
      </x:c>
      <x:c r="C91" s="23" t="str">
        <x:v>Andrea Vendrame</x:v>
      </x:c>
      <x:c r="D91" s="23" t="str">
        <x:v>パンチャー</x:v>
      </x:c>
      <x:c r="E91" s="23" t="str">
        <x:v>クライマー</x:v>
      </x:c>
      <x:c r="F91" s="23" t="str">
        <x:v>アシスト型</x:v>
      </x:c>
      <x:c r="G91" s="23" t="str">
        <x:v>ステージハンター / 山岳賞ハンター / 逃げ屋</x:v>
      </x:c>
      <x:c r="H91" s="23" t="str">
        <x:v>追走補助</x:v>
      </x:c>
      <x:c r="I91" s="23" t="str">
        <x:v>位置引き上げ</x:v>
      </x:c>
      <x:c r="J91" s="23" t="str">
        <x:v>丘陵牽引</x:v>
      </x:c>
      <x:c r="K91" s="23" t="str">
        <x:v>仕掛け封じ</x:v>
      </x:c>
      <x:c r="L91" s="23" t="str">
        <x:v>ブリッジ</x:v>
      </x:c>
      <x:c r="M91" s="23" t="str">
        <x:v>丘陵封鎖</x:v>
      </x:c>
    </x:row>
    <x:row r="92" ht="40" customHeight="1">
      <x:c r="A92" s="23" t="str">
        <x:v>現役</x:v>
      </x:c>
      <x:c r="B92" s="26" t="n">
        <x:v>88</x:v>
      </x:c>
      <x:c r="C92" s="23" t="str">
        <x:v>Amaury Capiot</x:v>
      </x:c>
      <x:c r="D92" s="23" t="str">
        <x:v>クラシック型</x:v>
      </x:c>
      <x:c r="E92" s="23" t="str">
        <x:v>クライマー</x:v>
      </x:c>
      <x:c r="F92" s="23" t="str">
        <x:v>アシスト型</x:v>
      </x:c>
      <x:c r="G92" s="23" t="str">
        <x:v>山岳賞ハンター / 平坦アシスト / TT牽引</x:v>
      </x:c>
      <x:c r="H92" s="23" t="str">
        <x:v>トラブル復帰</x:v>
      </x:c>
      <x:c r="I92" s="23" t="str">
        <x:v>進路確保</x:v>
      </x:c>
      <x:c r="J92" s="23" t="str">
        <x:v>パヴェ護衛</x:v>
      </x:c>
      <x:c r="K92" s="23" t="str">
        <x:v>ライン誘導</x:v>
      </x:c>
      <x:c r="L92" s="23" t="str">
        <x:v>石畳牽引</x:v>
      </x:c>
      <x:c r="M92" s="23" t="str">
        <x:v>集団復帰牽引</x:v>
      </x:c>
    </x:row>
    <x:row r="93" ht="40" customHeight="1">
      <x:c r="A93" s="23" t="str">
        <x:v>現役</x:v>
      </x:c>
      <x:c r="B93" s="26" t="n">
        <x:v>89</x:v>
      </x:c>
      <x:c r="C93" s="23" t="str">
        <x:v>Jake Stewart</x:v>
      </x:c>
      <x:c r="D93" s="23" t="str">
        <x:v>クラシック型</x:v>
      </x:c>
      <x:c r="E93" s="23" t="str">
        <x:v>パンチャー</x:v>
      </x:c>
      <x:c r="F93" s="23" t="str">
        <x:v>アシスト型</x:v>
      </x:c>
      <x:c r="G93" s="23" t="str">
        <x:v>ステージハンター / 平坦アシスト / 石畳護衛</x:v>
      </x:c>
      <x:c r="H93" s="23" t="str">
        <x:v>進路確保</x:v>
      </x:c>
      <x:c r="I93" s="23" t="str">
        <x:v>トラブル復帰</x:v>
      </x:c>
      <x:c r="J93" s="23" t="str">
        <x:v>パヴェ護衛</x:v>
      </x:c>
      <x:c r="K93" s="23" t="str">
        <x:v>ライン誘導</x:v>
      </x:c>
      <x:c r="L93" s="23" t="str">
        <x:v>石畳牽引</x:v>
      </x:c>
      <x:c r="M93" s="23" t="str">
        <x:v>石畳護衛</x:v>
      </x:c>
    </x:row>
    <x:row r="94" ht="40" customHeight="1">
      <x:c r="A94" s="23" t="str">
        <x:v>現役</x:v>
      </x:c>
      <x:c r="B94" s="26" t="n">
        <x:v>90</x:v>
      </x:c>
      <x:c r="C94" s="23" t="str">
        <x:v>Aaron Gate</x:v>
      </x:c>
      <x:c r="D94" s="23" t="str">
        <x:v>クラシック型</x:v>
      </x:c>
      <x:c r="E94" s="23" t="str">
        <x:v>TT・ルーラー型</x:v>
      </x:c>
      <x:c r="F94" s="23" t="str">
        <x:v>アシスト型</x:v>
      </x:c>
      <x:c r="G94" s="23" t="str">
        <x:v>平坦アシスト / TT牽引 / 石畳護衛</x:v>
      </x:c>
      <x:c r="H94" s="23" t="str">
        <x:v>トラブル復帰</x:v>
      </x:c>
      <x:c r="I94" s="23" t="str">
        <x:v>進路確保</x:v>
      </x:c>
      <x:c r="J94" s="23" t="str">
        <x:v>パヴェ護衛</x:v>
      </x:c>
      <x:c r="K94" s="23" t="str">
        <x:v>ライン誘導</x:v>
      </x:c>
      <x:c r="L94" s="23" t="str">
        <x:v>石畳牽引</x:v>
      </x:c>
      <x:c r="M94" s="23" t="str">
        <x:v>石畳護衛</x:v>
      </x:c>
    </x:row>
    <x:row r="95" ht="40" customHeight="1">
      <x:c r="A95" s="23" t="str">
        <x:v>現役</x:v>
      </x:c>
      <x:c r="B95" s="26" t="n">
        <x:v>91</x:v>
      </x:c>
      <x:c r="C95" s="23" t="str">
        <x:v>Jonas Abrahamsen</x:v>
      </x:c>
      <x:c r="D95" s="23" t="str">
        <x:v>クラシック型</x:v>
      </x:c>
      <x:c r="E95" s="23" t="str">
        <x:v>スプリンター</x:v>
      </x:c>
      <x:c r="F95" s="23" t="str">
        <x:v>アシスト型</x:v>
      </x:c>
      <x:c r="G95" s="23" t="str">
        <x:v>スプリントトレイン / 平坦アシスト / 石畳護衛</x:v>
      </x:c>
      <x:c r="H95" s="23" t="str">
        <x:v>トラブル復帰</x:v>
      </x:c>
      <x:c r="I95" s="23" t="str">
        <x:v>進路確保</x:v>
      </x:c>
      <x:c r="J95" s="23" t="str">
        <x:v>パヴェ護衛</x:v>
      </x:c>
      <x:c r="K95" s="23" t="str">
        <x:v>ライン誘導</x:v>
      </x:c>
      <x:c r="L95" s="23" t="str">
        <x:v>石畳牽引</x:v>
      </x:c>
      <x:c r="M95" s="23" t="str">
        <x:v>石畳護衛</x:v>
      </x:c>
    </x:row>
    <x:row r="96" ht="40" customHeight="1">
      <x:c r="A96" s="23" t="str">
        <x:v>現役</x:v>
      </x:c>
      <x:c r="B96" s="26" t="n">
        <x:v>92</x:v>
      </x:c>
      <x:c r="C96" s="23" t="str">
        <x:v>Clément Russo</x:v>
      </x:c>
      <x:c r="D96" s="23" t="str">
        <x:v>クラシック型</x:v>
      </x:c>
      <x:c r="E96" s="23" t="str">
        <x:v>TT・ルーラー型</x:v>
      </x:c>
      <x:c r="F96" s="23" t="str">
        <x:v>アシスト型</x:v>
      </x:c>
      <x:c r="G96" s="23" t="str">
        <x:v>平坦アシスト / 平坦ペースメーカー / TT牽引</x:v>
      </x:c>
      <x:c r="H96" s="23" t="str">
        <x:v>トラブル復帰</x:v>
      </x:c>
      <x:c r="I96" s="23" t="str">
        <x:v>パヴェ護衛</x:v>
      </x:c>
      <x:c r="J96" s="23" t="str">
        <x:v>進路確保</x:v>
      </x:c>
      <x:c r="K96" s="23" t="str">
        <x:v>パヴェ追走</x:v>
      </x:c>
      <x:c r="L96" s="23" t="str">
        <x:v>ライン誘導</x:v>
      </x:c>
      <x:c r="M96" s="23" t="str">
        <x:v>完全吸収</x:v>
      </x:c>
    </x:row>
    <x:row r="97" ht="40" customHeight="1">
      <x:c r="A97" s="23" t="str">
        <x:v>現役</x:v>
      </x:c>
      <x:c r="B97" s="26" t="n">
        <x:v>93</x:v>
      </x:c>
      <x:c r="C97" s="23" t="str">
        <x:v>Michał Kwiatkowski</x:v>
      </x:c>
      <x:c r="D97" s="23" t="str">
        <x:v>クラシック型</x:v>
      </x:c>
      <x:c r="E97" s="23" t="str">
        <x:v>TT・ルーラー型</x:v>
      </x:c>
      <x:c r="F97" s="23" t="str">
        <x:v>アシスト型</x:v>
      </x:c>
      <x:c r="G97" s="23" t="str">
        <x:v>TT牽引 / 石畳護衛 / 下り牽引</x:v>
      </x:c>
      <x:c r="H97" s="23" t="str">
        <x:v>進路確保</x:v>
      </x:c>
      <x:c r="I97" s="23" t="str">
        <x:v>安全誘導</x:v>
      </x:c>
      <x:c r="J97" s="23" t="str">
        <x:v>高速コーナリング</x:v>
      </x:c>
      <x:c r="K97" s="23" t="str">
        <x:v>ダウンヒル牽引</x:v>
      </x:c>
      <x:c r="L97" s="23" t="str">
        <x:v>下りアタック</x:v>
      </x:c>
      <x:c r="M97" s="23" t="str">
        <x:v>下り護衛</x:v>
      </x:c>
    </x:row>
    <x:row r="98" ht="40" customHeight="1">
      <x:c r="A98" s="23" t="str">
        <x:v>現役</x:v>
      </x:c>
      <x:c r="B98" s="26" t="n">
        <x:v>94</x:v>
      </x:c>
      <x:c r="C98" s="23" t="str">
        <x:v>Attila Valter</x:v>
      </x:c>
      <x:c r="D98" s="23" t="str">
        <x:v>クライマー</x:v>
      </x:c>
      <x:c r="E98" s="23" t="str">
        <x:v>スプリンター</x:v>
      </x:c>
      <x:c r="F98" s="23" t="str">
        <x:v>アシスト型</x:v>
      </x:c>
      <x:c r="G98" s="23" t="str">
        <x:v>山岳賞ハンター / スプリントトレイン / 平坦アシスト</x:v>
      </x:c>
      <x:c r="H98" s="23" t="str">
        <x:v>山岳牽引</x:v>
      </x:c>
      <x:c r="I98" s="23" t="str">
        <x:v>山岳ガード</x:v>
      </x:c>
      <x:c r="J98" s="23" t="str">
        <x:v>山岳番手</x:v>
      </x:c>
      <x:c r="K98" s="23" t="str">
        <x:v>山岳先導</x:v>
      </x:c>
      <x:c r="L98" s="23" t="str">
        <x:v>山岳風よけ</x:v>
      </x:c>
      <x:c r="M98" s="23" t="str">
        <x:v>全開牽引</x:v>
      </x:c>
    </x:row>
    <x:row r="99" ht="40" customHeight="1">
      <x:c r="A99" s="23" t="str">
        <x:v>現役</x:v>
      </x:c>
      <x:c r="B99" s="26" t="n">
        <x:v>95</x:v>
      </x:c>
      <x:c r="C99" s="23" t="str">
        <x:v>James Knox</x:v>
      </x:c>
      <x:c r="D99" s="23" t="str">
        <x:v>クライマー</x:v>
      </x:c>
      <x:c r="E99" s="23" t="str">
        <x:v>パンチャー</x:v>
      </x:c>
      <x:c r="F99" s="23" t="str">
        <x:v>アシスト型</x:v>
      </x:c>
      <x:c r="G99" s="23" t="str">
        <x:v>山岳賞ハンター / 山岳アシスト / 逃げ屋</x:v>
      </x:c>
      <x:c r="H99" s="23" t="str">
        <x:v>山岳牽引</x:v>
      </x:c>
      <x:c r="I99" s="23" t="str">
        <x:v>山岳ガード</x:v>
      </x:c>
      <x:c r="J99" s="23" t="str">
        <x:v>ペース調整</x:v>
      </x:c>
      <x:c r="K99" s="23" t="str">
        <x:v>山岳先導</x:v>
      </x:c>
      <x:c r="L99" s="23" t="str">
        <x:v>山岳風よけ</x:v>
      </x:c>
      <x:c r="M99" s="23" t="str">
        <x:v>全力献身</x:v>
      </x:c>
    </x:row>
    <x:row r="100" ht="40" customHeight="1">
      <x:c r="A100" s="23" t="str">
        <x:v>現役</x:v>
      </x:c>
      <x:c r="B100" s="26" t="n">
        <x:v>96</x:v>
      </x:c>
      <x:c r="C100" s="23" t="str">
        <x:v>Léo Bisiaux</x:v>
      </x:c>
      <x:c r="D100" s="23" t="str">
        <x:v>クラシック型</x:v>
      </x:c>
      <x:c r="E100" s="23" t="str">
        <x:v>TT・ルーラー型</x:v>
      </x:c>
      <x:c r="F100" s="23" t="str">
        <x:v>アシスト型</x:v>
      </x:c>
      <x:c r="G100" s="23" t="str">
        <x:v>平坦アシスト / TT牽引 / 石畳護衛</x:v>
      </x:c>
      <x:c r="H100" s="23" t="str">
        <x:v>進路確保</x:v>
      </x:c>
      <x:c r="I100" s="23" t="str">
        <x:v>トラブル復帰</x:v>
      </x:c>
      <x:c r="J100" s="23" t="str">
        <x:v>パヴェ護衛</x:v>
      </x:c>
      <x:c r="K100" s="23" t="str">
        <x:v>ライン誘導</x:v>
      </x:c>
      <x:c r="L100" s="23" t="str">
        <x:v>石畳牽引</x:v>
      </x:c>
      <x:c r="M100" s="23" t="str">
        <x:v>石畳護衛</x:v>
      </x:c>
    </x:row>
    <x:row r="101" ht="40" customHeight="1">
      <x:c r="A101" s="23" t="str">
        <x:v>現役</x:v>
      </x:c>
      <x:c r="B101" s="26" t="n">
        <x:v>97</x:v>
      </x:c>
      <x:c r="C101" s="23" t="str">
        <x:v>Julien Bernard</x:v>
      </x:c>
      <x:c r="D101" s="23" t="str">
        <x:v>総合型</x:v>
      </x:c>
      <x:c r="E101" s="23" t="str">
        <x:v>スプリンター</x:v>
      </x:c>
      <x:c r="F101" s="23" t="str">
        <x:v>アシスト型</x:v>
      </x:c>
      <x:c r="G101" s="23" t="str">
        <x:v>山岳賞ハンター / スプリントトレイン / 山岳アシスト</x:v>
      </x:c>
      <x:c r="H101" s="23" t="str">
        <x:v>山岳ガード</x:v>
      </x:c>
      <x:c r="I101" s="23" t="str">
        <x:v>山岳牽引</x:v>
      </x:c>
      <x:c r="J101" s="23" t="str">
        <x:v>山岳番手</x:v>
      </x:c>
      <x:c r="K101" s="23" t="str">
        <x:v>登坂チェイス</x:v>
      </x:c>
      <x:c r="L101" s="23" t="str">
        <x:v>山岳先導</x:v>
      </x:c>
      <x:c r="M101" s="23" t="str">
        <x:v>山岳救援</x:v>
      </x:c>
    </x:row>
    <x:row r="102" ht="40" customHeight="1">
      <x:c r="A102" s="23" t="str">
        <x:v>現役</x:v>
      </x:c>
      <x:c r="B102" s="26" t="n">
        <x:v>98</x:v>
      </x:c>
      <x:c r="C102" s="23" t="str">
        <x:v>Jørgen Nordhagen</x:v>
      </x:c>
      <x:c r="D102" s="23" t="str">
        <x:v>パンチャー</x:v>
      </x:c>
      <x:c r="E102" s="23" t="str">
        <x:v>スプリンター</x:v>
      </x:c>
      <x:c r="F102" s="23" t="str">
        <x:v>アシスト型</x:v>
      </x:c>
      <x:c r="G102" s="23" t="str">
        <x:v>ステージハンター / 山岳賞ハンター / スプリントトレイン</x:v>
      </x:c>
      <x:c r="H102" s="23" t="str">
        <x:v>位置引き上げ</x:v>
      </x:c>
      <x:c r="I102" s="23" t="str">
        <x:v>追走補助</x:v>
      </x:c>
      <x:c r="J102" s="23" t="str">
        <x:v>丘陵牽引</x:v>
      </x:c>
      <x:c r="K102" s="23" t="str">
        <x:v>仕掛け封じ</x:v>
      </x:c>
      <x:c r="L102" s="23" t="str">
        <x:v>坂前誘導</x:v>
      </x:c>
      <x:c r="M102" s="23" t="str">
        <x:v>最終発射</x:v>
      </x:c>
    </x:row>
    <x:row r="103" ht="40" customHeight="1">
      <x:c r="A103" s="23" t="str">
        <x:v>現役</x:v>
      </x:c>
      <x:c r="B103" s="26" t="n">
        <x:v>99</x:v>
      </x:c>
      <x:c r="C103" s="23" t="str">
        <x:v>Alessandro Pinarello</x:v>
      </x:c>
      <x:c r="D103" s="23" t="str">
        <x:v>クラシック型</x:v>
      </x:c>
      <x:c r="E103" s="23" t="str">
        <x:v>総合型</x:v>
      </x:c>
      <x:c r="F103" s="23" t="str">
        <x:v>アシスト型</x:v>
      </x:c>
      <x:c r="G103" s="23" t="str">
        <x:v>石畳護衛 / 集団コントローラー / 逃げ屋</x:v>
      </x:c>
      <x:c r="H103" s="23" t="str">
        <x:v>トラブル復帰</x:v>
      </x:c>
      <x:c r="I103" s="23" t="str">
        <x:v>進路確保</x:v>
      </x:c>
      <x:c r="J103" s="23" t="str">
        <x:v>ペース調整</x:v>
      </x:c>
      <x:c r="K103" s="23" t="str">
        <x:v>ブリッジ</x:v>
      </x:c>
      <x:c r="L103" s="23" t="str">
        <x:v>逃げ参加</x:v>
      </x:c>
      <x:c r="M103" s="23" t="str">
        <x:v>完全吸収</x:v>
      </x:c>
    </x:row>
    <x:row r="104" ht="40" customHeight="1">
      <x:c r="A104" s="23" t="str">
        <x:v>現役</x:v>
      </x:c>
      <x:c r="B104" s="26" t="n">
        <x:v>100</x:v>
      </x:c>
      <x:c r="C104" s="23" t="str">
        <x:v>Ilan Van Wilder</x:v>
      </x:c>
      <x:c r="D104" s="23" t="str">
        <x:v>総合型</x:v>
      </x:c>
      <x:c r="E104" s="23" t="str">
        <x:v>クライマー</x:v>
      </x:c>
      <x:c r="F104" s="23" t="str">
        <x:v>アシスト型</x:v>
      </x:c>
      <x:c r="G104" s="23" t="str">
        <x:v>山岳賞ハンター / 山岳アシスト / 山岳ペースメーカー</x:v>
      </x:c>
      <x:c r="H104" s="23" t="str">
        <x:v>山岳牽引</x:v>
      </x:c>
      <x:c r="I104" s="23" t="str">
        <x:v>山岳ガード</x:v>
      </x:c>
      <x:c r="J104" s="23" t="str">
        <x:v>山岳番手</x:v>
      </x:c>
      <x:c r="K104" s="23" t="str">
        <x:v>山岳ペースアップ</x:v>
      </x:c>
      <x:c r="L104" s="23" t="str">
        <x:v>山岳先導</x:v>
      </x:c>
      <x:c r="M104" s="23" t="str">
        <x:v>全力献身</x:v>
      </x:c>
    </x:row>
    <x:row r="105" ht="40" customHeight="1">
      <x:c r="A105" s="23" t="str">
        <x:v>現役</x:v>
      </x:c>
      <x:c r="B105" s="26" t="n">
        <x:v>101</x:v>
      </x:c>
      <x:c r="C105" s="23" t="str">
        <x:v>Felix Ørn-Kristoff</x:v>
      </x:c>
      <x:c r="D105" s="23" t="str">
        <x:v>クラシック型</x:v>
      </x:c>
      <x:c r="E105" s="23" t="str">
        <x:v>パンチャー</x:v>
      </x:c>
      <x:c r="F105" s="23" t="str">
        <x:v>アシスト型</x:v>
      </x:c>
      <x:c r="G105" s="23" t="str">
        <x:v>石畳護衛 / 横風要員 / 逃げ屋</x:v>
      </x:c>
      <x:c r="H105" s="23" t="str">
        <x:v>進路確保</x:v>
      </x:c>
      <x:c r="I105" s="23" t="str">
        <x:v>トラブル復帰</x:v>
      </x:c>
      <x:c r="J105" s="23" t="str">
        <x:v>ペース調整</x:v>
      </x:c>
      <x:c r="K105" s="23" t="str">
        <x:v>ライン誘導</x:v>
      </x:c>
      <x:c r="L105" s="23" t="str">
        <x:v>石畳牽引</x:v>
      </x:c>
      <x:c r="M105" s="23" t="str">
        <x:v>石畳護衛</x:v>
      </x:c>
    </x:row>
    <x:row r="106" ht="40" customHeight="1">
      <x:c r="A106" s="23" t="str">
        <x:v>現役</x:v>
      </x:c>
      <x:c r="B106" s="26" t="n">
        <x:v>102</x:v>
      </x:c>
      <x:c r="C106" s="23" t="str">
        <x:v>Jan Hirt</x:v>
      </x:c>
      <x:c r="D106" s="23" t="str">
        <x:v>クライマー</x:v>
      </x:c>
      <x:c r="E106" s="23" t="str">
        <x:v>パンチャー</x:v>
      </x:c>
      <x:c r="F106" s="23" t="str">
        <x:v>アシスト型</x:v>
      </x:c>
      <x:c r="G106" s="23" t="str">
        <x:v>山岳賞ハンター / 山岳アシスト / 山岳ペースメーカー</x:v>
      </x:c>
      <x:c r="H106" s="23" t="str">
        <x:v>山岳牽引</x:v>
      </x:c>
      <x:c r="I106" s="23" t="str">
        <x:v>山岳ガード</x:v>
      </x:c>
      <x:c r="J106" s="23" t="str">
        <x:v>風よけ</x:v>
      </x:c>
      <x:c r="K106" s="23" t="str">
        <x:v>山岳先導</x:v>
      </x:c>
      <x:c r="L106" s="23" t="str">
        <x:v>山岳風よけ</x:v>
      </x:c>
      <x:c r="M106" s="23" t="str">
        <x:v>全力献身</x:v>
      </x:c>
    </x:row>
    <x:row r="107" ht="40" customHeight="1">
      <x:c r="A107" s="23" t="str">
        <x:v>現役</x:v>
      </x:c>
      <x:c r="B107" s="26" t="n">
        <x:v>103</x:v>
      </x:c>
      <x:c r="C107" s="23" t="str">
        <x:v>Cian Uijtdebroeks</x:v>
      </x:c>
      <x:c r="D107" s="23" t="str">
        <x:v>総合型</x:v>
      </x:c>
      <x:c r="E107" s="23" t="str">
        <x:v>クライマー</x:v>
      </x:c>
      <x:c r="F107" s="23" t="str">
        <x:v>アシスト型</x:v>
      </x:c>
      <x:c r="G107" s="23" t="str">
        <x:v>山岳賞ハンター / 山岳アシスト / 集団コントローラー</x:v>
      </x:c>
      <x:c r="H107" s="23" t="str">
        <x:v>山岳ガード</x:v>
      </x:c>
      <x:c r="I107" s="23" t="str">
        <x:v>山岳牽引</x:v>
      </x:c>
      <x:c r="J107" s="23" t="str">
        <x:v>山岳番手</x:v>
      </x:c>
      <x:c r="K107" s="23" t="str">
        <x:v>登坂チェイス</x:v>
      </x:c>
      <x:c r="L107" s="23" t="str">
        <x:v>山岳先導</x:v>
      </x:c>
      <x:c r="M107" s="23" t="str">
        <x:v>全力献身</x:v>
      </x:c>
    </x:row>
    <x:row r="108" ht="40" customHeight="1">
      <x:c r="A108" s="23" t="str">
        <x:v>現役</x:v>
      </x:c>
      <x:c r="B108" s="26" t="n">
        <x:v>104</x:v>
      </x:c>
      <x:c r="C108" s="23" t="str">
        <x:v>Ben Healy</x:v>
      </x:c>
      <x:c r="D108" s="23" t="str">
        <x:v>パンチャー</x:v>
      </x:c>
      <x:c r="E108" s="23" t="str">
        <x:v>クラシック型</x:v>
      </x:c>
      <x:c r="F108" s="23" t="str">
        <x:v>アシスト型</x:v>
      </x:c>
      <x:c r="G108" s="23" t="str">
        <x:v>ステージハンター / 山岳賞ハンター / 逃げ屋</x:v>
      </x:c>
      <x:c r="H108" s="23" t="str">
        <x:v>位置引き上げ</x:v>
      </x:c>
      <x:c r="I108" s="23" t="str">
        <x:v>追走補助</x:v>
      </x:c>
      <x:c r="J108" s="23" t="str">
        <x:v>丘陵牽引</x:v>
      </x:c>
      <x:c r="K108" s="23" t="str">
        <x:v>坂前誘導</x:v>
      </x:c>
      <x:c r="L108" s="23" t="str">
        <x:v>仕掛け封じ</x:v>
      </x:c>
      <x:c r="M108" s="23" t="str">
        <x:v>丘陵封鎖</x:v>
      </x:c>
    </x:row>
    <x:row r="109" ht="40" customHeight="1">
      <x:c r="A109" s="23" t="str">
        <x:v>現役</x:v>
      </x:c>
      <x:c r="B109" s="26" t="n">
        <x:v>105</x:v>
      </x:c>
      <x:c r="C109" s="23" t="str">
        <x:v>Enzo Paleni</x:v>
      </x:c>
      <x:c r="D109" s="23" t="str">
        <x:v>パンチャー</x:v>
      </x:c>
      <x:c r="E109" s="23" t="str">
        <x:v>スプリンター</x:v>
      </x:c>
      <x:c r="F109" s="23" t="str">
        <x:v>アシスト型</x:v>
      </x:c>
      <x:c r="G109" s="23" t="str">
        <x:v>ステージハンター / 山岳賞ハンター / スプリントトレイン</x:v>
      </x:c>
      <x:c r="H109" s="23" t="str">
        <x:v>位置引き上げ</x:v>
      </x:c>
      <x:c r="I109" s="23" t="str">
        <x:v>追走補助</x:v>
      </x:c>
      <x:c r="J109" s="23" t="str">
        <x:v>丘陵牽引</x:v>
      </x:c>
      <x:c r="K109" s="23" t="str">
        <x:v>坂前誘導</x:v>
      </x:c>
      <x:c r="L109" s="23" t="str">
        <x:v>仕掛け封じ</x:v>
      </x:c>
      <x:c r="M109" s="23" t="str">
        <x:v>最終発射</x:v>
      </x:c>
    </x:row>
    <x:row r="110" ht="40" customHeight="1">
      <x:c r="A110" s="23" t="str">
        <x:v>現役</x:v>
      </x:c>
      <x:c r="B110" s="26" t="n">
        <x:v>106</x:v>
      </x:c>
      <x:c r="C110" s="23" t="str">
        <x:v>Corbin Strong</x:v>
      </x:c>
      <x:c r="D110" s="23" t="str">
        <x:v>スプリンター</x:v>
      </x:c>
      <x:c r="E110" s="23" t="str">
        <x:v>総合型</x:v>
      </x:c>
      <x:c r="F110" s="23" t="str">
        <x:v>アシスト型</x:v>
      </x:c>
      <x:c r="G110" s="23" t="str">
        <x:v>リードアウト / 最終発射台 / 集団コントローラー</x:v>
      </x:c>
      <x:c r="H110" s="23" t="str">
        <x:v>前方誘導</x:v>
      </x:c>
      <x:c r="I110" s="23" t="str">
        <x:v>平坦牽引</x:v>
      </x:c>
      <x:c r="J110" s="23" t="str">
        <x:v>位置引き上げ</x:v>
      </x:c>
      <x:c r="K110" s="23" t="str">
        <x:v>高速リードアウト</x:v>
      </x:c>
      <x:c r="L110" s="23" t="str">
        <x:v>位置取り護衛</x:v>
      </x:c>
      <x:c r="M110" s="23" t="str">
        <x:v>最終発射</x:v>
      </x:c>
    </x:row>
    <x:row r="111" ht="40" customHeight="1">
      <x:c r="A111" s="23" t="str">
        <x:v>現役</x:v>
      </x:c>
      <x:c r="B111" s="26" t="n">
        <x:v>107</x:v>
      </x:c>
      <x:c r="C111" s="23" t="str">
        <x:v>Lorenzo Rota</x:v>
      </x:c>
      <x:c r="D111" s="23" t="str">
        <x:v>パンチャー</x:v>
      </x:c>
      <x:c r="E111" s="23" t="str">
        <x:v>クライマー</x:v>
      </x:c>
      <x:c r="F111" s="23" t="str">
        <x:v>アシスト型</x:v>
      </x:c>
      <x:c r="G111" s="23" t="str">
        <x:v>ステージハンター / 山岳賞ハンター / 逃げ屋</x:v>
      </x:c>
      <x:c r="H111" s="23" t="str">
        <x:v>丘陵牽引</x:v>
      </x:c>
      <x:c r="I111" s="23" t="str">
        <x:v>追走補助</x:v>
      </x:c>
      <x:c r="J111" s="23" t="str">
        <x:v>位置引き上げ</x:v>
      </x:c>
      <x:c r="K111" s="23" t="str">
        <x:v>ブリッジ</x:v>
      </x:c>
      <x:c r="L111" s="23" t="str">
        <x:v>逃げ参加</x:v>
      </x:c>
      <x:c r="M111" s="23" t="str">
        <x:v>サテライト救援</x:v>
      </x:c>
    </x:row>
    <x:row r="112" ht="40" customHeight="1">
      <x:c r="A112" s="23" t="str">
        <x:v>現役</x:v>
      </x:c>
      <x:c r="B112" s="26" t="n">
        <x:v>108</x:v>
      </x:c>
      <x:c r="C112" s="23" t="str">
        <x:v>Anders Skaarseth</x:v>
      </x:c>
      <x:c r="D112" s="23" t="str">
        <x:v>総合型</x:v>
      </x:c>
      <x:c r="E112" s="23" t="str">
        <x:v>TT・ルーラー型</x:v>
      </x:c>
      <x:c r="F112" s="23" t="str">
        <x:v>アシスト型</x:v>
      </x:c>
      <x:c r="G112" s="23" t="str">
        <x:v>山岳賞ハンター / 山岳アシスト / 山岳番手</x:v>
      </x:c>
      <x:c r="H112" s="23" t="str">
        <x:v>山岳ガード</x:v>
      </x:c>
      <x:c r="I112" s="23" t="str">
        <x:v>山岳牽引</x:v>
      </x:c>
      <x:c r="J112" s="23" t="str">
        <x:v>山岳番手</x:v>
      </x:c>
      <x:c r="K112" s="23" t="str">
        <x:v>最後の山岳牽引</x:v>
      </x:c>
      <x:c r="L112" s="23" t="str">
        <x:v>登坂チェイス</x:v>
      </x:c>
      <x:c r="M112" s="23" t="str">
        <x:v>山岳救援</x:v>
      </x:c>
    </x:row>
    <x:row r="113" ht="40" customHeight="1">
      <x:c r="A113" s="23" t="str">
        <x:v>現役</x:v>
      </x:c>
      <x:c r="B113" s="26" t="n">
        <x:v>109</x:v>
      </x:c>
      <x:c r="C113" s="23" t="str">
        <x:v>Johan Jacobs</x:v>
      </x:c>
      <x:c r="D113" s="23" t="str">
        <x:v>スプリンター</x:v>
      </x:c>
      <x:c r="E113" s="23" t="str">
        <x:v>クライマー</x:v>
      </x:c>
      <x:c r="F113" s="23" t="str">
        <x:v>アシスト型</x:v>
      </x:c>
      <x:c r="G113" s="23" t="str">
        <x:v>山岳賞ハンター / リードアウト / スプリントトレイン</x:v>
      </x:c>
      <x:c r="H113" s="23" t="str">
        <x:v>前方誘導</x:v>
      </x:c>
      <x:c r="I113" s="23" t="str">
        <x:v>平坦牽引</x:v>
      </x:c>
      <x:c r="J113" s="23" t="str">
        <x:v>位置引き上げ</x:v>
      </x:c>
      <x:c r="K113" s="23" t="str">
        <x:v>トレイン加速</x:v>
      </x:c>
      <x:c r="L113" s="23" t="str">
        <x:v>高速リードアウト</x:v>
      </x:c>
      <x:c r="M113" s="23" t="str">
        <x:v>最終発射</x:v>
      </x:c>
    </x:row>
    <x:row r="114" ht="40" customHeight="1">
      <x:c r="A114" s="23" t="str">
        <x:v>現役</x:v>
      </x:c>
      <x:c r="B114" s="26" t="n">
        <x:v>110</x:v>
      </x:c>
      <x:c r="C114" s="23" t="str">
        <x:v>Callum Scotson</x:v>
      </x:c>
      <x:c r="D114" s="23" t="str">
        <x:v>クラシック型</x:v>
      </x:c>
      <x:c r="E114" s="23" t="str">
        <x:v>スプリンター</x:v>
      </x:c>
      <x:c r="F114" s="23" t="str">
        <x:v>アシスト型</x:v>
      </x:c>
      <x:c r="G114" s="23" t="str">
        <x:v>スプリントトレイン / 平坦アシスト / 石畳護衛</x:v>
      </x:c>
      <x:c r="H114" s="23" t="str">
        <x:v>トラブル復帰</x:v>
      </x:c>
      <x:c r="I114" s="23" t="str">
        <x:v>進路確保</x:v>
      </x:c>
      <x:c r="J114" s="23" t="str">
        <x:v>パヴェ護衛</x:v>
      </x:c>
      <x:c r="K114" s="23" t="str">
        <x:v>ライン誘導</x:v>
      </x:c>
      <x:c r="L114" s="23" t="str">
        <x:v>石畳牽引</x:v>
      </x:c>
      <x:c r="M114" s="23" t="str">
        <x:v>石畳護衛</x:v>
      </x:c>
    </x:row>
    <x:row r="115" ht="40" customHeight="1">
      <x:c r="A115" s="23" t="str">
        <x:v>現役</x:v>
      </x:c>
      <x:c r="B115" s="26" t="n">
        <x:v>111</x:v>
      </x:c>
      <x:c r="C115" s="23" t="str">
        <x:v>Lukas Nerurkar</x:v>
      </x:c>
      <x:c r="D115" s="23" t="str">
        <x:v>クラシック型</x:v>
      </x:c>
      <x:c r="E115" s="23" t="str">
        <x:v>TT・ルーラー型</x:v>
      </x:c>
      <x:c r="F115" s="23" t="str">
        <x:v>アシスト型</x:v>
      </x:c>
      <x:c r="G115" s="23" t="str">
        <x:v>TT牽引 / 石畳護衛 / 逃げ屋</x:v>
      </x:c>
      <x:c r="H115" s="23" t="str">
        <x:v>進路確保</x:v>
      </x:c>
      <x:c r="I115" s="23" t="str">
        <x:v>ペース調整</x:v>
      </x:c>
      <x:c r="J115" s="23" t="str">
        <x:v>先頭交代</x:v>
      </x:c>
      <x:c r="K115" s="23" t="str">
        <x:v>ブリッジ</x:v>
      </x:c>
      <x:c r="L115" s="23" t="str">
        <x:v>逃げ参加</x:v>
      </x:c>
      <x:c r="M115" s="23" t="str">
        <x:v>全開牽引</x:v>
      </x:c>
    </x:row>
    <x:row r="116" ht="40" customHeight="1">
      <x:c r="A116" s="23" t="str">
        <x:v>現役</x:v>
      </x:c>
      <x:c r="B116" s="26" t="n">
        <x:v>112</x:v>
      </x:c>
      <x:c r="C116" s="23" t="str">
        <x:v>Filippo Zana</x:v>
      </x:c>
      <x:c r="D116" s="23" t="str">
        <x:v>クライマー</x:v>
      </x:c>
      <x:c r="E116" s="23" t="str">
        <x:v>TT・ルーラー型</x:v>
      </x:c>
      <x:c r="F116" s="23" t="str">
        <x:v>アシスト型</x:v>
      </x:c>
      <x:c r="G116" s="23" t="str">
        <x:v>山岳賞ハンター / 山岳アシスト / 山岳番手</x:v>
      </x:c>
      <x:c r="H116" s="23" t="str">
        <x:v>山岳牽引</x:v>
      </x:c>
      <x:c r="I116" s="23" t="str">
        <x:v>山岳ガード</x:v>
      </x:c>
      <x:c r="J116" s="23" t="str">
        <x:v>山岳番手</x:v>
      </x:c>
      <x:c r="K116" s="23" t="str">
        <x:v>山岳先導</x:v>
      </x:c>
      <x:c r="L116" s="23" t="str">
        <x:v>山岳風よけ</x:v>
      </x:c>
      <x:c r="M116" s="23" t="str">
        <x:v>全力献身</x:v>
      </x:c>
    </x:row>
    <x:row r="117" ht="40" customHeight="1">
      <x:c r="A117" s="23" t="str">
        <x:v>現役</x:v>
      </x:c>
      <x:c r="B117" s="26" t="n">
        <x:v>113</x:v>
      </x:c>
      <x:c r="C117" s="23" t="str">
        <x:v>Filippo Conca</x:v>
      </x:c>
      <x:c r="D117" s="23" t="str">
        <x:v>クラシック型</x:v>
      </x:c>
      <x:c r="E117" s="23" t="str">
        <x:v>スプリンター</x:v>
      </x:c>
      <x:c r="F117" s="23" t="str">
        <x:v>アシスト型</x:v>
      </x:c>
      <x:c r="G117" s="23" t="str">
        <x:v>スプリントトレイン / 石畳護衛 / ブレイクアウェイキラー</x:v>
      </x:c>
      <x:c r="H117" s="23" t="str">
        <x:v>トラブル復帰</x:v>
      </x:c>
      <x:c r="I117" s="23" t="str">
        <x:v>進路確保</x:v>
      </x:c>
      <x:c r="J117" s="23" t="str">
        <x:v>パヴェ護衛</x:v>
      </x:c>
      <x:c r="K117" s="23" t="str">
        <x:v>トレイン加速</x:v>
      </x:c>
      <x:c r="L117" s="23" t="str">
        <x:v>逃げ吸収</x:v>
      </x:c>
      <x:c r="M117" s="23" t="str">
        <x:v>完全吸収</x:v>
      </x:c>
    </x:row>
    <x:row r="118" ht="40" customHeight="1">
      <x:c r="A118" s="23" t="str">
        <x:v>現役</x:v>
      </x:c>
      <x:c r="B118" s="26" t="n">
        <x:v>114</x:v>
      </x:c>
      <x:c r="C118" s="23" t="str">
        <x:v>James Shaw</x:v>
      </x:c>
      <x:c r="D118" s="23" t="str">
        <x:v>パンチャー</x:v>
      </x:c>
      <x:c r="E118" s="23" t="str">
        <x:v>総合型</x:v>
      </x:c>
      <x:c r="F118" s="23" t="str">
        <x:v>アシスト型</x:v>
      </x:c>
      <x:c r="G118" s="23" t="str">
        <x:v>ステージハンター / 山岳賞ハンター / 集団コントローラー</x:v>
      </x:c>
      <x:c r="H118" s="23" t="str">
        <x:v>丘陵牽引</x:v>
      </x:c>
      <x:c r="I118" s="23" t="str">
        <x:v>位置引き上げ</x:v>
      </x:c>
      <x:c r="J118" s="23" t="str">
        <x:v>追走補助</x:v>
      </x:c>
      <x:c r="K118" s="23" t="str">
        <x:v>仕掛け封じ</x:v>
      </x:c>
      <x:c r="L118" s="23" t="str">
        <x:v>丘越え牽引</x:v>
      </x:c>
      <x:c r="M118" s="23" t="str">
        <x:v>完全吸収</x:v>
      </x:c>
    </x:row>
    <x:row r="119" ht="40" customHeight="1">
      <x:c r="A119" s="23" t="str">
        <x:v>現役</x:v>
      </x:c>
      <x:c r="B119" s="26" t="n">
        <x:v>115</x:v>
      </x:c>
      <x:c r="C119" s="23" t="str">
        <x:v>Alex Baudin</x:v>
      </x:c>
      <x:c r="D119" s="23" t="str">
        <x:v>クライマー</x:v>
      </x:c>
      <x:c r="E119" s="23" t="str">
        <x:v>スプリンター</x:v>
      </x:c>
      <x:c r="F119" s="23" t="str">
        <x:v>アシスト型</x:v>
      </x:c>
      <x:c r="G119" s="23" t="str">
        <x:v>山岳賞ハンター / スプリントトレイン / 山岳アシスト</x:v>
      </x:c>
      <x:c r="H119" s="23" t="str">
        <x:v>山岳ガード</x:v>
      </x:c>
      <x:c r="I119" s="23" t="str">
        <x:v>山岳牽引</x:v>
      </x:c>
      <x:c r="J119" s="23" t="str">
        <x:v>山岳番手</x:v>
      </x:c>
      <x:c r="K119" s="23" t="str">
        <x:v>山岳先導</x:v>
      </x:c>
      <x:c r="L119" s="23" t="str">
        <x:v>山岳風よけ</x:v>
      </x:c>
      <x:c r="M119" s="23" t="str">
        <x:v>全力献身</x:v>
      </x:c>
    </x:row>
    <x:row r="120" ht="40" customHeight="1">
      <x:c r="A120" s="23" t="str">
        <x:v>現役</x:v>
      </x:c>
      <x:c r="B120" s="26" t="n">
        <x:v>116</x:v>
      </x:c>
      <x:c r="C120" s="23" t="str">
        <x:v>Alexander Kamp</x:v>
      </x:c>
      <x:c r="D120" s="23" t="str">
        <x:v>スプリンター</x:v>
      </x:c>
      <x:c r="E120" s="23" t="str">
        <x:v>総合型</x:v>
      </x:c>
      <x:c r="F120" s="23" t="str">
        <x:v>アシスト型</x:v>
      </x:c>
      <x:c r="G120" s="23" t="str">
        <x:v>リードアウト / 最終発射台 / スプリントトレイン</x:v>
      </x:c>
      <x:c r="H120" s="23" t="str">
        <x:v>前方誘導</x:v>
      </x:c>
      <x:c r="I120" s="23" t="str">
        <x:v>平坦牽引</x:v>
      </x:c>
      <x:c r="J120" s="23" t="str">
        <x:v>風よけ</x:v>
      </x:c>
      <x:c r="K120" s="23" t="str">
        <x:v>トレイン加速</x:v>
      </x:c>
      <x:c r="L120" s="23" t="str">
        <x:v>高速リードアウト</x:v>
      </x:c>
      <x:c r="M120" s="23" t="str">
        <x:v>最終発射</x:v>
      </x:c>
    </x:row>
    <x:row r="121" ht="40" customHeight="1">
      <x:c r="A121" s="23" t="str">
        <x:v>現役</x:v>
      </x:c>
      <x:c r="B121" s="26" t="n">
        <x:v>117</x:v>
      </x:c>
      <x:c r="C121" s="23" t="str">
        <x:v>Jorge Arcas</x:v>
      </x:c>
      <x:c r="D121" s="23" t="str">
        <x:v>クラシック型</x:v>
      </x:c>
      <x:c r="E121" s="23" t="str">
        <x:v>TT・ルーラー型</x:v>
      </x:c>
      <x:c r="F121" s="23" t="str">
        <x:v>アシスト型</x:v>
      </x:c>
      <x:c r="G121" s="23" t="str">
        <x:v>TT牽引 / 石畳護衛 / ブレイクアウェイキラー</x:v>
      </x:c>
      <x:c r="H121" s="23" t="str">
        <x:v>トラブル復帰</x:v>
      </x:c>
      <x:c r="I121" s="23" t="str">
        <x:v>進路確保</x:v>
      </x:c>
      <x:c r="J121" s="23" t="str">
        <x:v>パヴェ護衛</x:v>
      </x:c>
      <x:c r="K121" s="23" t="str">
        <x:v>逃げ吸収</x:v>
      </x:c>
      <x:c r="L121" s="23" t="str">
        <x:v>ライン誘導</x:v>
      </x:c>
      <x:c r="M121" s="23" t="str">
        <x:v>完全吸収</x:v>
      </x:c>
    </x:row>
    <x:row r="122" ht="40" customHeight="1">
      <x:c r="A122" s="23" t="str">
        <x:v>現役</x:v>
      </x:c>
      <x:c r="B122" s="26" t="n">
        <x:v>118</x:v>
      </x:c>
      <x:c r="C122" s="23" t="str">
        <x:v>Jon Barrenetxea</x:v>
      </x:c>
      <x:c r="D122" s="23" t="str">
        <x:v>総合型</x:v>
      </x:c>
      <x:c r="E122" s="23" t="str">
        <x:v>スプリンター</x:v>
      </x:c>
      <x:c r="F122" s="23" t="str">
        <x:v>アシスト型</x:v>
      </x:c>
      <x:c r="G122" s="23" t="str">
        <x:v>スプリントトレイン / 山岳アシスト / 集団コントローラー</x:v>
      </x:c>
      <x:c r="H122" s="23" t="str">
        <x:v>山岳ガード</x:v>
      </x:c>
      <x:c r="I122" s="23" t="str">
        <x:v>山岳牽引</x:v>
      </x:c>
      <x:c r="J122" s="23" t="str">
        <x:v>山岳番手</x:v>
      </x:c>
      <x:c r="K122" s="23" t="str">
        <x:v>登坂チェイス</x:v>
      </x:c>
      <x:c r="L122" s="23" t="str">
        <x:v>山岳先導</x:v>
      </x:c>
      <x:c r="M122" s="23" t="str">
        <x:v>全力献身</x:v>
      </x:c>
    </x:row>
    <x:row r="123" ht="40" customHeight="1">
      <x:c r="A123" s="23" t="str">
        <x:v>現役</x:v>
      </x:c>
      <x:c r="B123" s="26" t="n">
        <x:v>119</x:v>
      </x:c>
      <x:c r="C123" s="23" t="str">
        <x:v>Jefferson Alexander Cepeda</x:v>
      </x:c>
      <x:c r="D123" s="23" t="str">
        <x:v>クライマー</x:v>
      </x:c>
      <x:c r="E123" s="23" t="str">
        <x:v>クラシック型</x:v>
      </x:c>
      <x:c r="F123" s="23" t="str">
        <x:v>アシスト型</x:v>
      </x:c>
      <x:c r="G123" s="23" t="str">
        <x:v>山岳賞ハンター / 山岳アシスト / 山岳番手</x:v>
      </x:c>
      <x:c r="H123" s="23" t="str">
        <x:v>山岳ガード</x:v>
      </x:c>
      <x:c r="I123" s="23" t="str">
        <x:v>山岳牽引</x:v>
      </x:c>
      <x:c r="J123" s="23" t="str">
        <x:v>山岳番手</x:v>
      </x:c>
      <x:c r="K123" s="23" t="str">
        <x:v>登坂チェイス</x:v>
      </x:c>
      <x:c r="L123" s="23" t="str">
        <x:v>山岳先導</x:v>
      </x:c>
      <x:c r="M123" s="23" t="str">
        <x:v>山岳救援</x:v>
      </x:c>
    </x:row>
    <x:row r="124" ht="40" customHeight="1">
      <x:c r="A124" s="23" t="str">
        <x:v>現役</x:v>
      </x:c>
      <x:c r="B124" s="26" t="n">
        <x:v>120</x:v>
      </x:c>
      <x:c r="C124" s="23" t="str">
        <x:v>Aaron Dockx</x:v>
      </x:c>
      <x:c r="D124" s="23" t="str">
        <x:v>総合型</x:v>
      </x:c>
      <x:c r="E124" s="23" t="str">
        <x:v>スプリンター</x:v>
      </x:c>
      <x:c r="F124" s="23" t="str">
        <x:v>アシスト型</x:v>
      </x:c>
      <x:c r="G124" s="23" t="str">
        <x:v>スプリントトレイン / 山岳アシスト / 山岳番手</x:v>
      </x:c>
      <x:c r="H124" s="23" t="str">
        <x:v>山岳ガード</x:v>
      </x:c>
      <x:c r="I124" s="23" t="str">
        <x:v>山岳牽引</x:v>
      </x:c>
      <x:c r="J124" s="23" t="str">
        <x:v>山岳番手</x:v>
      </x:c>
      <x:c r="K124" s="23" t="str">
        <x:v>最後の山岳牽引</x:v>
      </x:c>
      <x:c r="L124" s="23" t="str">
        <x:v>登坂チェイス</x:v>
      </x:c>
      <x:c r="M124" s="23" t="str">
        <x:v>山岳救援</x:v>
      </x:c>
    </x:row>
    <x:row r="125" ht="40" customHeight="1">
      <x:c r="A125" s="23" t="str">
        <x:v>現役</x:v>
      </x:c>
      <x:c r="B125" s="26" t="n">
        <x:v>121</x:v>
      </x:c>
      <x:c r="C125" s="23" t="str">
        <x:v>Filippo Fiorelli</x:v>
      </x:c>
      <x:c r="D125" s="23" t="str">
        <x:v>クラシック型</x:v>
      </x:c>
      <x:c r="E125" s="23" t="str">
        <x:v>スプリンター</x:v>
      </x:c>
      <x:c r="F125" s="23" t="str">
        <x:v>アシスト型</x:v>
      </x:c>
      <x:c r="G125" s="23" t="str">
        <x:v>スプリントトレイン / 石畳護衛 / 横風要員</x:v>
      </x:c>
      <x:c r="H125" s="23" t="str">
        <x:v>トラブル復帰</x:v>
      </x:c>
      <x:c r="I125" s="23" t="str">
        <x:v>進路確保</x:v>
      </x:c>
      <x:c r="J125" s="23" t="str">
        <x:v>パヴェ護衛</x:v>
      </x:c>
      <x:c r="K125" s="23" t="str">
        <x:v>トレイン加速</x:v>
      </x:c>
      <x:c r="L125" s="23" t="str">
        <x:v>ライン誘導</x:v>
      </x:c>
      <x:c r="M125" s="23" t="str">
        <x:v>最終発射</x:v>
      </x:c>
    </x:row>
    <x:row r="126" ht="40" customHeight="1">
      <x:c r="A126" s="23" t="str">
        <x:v>現役</x:v>
      </x:c>
      <x:c r="B126" s="26" t="n">
        <x:v>122</x:v>
      </x:c>
      <x:c r="C126" s="23" t="str">
        <x:v>Axel Zingle</x:v>
      </x:c>
      <x:c r="D126" s="23" t="str">
        <x:v>スプリンター</x:v>
      </x:c>
      <x:c r="E126" s="23" t="str">
        <x:v>総合型</x:v>
      </x:c>
      <x:c r="F126" s="23" t="str">
        <x:v>アシスト型</x:v>
      </x:c>
      <x:c r="G126" s="23" t="str">
        <x:v>リードアウト / 最終発射台 / スプリントトレイン</x:v>
      </x:c>
      <x:c r="H126" s="23" t="str">
        <x:v>前方誘導</x:v>
      </x:c>
      <x:c r="I126" s="23" t="str">
        <x:v>位置引き上げ</x:v>
      </x:c>
      <x:c r="J126" s="23" t="str">
        <x:v>平坦牽引</x:v>
      </x:c>
      <x:c r="K126" s="23" t="str">
        <x:v>トレイン加速</x:v>
      </x:c>
      <x:c r="L126" s="23" t="str">
        <x:v>高速リードアウト</x:v>
      </x:c>
      <x:c r="M126" s="23" t="str">
        <x:v>最終発射</x:v>
      </x:c>
    </x:row>
    <x:row r="127" ht="40" customHeight="1">
      <x:c r="A127" s="23" t="str">
        <x:v>現役</x:v>
      </x:c>
      <x:c r="B127" s="26" t="n">
        <x:v>123</x:v>
      </x:c>
      <x:c r="C127" s="23" t="str">
        <x:v>Ben Swift</x:v>
      </x:c>
      <x:c r="D127" s="23" t="str">
        <x:v>スプリンター</x:v>
      </x:c>
      <x:c r="E127" s="23" t="str">
        <x:v>クラシック型</x:v>
      </x:c>
      <x:c r="F127" s="23" t="str">
        <x:v>アシスト型</x:v>
      </x:c>
      <x:c r="G127" s="23" t="str">
        <x:v>リードアウト / 最終発射台 / スプリントトレイン</x:v>
      </x:c>
      <x:c r="H127" s="23" t="str">
        <x:v>前方誘導</x:v>
      </x:c>
      <x:c r="I127" s="23" t="str">
        <x:v>位置引き上げ</x:v>
      </x:c>
      <x:c r="J127" s="23" t="str">
        <x:v>平坦牽引</x:v>
      </x:c>
      <x:c r="K127" s="23" t="str">
        <x:v>トレイン加速</x:v>
      </x:c>
      <x:c r="L127" s="23" t="str">
        <x:v>高速リードアウト</x:v>
      </x:c>
      <x:c r="M127" s="23" t="str">
        <x:v>最終発射</x:v>
      </x:c>
    </x:row>
    <x:row r="128" ht="40" customHeight="1">
      <x:c r="A128" s="23" t="str">
        <x:v>現役</x:v>
      </x:c>
      <x:c r="B128" s="26" t="n">
        <x:v>124</x:v>
      </x:c>
      <x:c r="C128" s="23" t="str">
        <x:v>Juan Guillermo Martínez</x:v>
      </x:c>
      <x:c r="D128" s="23" t="str">
        <x:v>クライマー</x:v>
      </x:c>
      <x:c r="E128" s="23" t="str">
        <x:v>パンチャー</x:v>
      </x:c>
      <x:c r="F128" s="23" t="str">
        <x:v>アシスト型</x:v>
      </x:c>
      <x:c r="G128" s="23" t="str">
        <x:v>山岳賞ハンター / 山岳アシスト / 山岳番手</x:v>
      </x:c>
      <x:c r="H128" s="23" t="str">
        <x:v>山岳ガード</x:v>
      </x:c>
      <x:c r="I128" s="23" t="str">
        <x:v>山岳牽引</x:v>
      </x:c>
      <x:c r="J128" s="23" t="str">
        <x:v>山岳番手</x:v>
      </x:c>
      <x:c r="K128" s="23" t="str">
        <x:v>最後の山岳牽引</x:v>
      </x:c>
      <x:c r="L128" s="23" t="str">
        <x:v>登坂チェイス</x:v>
      </x:c>
      <x:c r="M128" s="23" t="str">
        <x:v>山岳救援</x:v>
      </x:c>
    </x:row>
    <x:row r="129" ht="40" customHeight="1">
      <x:c r="A129" s="23" t="str">
        <x:v>現役</x:v>
      </x:c>
      <x:c r="B129" s="26" t="n">
        <x:v>125</x:v>
      </x:c>
      <x:c r="C129" s="23" t="str">
        <x:v>Bjoern Koerdt</x:v>
      </x:c>
      <x:c r="D129" s="23" t="str">
        <x:v>パンチャー</x:v>
      </x:c>
      <x:c r="E129" s="23" t="str">
        <x:v>スプリンター</x:v>
      </x:c>
      <x:c r="F129" s="23" t="str">
        <x:v>アシスト型</x:v>
      </x:c>
      <x:c r="G129" s="23" t="str">
        <x:v>ステージハンター / スプリントトレイン / 下り牽引</x:v>
      </x:c>
      <x:c r="H129" s="23" t="str">
        <x:v>安全誘導</x:v>
      </x:c>
      <x:c r="I129" s="23" t="str">
        <x:v>高速コーナリング</x:v>
      </x:c>
      <x:c r="J129" s="23" t="str">
        <x:v>位置引き上げ</x:v>
      </x:c>
      <x:c r="K129" s="23" t="str">
        <x:v>ダウンヒル牽引</x:v>
      </x:c>
      <x:c r="L129" s="23" t="str">
        <x:v>下りアタック</x:v>
      </x:c>
      <x:c r="M129" s="23" t="str">
        <x:v>下り護衛</x:v>
      </x:c>
    </x:row>
    <x:row r="130" ht="40" customHeight="1">
      <x:c r="A130" s="23" t="str">
        <x:v>現役</x:v>
      </x:c>
      <x:c r="B130" s="26" t="n">
        <x:v>126</x:v>
      </x:c>
      <x:c r="C130" s="23" t="str">
        <x:v>Marijn van den Berg</x:v>
      </x:c>
      <x:c r="D130" s="23" t="str">
        <x:v>スプリンター</x:v>
      </x:c>
      <x:c r="E130" s="23" t="str">
        <x:v>クライマー</x:v>
      </x:c>
      <x:c r="F130" s="23" t="str">
        <x:v>アシスト型</x:v>
      </x:c>
      <x:c r="G130" s="23" t="str">
        <x:v>山岳賞ハンター / リードアウト / 最終発射台</x:v>
      </x:c>
      <x:c r="H130" s="23" t="str">
        <x:v>前方誘導</x:v>
      </x:c>
      <x:c r="I130" s="23" t="str">
        <x:v>位置引き上げ</x:v>
      </x:c>
      <x:c r="J130" s="23" t="str">
        <x:v>平坦牽引</x:v>
      </x:c>
      <x:c r="K130" s="23" t="str">
        <x:v>高速リードアウト</x:v>
      </x:c>
      <x:c r="L130" s="23" t="str">
        <x:v>坂前誘導</x:v>
      </x:c>
      <x:c r="M130" s="23" t="str">
        <x:v>最終発射</x:v>
      </x:c>
    </x:row>
    <x:row r="131" ht="40" customHeight="1">
      <x:c r="A131" s="23" t="str">
        <x:v>現役</x:v>
      </x:c>
      <x:c r="B131" s="26" t="n">
        <x:v>127</x:v>
      </x:c>
      <x:c r="C131" s="23" t="str">
        <x:v>Huub Artz</x:v>
      </x:c>
      <x:c r="D131" s="23" t="str">
        <x:v>パンチャー</x:v>
      </x:c>
      <x:c r="E131" s="23" t="str">
        <x:v>クライマー</x:v>
      </x:c>
      <x:c r="F131" s="23" t="str">
        <x:v>アシスト型</x:v>
      </x:c>
      <x:c r="G131" s="23" t="str">
        <x:v>ステージハンター / 山岳賞ハンター / 逃げ屋</x:v>
      </x:c>
      <x:c r="H131" s="23" t="str">
        <x:v>丘陵牽引</x:v>
      </x:c>
      <x:c r="I131" s="23" t="str">
        <x:v>位置引き上げ</x:v>
      </x:c>
      <x:c r="J131" s="23" t="str">
        <x:v>追走補助</x:v>
      </x:c>
      <x:c r="K131" s="23" t="str">
        <x:v>仕掛け封じ</x:v>
      </x:c>
      <x:c r="L131" s="23" t="str">
        <x:v>丘越え牽引</x:v>
      </x:c>
      <x:c r="M131" s="23" t="str">
        <x:v>丘陵封鎖</x:v>
      </x:c>
    </x:row>
    <x:row r="132" ht="40" customHeight="1">
      <x:c r="A132" s="23" t="str">
        <x:v>現役</x:v>
      </x:c>
      <x:c r="B132" s="26" t="n">
        <x:v>128</x:v>
      </x:c>
      <x:c r="C132" s="23" t="str">
        <x:v>Jonas Iversby Hvideberg</x:v>
      </x:c>
      <x:c r="D132" s="23" t="str">
        <x:v>総合型</x:v>
      </x:c>
      <x:c r="E132" s="23" t="str">
        <x:v>TT・ルーラー型</x:v>
      </x:c>
      <x:c r="F132" s="23" t="str">
        <x:v>アシスト型</x:v>
      </x:c>
      <x:c r="G132" s="23" t="str">
        <x:v>ロードキャプテン / 山岳アシスト / 山岳番手</x:v>
      </x:c>
      <x:c r="H132" s="23" t="str">
        <x:v>山岳ガード</x:v>
      </x:c>
      <x:c r="I132" s="23" t="str">
        <x:v>山岳牽引</x:v>
      </x:c>
      <x:c r="J132" s="23" t="str">
        <x:v>山岳番手</x:v>
      </x:c>
      <x:c r="K132" s="23" t="str">
        <x:v>最後の山岳牽引</x:v>
      </x:c>
      <x:c r="L132" s="23" t="str">
        <x:v>登坂チェイス</x:v>
      </x:c>
      <x:c r="M132" s="23" t="str">
        <x:v>山岳救援</x:v>
      </x:c>
    </x:row>
    <x:row r="133" ht="40" customHeight="1">
      <x:c r="A133" s="23" t="str">
        <x:v>現役</x:v>
      </x:c>
      <x:c r="B133" s="26" t="n">
        <x:v>129</x:v>
      </x:c>
      <x:c r="C133" s="23" t="str">
        <x:v>Julius van den Berg</x:v>
      </x:c>
      <x:c r="D133" s="23" t="str">
        <x:v>スプリンター</x:v>
      </x:c>
      <x:c r="E133" s="23" t="str">
        <x:v>クラシック型</x:v>
      </x:c>
      <x:c r="F133" s="23" t="str">
        <x:v>アシスト型</x:v>
      </x:c>
      <x:c r="G133" s="23" t="str">
        <x:v>リードアウト / 最終発射台 / スプリントトレイン</x:v>
      </x:c>
      <x:c r="H133" s="23" t="str">
        <x:v>前方誘導</x:v>
      </x:c>
      <x:c r="I133" s="23" t="str">
        <x:v>位置引き上げ</x:v>
      </x:c>
      <x:c r="J133" s="23" t="str">
        <x:v>平坦牽引</x:v>
      </x:c>
      <x:c r="K133" s="23" t="str">
        <x:v>トレイン加速</x:v>
      </x:c>
      <x:c r="L133" s="23" t="str">
        <x:v>高速リードアウト</x:v>
      </x:c>
      <x:c r="M133" s="23" t="str">
        <x:v>最終発射</x:v>
      </x:c>
    </x:row>
    <x:row r="134" ht="40" customHeight="1">
      <x:c r="A134" s="23" t="str">
        <x:v>現役</x:v>
      </x:c>
      <x:c r="B134" s="26" t="n">
        <x:v>130</x:v>
      </x:c>
      <x:c r="C134" s="23" t="str">
        <x:v>Iván Romeo</x:v>
      </x:c>
      <x:c r="D134" s="23" t="str">
        <x:v>パンチャー</x:v>
      </x:c>
      <x:c r="E134" s="23" t="str">
        <x:v>総合型</x:v>
      </x:c>
      <x:c r="F134" s="23" t="str">
        <x:v>アシスト型</x:v>
      </x:c>
      <x:c r="G134" s="23" t="str">
        <x:v>ステージハンター / 山岳賞ハンター / 下り牽引</x:v>
      </x:c>
      <x:c r="H134" s="23" t="str">
        <x:v>安全誘導</x:v>
      </x:c>
      <x:c r="I134" s="23" t="str">
        <x:v>高速コーナリング</x:v>
      </x:c>
      <x:c r="J134" s="23" t="str">
        <x:v>位置引き上げ</x:v>
      </x:c>
      <x:c r="K134" s="23" t="str">
        <x:v>ダウンヒル牽引</x:v>
      </x:c>
      <x:c r="L134" s="23" t="str">
        <x:v>下りアタック</x:v>
      </x:c>
      <x:c r="M134" s="23" t="str">
        <x:v>下り護衛</x:v>
      </x:c>
    </x:row>
    <x:row r="135" ht="40" customHeight="1">
      <x:c r="A135" s="23" t="str">
        <x:v>現役</x:v>
      </x:c>
      <x:c r="B135" s="26" t="n">
        <x:v>131</x:v>
      </x:c>
      <x:c r="C135" s="23" t="str">
        <x:v>Casper van Uden</x:v>
      </x:c>
      <x:c r="D135" s="23" t="str">
        <x:v>スプリンター</x:v>
      </x:c>
      <x:c r="E135" s="23" t="str">
        <x:v>総合型</x:v>
      </x:c>
      <x:c r="F135" s="23" t="str">
        <x:v>アシスト型</x:v>
      </x:c>
      <x:c r="G135" s="23" t="str">
        <x:v>リードアウト / 最終発射台 / スプリントトレイン</x:v>
      </x:c>
      <x:c r="H135" s="23" t="str">
        <x:v>前方誘導</x:v>
      </x:c>
      <x:c r="I135" s="23" t="str">
        <x:v>平坦牽引</x:v>
      </x:c>
      <x:c r="J135" s="23" t="str">
        <x:v>位置引き上げ</x:v>
      </x:c>
      <x:c r="K135" s="23" t="str">
        <x:v>トレイン加速</x:v>
      </x:c>
      <x:c r="L135" s="23" t="str">
        <x:v>高速リードアウト</x:v>
      </x:c>
      <x:c r="M135" s="23" t="str">
        <x:v>最終発射</x:v>
      </x:c>
    </x:row>
    <x:row r="136" ht="40" customHeight="1">
      <x:c r="A136" s="23" t="str">
        <x:v>現役</x:v>
      </x:c>
      <x:c r="B136" s="26" t="n">
        <x:v>132</x:v>
      </x:c>
      <x:c r="C136" s="23" t="str">
        <x:v>Andreas Kron</x:v>
      </x:c>
      <x:c r="D136" s="23" t="str">
        <x:v>パンチャー</x:v>
      </x:c>
      <x:c r="E136" s="23" t="str">
        <x:v>総合型</x:v>
      </x:c>
      <x:c r="F136" s="23" t="str">
        <x:v>アシスト型</x:v>
      </x:c>
      <x:c r="G136" s="23" t="str">
        <x:v>ステージハンター / 山岳賞ハンター / 下り牽引</x:v>
      </x:c>
      <x:c r="H136" s="23" t="str">
        <x:v>安全誘導</x:v>
      </x:c>
      <x:c r="I136" s="23" t="str">
        <x:v>高速コーナリング</x:v>
      </x:c>
      <x:c r="J136" s="23" t="str">
        <x:v>位置引き上げ</x:v>
      </x:c>
      <x:c r="K136" s="23" t="str">
        <x:v>ダウンヒル牽引</x:v>
      </x:c>
      <x:c r="L136" s="23" t="str">
        <x:v>下りアタック</x:v>
      </x:c>
      <x:c r="M136" s="23" t="str">
        <x:v>下り護衛</x:v>
      </x:c>
    </x:row>
    <x:row r="137" ht="40" customHeight="1">
      <x:c r="A137" s="23" t="str">
        <x:v>現役</x:v>
      </x:c>
      <x:c r="B137" s="26" t="n">
        <x:v>133</x:v>
      </x:c>
      <x:c r="C137" s="23" t="str">
        <x:v>Cees Bol</x:v>
      </x:c>
      <x:c r="D137" s="23" t="str">
        <x:v>スプリンター</x:v>
      </x:c>
      <x:c r="E137" s="23" t="str">
        <x:v>TT・ルーラー型</x:v>
      </x:c>
      <x:c r="F137" s="23" t="str">
        <x:v>アシスト型</x:v>
      </x:c>
      <x:c r="G137" s="23" t="str">
        <x:v>ロードキャプテン / リードアウト / 最終発射台</x:v>
      </x:c>
      <x:c r="H137" s="23" t="str">
        <x:v>前方誘導</x:v>
      </x:c>
      <x:c r="I137" s="23" t="str">
        <x:v>位置引き上げ</x:v>
      </x:c>
      <x:c r="J137" s="23" t="str">
        <x:v>進路確保</x:v>
      </x:c>
      <x:c r="K137" s="23" t="str">
        <x:v>高速リードアウト</x:v>
      </x:c>
      <x:c r="L137" s="23" t="str">
        <x:v>隊列再編</x:v>
      </x:c>
      <x:c r="M137" s="23" t="str">
        <x:v>最終発射</x:v>
      </x:c>
    </x:row>
    <x:row r="138" ht="40" customHeight="1">
      <x:c r="A138" s="23" t="str">
        <x:v>現役</x:v>
      </x:c>
      <x:c r="B138" s="26" t="n">
        <x:v>134</x:v>
      </x:c>
      <x:c r="C138" s="23" t="str">
        <x:v>Darren Rafferty</x:v>
      </x:c>
      <x:c r="D138" s="23" t="str">
        <x:v>スプリンター</x:v>
      </x:c>
      <x:c r="E138" s="23" t="str">
        <x:v>総合型</x:v>
      </x:c>
      <x:c r="F138" s="23" t="str">
        <x:v>アシスト型</x:v>
      </x:c>
      <x:c r="G138" s="23" t="str">
        <x:v>リードアウト / 最終発射台 / スプリントトレイン</x:v>
      </x:c>
      <x:c r="H138" s="23" t="str">
        <x:v>前方誘導</x:v>
      </x:c>
      <x:c r="I138" s="23" t="str">
        <x:v>位置引き上げ</x:v>
      </x:c>
      <x:c r="J138" s="23" t="str">
        <x:v>平坦牽引</x:v>
      </x:c>
      <x:c r="K138" s="23" t="str">
        <x:v>トレイン加速</x:v>
      </x:c>
      <x:c r="L138" s="23" t="str">
        <x:v>高速リードアウト</x:v>
      </x:c>
      <x:c r="M138" s="23" t="str">
        <x:v>最終発射</x:v>
      </x:c>
    </x:row>
    <x:row r="139" ht="40" customHeight="1">
      <x:c r="A139" s="23" t="str">
        <x:v>現役</x:v>
      </x:c>
      <x:c r="B139" s="26" t="n">
        <x:v>135</x:v>
      </x:c>
      <x:c r="C139" s="23" t="str">
        <x:v>Amanuel Ghebreigzabhier</x:v>
      </x:c>
      <x:c r="D139" s="23" t="str">
        <x:v>クラシック型</x:v>
      </x:c>
      <x:c r="E139" s="23" t="str">
        <x:v>パンチャー</x:v>
      </x:c>
      <x:c r="F139" s="23" t="str">
        <x:v>アシスト型</x:v>
      </x:c>
      <x:c r="G139" s="23" t="str">
        <x:v>平坦アシスト / TT牽引 / 石畳護衛</x:v>
      </x:c>
      <x:c r="H139" s="23" t="str">
        <x:v>トラブル復帰</x:v>
      </x:c>
      <x:c r="I139" s="23" t="str">
        <x:v>進路確保</x:v>
      </x:c>
      <x:c r="J139" s="23" t="str">
        <x:v>パヴェ護衛</x:v>
      </x:c>
      <x:c r="K139" s="23" t="str">
        <x:v>パヴェ追走</x:v>
      </x:c>
      <x:c r="L139" s="23" t="str">
        <x:v>ライン誘導</x:v>
      </x:c>
      <x:c r="M139" s="23" t="str">
        <x:v>石畳護衛</x:v>
      </x:c>
    </x:row>
    <x:row r="140" ht="40" customHeight="1">
      <x:c r="A140" s="23" t="str">
        <x:v>現役</x:v>
      </x:c>
      <x:c r="B140" s="26" t="n">
        <x:v>136</x:v>
      </x:c>
      <x:c r="C140" s="23" t="str">
        <x:v>Jay Vine</x:v>
      </x:c>
      <x:c r="D140" s="23" t="str">
        <x:v>クライマー</x:v>
      </x:c>
      <x:c r="E140" s="23" t="str">
        <x:v>総合型</x:v>
      </x:c>
      <x:c r="F140" s="23" t="str">
        <x:v>アシスト型</x:v>
      </x:c>
      <x:c r="G140" s="23" t="str">
        <x:v>山岳賞ハンター / 山岳アシスト / 集団コントローラー</x:v>
      </x:c>
      <x:c r="H140" s="23" t="str">
        <x:v>山岳牽引</x:v>
      </x:c>
      <x:c r="I140" s="23" t="str">
        <x:v>山岳ガード</x:v>
      </x:c>
      <x:c r="J140" s="23" t="str">
        <x:v>山岳番手</x:v>
      </x:c>
      <x:c r="K140" s="23" t="str">
        <x:v>山岳先導</x:v>
      </x:c>
      <x:c r="L140" s="23" t="str">
        <x:v>山岳風よけ</x:v>
      </x:c>
      <x:c r="M140" s="23" t="str">
        <x:v>全力献身</x:v>
      </x:c>
    </x:row>
    <x:row r="141" ht="40" customHeight="1">
      <x:c r="A141" s="23" t="str">
        <x:v>現役</x:v>
      </x:c>
      <x:c r="B141" s="26" t="n">
        <x:v>137</x:v>
      </x:c>
      <x:c r="C141" s="23" t="str">
        <x:v>António Morgado</x:v>
      </x:c>
      <x:c r="D141" s="23" t="str">
        <x:v>クラシック型</x:v>
      </x:c>
      <x:c r="E141" s="23" t="str">
        <x:v>パンチャー</x:v>
      </x:c>
      <x:c r="F141" s="23" t="str">
        <x:v>アシスト型</x:v>
      </x:c>
      <x:c r="G141" s="23" t="str">
        <x:v>ステージハンター / 石畳護衛 / 下り牽引</x:v>
      </x:c>
      <x:c r="H141" s="23" t="str">
        <x:v>安全誘導</x:v>
      </x:c>
      <x:c r="I141" s="23" t="str">
        <x:v>高速コーナリング</x:v>
      </x:c>
      <x:c r="J141" s="23" t="str">
        <x:v>進路確保</x:v>
      </x:c>
      <x:c r="K141" s="23" t="str">
        <x:v>ダウンヒル牽引</x:v>
      </x:c>
      <x:c r="L141" s="23" t="str">
        <x:v>下りアタック</x:v>
      </x:c>
      <x:c r="M141" s="23" t="str">
        <x:v>下り護衛</x:v>
      </x:c>
    </x:row>
    <x:row r="142" ht="40" customHeight="1">
      <x:c r="A142" s="23" t="str">
        <x:v>現役</x:v>
      </x:c>
      <x:c r="B142" s="26" t="n">
        <x:v>138</x:v>
      </x:c>
      <x:c r="C142" s="23" t="str">
        <x:v>Joshua Giddings</x:v>
      </x:c>
      <x:c r="D142" s="23" t="str">
        <x:v>クラシック型</x:v>
      </x:c>
      <x:c r="E142" s="23" t="str">
        <x:v>TT・ルーラー型</x:v>
      </x:c>
      <x:c r="F142" s="23" t="str">
        <x:v>アシスト型</x:v>
      </x:c>
      <x:c r="G142" s="23" t="str">
        <x:v>平坦アシスト / TT牽引 / 石畳護衛</x:v>
      </x:c>
      <x:c r="H142" s="23" t="str">
        <x:v>パヴェ護衛</x:v>
      </x:c>
      <x:c r="I142" s="23" t="str">
        <x:v>進路確保</x:v>
      </x:c>
      <x:c r="J142" s="23" t="str">
        <x:v>トラブル復帰</x:v>
      </x:c>
      <x:c r="K142" s="23" t="str">
        <x:v>ライン誘導</x:v>
      </x:c>
      <x:c r="L142" s="23" t="str">
        <x:v>石畳牽引</x:v>
      </x:c>
      <x:c r="M142" s="23" t="str">
        <x:v>石畳護衛</x:v>
      </x:c>
    </x:row>
    <x:row r="143" ht="40" customHeight="1">
      <x:c r="A143" s="23" t="str">
        <x:v>現役</x:v>
      </x:c>
      <x:c r="B143" s="26" t="n">
        <x:v>139</x:v>
      </x:c>
      <x:c r="C143" s="23" t="str">
        <x:v>Edward Planckaert</x:v>
      </x:c>
      <x:c r="D143" s="23" t="str">
        <x:v>クラシック型</x:v>
      </x:c>
      <x:c r="E143" s="23" t="str">
        <x:v>TT・ルーラー型</x:v>
      </x:c>
      <x:c r="F143" s="23" t="str">
        <x:v>アシスト型</x:v>
      </x:c>
      <x:c r="G143" s="23" t="str">
        <x:v>TT牽引 / 石畳護衛 / 横風要員</x:v>
      </x:c>
      <x:c r="H143" s="23" t="str">
        <x:v>トラブル復帰</x:v>
      </x:c>
      <x:c r="I143" s="23" t="str">
        <x:v>進路確保</x:v>
      </x:c>
      <x:c r="J143" s="23" t="str">
        <x:v>パヴェ護衛</x:v>
      </x:c>
      <x:c r="K143" s="23" t="str">
        <x:v>ライン誘導</x:v>
      </x:c>
      <x:c r="L143" s="23" t="str">
        <x:v>石畳牽引</x:v>
      </x:c>
      <x:c r="M143" s="23" t="str">
        <x:v>石畳護衛</x:v>
      </x:c>
    </x:row>
    <x:row r="144" ht="40" customHeight="1">
      <x:c r="A144" s="23" t="str">
        <x:v>現役</x:v>
      </x:c>
      <x:c r="B144" s="26" t="n">
        <x:v>140</x:v>
      </x:c>
      <x:c r="C144" s="23" t="str">
        <x:v>Colby Simmons</x:v>
      </x:c>
      <x:c r="D144" s="23" t="str">
        <x:v>クライマー</x:v>
      </x:c>
      <x:c r="E144" s="23" t="str">
        <x:v>スプリンター</x:v>
      </x:c>
      <x:c r="F144" s="23" t="str">
        <x:v>アシスト型</x:v>
      </x:c>
      <x:c r="G144" s="23" t="str">
        <x:v>ロードキャプテン / スプリントトレイン / 山岳アシスト</x:v>
      </x:c>
      <x:c r="H144" s="23" t="str">
        <x:v>山岳ガード</x:v>
      </x:c>
      <x:c r="I144" s="23" t="str">
        <x:v>山岳牽引</x:v>
      </x:c>
      <x:c r="J144" s="23" t="str">
        <x:v>山岳番手</x:v>
      </x:c>
      <x:c r="K144" s="23" t="str">
        <x:v>山岳先導</x:v>
      </x:c>
      <x:c r="L144" s="23" t="str">
        <x:v>山岳風よけ</x:v>
      </x:c>
      <x:c r="M144" s="23" t="str">
        <x:v>全力献身</x:v>
      </x:c>
    </x:row>
    <x:row r="145" ht="40" customHeight="1">
      <x:c r="A145" s="23" t="str">
        <x:v>現役</x:v>
      </x:c>
      <x:c r="B145" s="26" t="n">
        <x:v>141</x:v>
      </x:c>
      <x:c r="C145" s="23" t="str">
        <x:v>Anton Schiffer</x:v>
      </x:c>
      <x:c r="D145" s="23" t="str">
        <x:v>クライマー</x:v>
      </x:c>
      <x:c r="E145" s="23" t="str">
        <x:v>パンチャー</x:v>
      </x:c>
      <x:c r="F145" s="23" t="str">
        <x:v>アシスト型</x:v>
      </x:c>
      <x:c r="G145" s="23" t="str">
        <x:v>山岳賞ハンター / 山岳アシスト / 山岳ペースメーカー</x:v>
      </x:c>
      <x:c r="H145" s="23" t="str">
        <x:v>山岳ガード</x:v>
      </x:c>
      <x:c r="I145" s="23" t="str">
        <x:v>山岳牽引</x:v>
      </x:c>
      <x:c r="J145" s="23" t="str">
        <x:v>山岳番手</x:v>
      </x:c>
      <x:c r="K145" s="23" t="str">
        <x:v>登坂チェイス</x:v>
      </x:c>
      <x:c r="L145" s="23" t="str">
        <x:v>山岳先導</x:v>
      </x:c>
      <x:c r="M145" s="23" t="str">
        <x:v>山岳救援</x:v>
      </x:c>
    </x:row>
    <x:row r="146" ht="40" customHeight="1">
      <x:c r="A146" s="23" t="str">
        <x:v>現役</x:v>
      </x:c>
      <x:c r="B146" s="26" t="n">
        <x:v>142</x:v>
      </x:c>
      <x:c r="C146" s="23" t="str">
        <x:v>Javier Romo</x:v>
      </x:c>
      <x:c r="D146" s="23" t="str">
        <x:v>クラシック型</x:v>
      </x:c>
      <x:c r="E146" s="23" t="str">
        <x:v>TT・ルーラー型</x:v>
      </x:c>
      <x:c r="F146" s="23" t="str">
        <x:v>アシスト型</x:v>
      </x:c>
      <x:c r="G146" s="23" t="str">
        <x:v>TT牽引 / 石畳護衛 / 下り牽引</x:v>
      </x:c>
      <x:c r="H146" s="23" t="str">
        <x:v>安全誘導</x:v>
      </x:c>
      <x:c r="I146" s="23" t="str">
        <x:v>高速コーナリング</x:v>
      </x:c>
      <x:c r="J146" s="23" t="str">
        <x:v>進路確保</x:v>
      </x:c>
      <x:c r="K146" s="23" t="str">
        <x:v>ダウンヒル牽引</x:v>
      </x:c>
      <x:c r="L146" s="23" t="str">
        <x:v>下りアタック</x:v>
      </x:c>
      <x:c r="M146" s="23" t="str">
        <x:v>下り護衛</x:v>
      </x:c>
    </x:row>
    <x:row r="147" ht="40" customHeight="1">
      <x:c r="A147" s="23" t="str">
        <x:v>現役</x:v>
      </x:c>
      <x:c r="B147" s="26" t="n">
        <x:v>143</x:v>
      </x:c>
      <x:c r="C147" s="23" t="str">
        <x:v>Magnus Cort</x:v>
      </x:c>
      <x:c r="D147" s="23" t="str">
        <x:v>パンチャー</x:v>
      </x:c>
      <x:c r="E147" s="23" t="str">
        <x:v>スプリンター</x:v>
      </x:c>
      <x:c r="F147" s="23" t="str">
        <x:v>アシスト型</x:v>
      </x:c>
      <x:c r="G147" s="23" t="str">
        <x:v>ステージハンター / スプリントトレイン / 逃げ屋</x:v>
      </x:c>
      <x:c r="H147" s="23" t="str">
        <x:v>位置引き上げ</x:v>
      </x:c>
      <x:c r="I147" s="23" t="str">
        <x:v>丘陵牽引</x:v>
      </x:c>
      <x:c r="J147" s="23" t="str">
        <x:v>追走補助</x:v>
      </x:c>
      <x:c r="K147" s="23" t="str">
        <x:v>仕掛け封じ</x:v>
      </x:c>
      <x:c r="L147" s="23" t="str">
        <x:v>坂前誘導</x:v>
      </x:c>
      <x:c r="M147" s="23" t="str">
        <x:v>最終発射</x:v>
      </x:c>
    </x:row>
    <x:row r="148" ht="40" customHeight="1">
      <x:c r="A148" s="23" t="str">
        <x:v>現役</x:v>
      </x:c>
      <x:c r="B148" s="26" t="n">
        <x:v>144</x:v>
      </x:c>
      <x:c r="C148" s="23" t="str">
        <x:v>Christian Scaroni</x:v>
      </x:c>
      <x:c r="D148" s="23" t="str">
        <x:v>パンチャー</x:v>
      </x:c>
      <x:c r="E148" s="23" t="str">
        <x:v>クラシック型</x:v>
      </x:c>
      <x:c r="F148" s="23" t="str">
        <x:v>アシスト型</x:v>
      </x:c>
      <x:c r="G148" s="23" t="str">
        <x:v>ステージハンター / 逃げ屋 / ポジションキーパー</x:v>
      </x:c>
      <x:c r="H148" s="23" t="str">
        <x:v>位置引き上げ</x:v>
      </x:c>
      <x:c r="I148" s="23" t="str">
        <x:v>丘陵牽引</x:v>
      </x:c>
      <x:c r="J148" s="23" t="str">
        <x:v>追走補助</x:v>
      </x:c>
      <x:c r="K148" s="23" t="str">
        <x:v>仕掛け封じ</x:v>
      </x:c>
      <x:c r="L148" s="23" t="str">
        <x:v>坂前誘導</x:v>
      </x:c>
      <x:c r="M148" s="23" t="str">
        <x:v>丘陵封鎖</x:v>
      </x:c>
    </x:row>
    <x:row r="149" ht="40" customHeight="1">
      <x:c r="A149" s="23" t="str">
        <x:v>現役</x:v>
      </x:c>
      <x:c r="B149" s="26" t="n">
        <x:v>145</x:v>
      </x:c>
      <x:c r="C149" s="23" t="str">
        <x:v>Cristián Rodríguez</x:v>
      </x:c>
      <x:c r="D149" s="23" t="str">
        <x:v>クライマー</x:v>
      </x:c>
      <x:c r="E149" s="23" t="str">
        <x:v>TT・ルーラー型</x:v>
      </x:c>
      <x:c r="F149" s="23" t="str">
        <x:v>アシスト型</x:v>
      </x:c>
      <x:c r="G149" s="23" t="str">
        <x:v>山岳賞ハンター / 山岳アシスト / 山岳番手</x:v>
      </x:c>
      <x:c r="H149" s="23" t="str">
        <x:v>山岳ガード</x:v>
      </x:c>
      <x:c r="I149" s="23" t="str">
        <x:v>山岳牽引</x:v>
      </x:c>
      <x:c r="J149" s="23" t="str">
        <x:v>山岳番手</x:v>
      </x:c>
      <x:c r="K149" s="23" t="str">
        <x:v>最後の山岳牽引</x:v>
      </x:c>
      <x:c r="L149" s="23" t="str">
        <x:v>山岳先導</x:v>
      </x:c>
      <x:c r="M149" s="23" t="str">
        <x:v>全力献身</x:v>
      </x:c>
    </x:row>
    <x:row r="150" ht="40" customHeight="1">
      <x:c r="A150" s="23" t="str">
        <x:v>現役</x:v>
      </x:c>
      <x:c r="B150" s="26" t="n">
        <x:v>146</x:v>
      </x:c>
      <x:c r="C150" s="23" t="str">
        <x:v>Gianluca Pollefliet</x:v>
      </x:c>
      <x:c r="D150" s="23" t="str">
        <x:v>クラシック型</x:v>
      </x:c>
      <x:c r="E150" s="23" t="str">
        <x:v>クライマー</x:v>
      </x:c>
      <x:c r="F150" s="23" t="str">
        <x:v>アシスト型</x:v>
      </x:c>
      <x:c r="G150" s="23" t="str">
        <x:v>山岳賞ハンター / 石畳護衛 / 下り牽引</x:v>
      </x:c>
      <x:c r="H150" s="23" t="str">
        <x:v>安全誘導</x:v>
      </x:c>
      <x:c r="I150" s="23" t="str">
        <x:v>高速コーナリング</x:v>
      </x:c>
      <x:c r="J150" s="23" t="str">
        <x:v>進路確保</x:v>
      </x:c>
      <x:c r="K150" s="23" t="str">
        <x:v>ダウンヒル牽引</x:v>
      </x:c>
      <x:c r="L150" s="23" t="str">
        <x:v>下りアタック</x:v>
      </x:c>
      <x:c r="M150" s="23" t="str">
        <x:v>下り護衛</x:v>
      </x:c>
    </x:row>
    <x:row r="151" ht="40" customHeight="1">
      <x:c r="A151" s="23" t="str">
        <x:v>現役</x:v>
      </x:c>
      <x:c r="B151" s="26" t="n">
        <x:v>147</x:v>
      </x:c>
      <x:c r="C151" s="23" t="str">
        <x:v>Georg Steinhauser</x:v>
      </x:c>
      <x:c r="D151" s="23" t="str">
        <x:v>総合型</x:v>
      </x:c>
      <x:c r="E151" s="23" t="str">
        <x:v>TT・ルーラー型</x:v>
      </x:c>
      <x:c r="F151" s="23" t="str">
        <x:v>アシスト型</x:v>
      </x:c>
      <x:c r="G151" s="23" t="str">
        <x:v>山岳アシスト / 山岳番手 / 集団コントローラー</x:v>
      </x:c>
      <x:c r="H151" s="23" t="str">
        <x:v>山岳牽引</x:v>
      </x:c>
      <x:c r="I151" s="23" t="str">
        <x:v>山岳ガード</x:v>
      </x:c>
      <x:c r="J151" s="23" t="str">
        <x:v>山岳番手</x:v>
      </x:c>
      <x:c r="K151" s="23" t="str">
        <x:v>最後の山岳牽引</x:v>
      </x:c>
      <x:c r="L151" s="23" t="str">
        <x:v>山岳先導</x:v>
      </x:c>
      <x:c r="M151" s="23" t="str">
        <x:v>全力献身</x:v>
      </x:c>
    </x:row>
    <x:row r="152" ht="40" customHeight="1">
      <x:c r="A152" s="23" t="str">
        <x:v>現役</x:v>
      </x:c>
      <x:c r="B152" s="26" t="n">
        <x:v>148</x:v>
      </x:c>
      <x:c r="C152" s="23" t="str">
        <x:v>Ben Tulett</x:v>
      </x:c>
      <x:c r="D152" s="23" t="str">
        <x:v>パンチャー</x:v>
      </x:c>
      <x:c r="E152" s="23" t="str">
        <x:v>総合型</x:v>
      </x:c>
      <x:c r="F152" s="23" t="str">
        <x:v>アシスト型</x:v>
      </x:c>
      <x:c r="G152" s="23" t="str">
        <x:v>ステージハンター / 山岳賞ハンター / 下り牽引</x:v>
      </x:c>
      <x:c r="H152" s="23" t="str">
        <x:v>安全誘導</x:v>
      </x:c>
      <x:c r="I152" s="23" t="str">
        <x:v>高速コーナリング</x:v>
      </x:c>
      <x:c r="J152" s="23" t="str">
        <x:v>位置引き上げ</x:v>
      </x:c>
      <x:c r="K152" s="23" t="str">
        <x:v>ダウンヒル牽引</x:v>
      </x:c>
      <x:c r="L152" s="23" t="str">
        <x:v>下りアタック</x:v>
      </x:c>
      <x:c r="M152" s="23" t="str">
        <x:v>下り護衛</x:v>
      </x:c>
    </x:row>
    <x:row r="153" ht="40" customHeight="1">
      <x:c r="A153" s="23" t="str">
        <x:v>現役</x:v>
      </x:c>
      <x:c r="B153" s="26" t="n">
        <x:v>149</x:v>
      </x:c>
      <x:c r="C153" s="23" t="str">
        <x:v>Andrew August</x:v>
      </x:c>
      <x:c r="D153" s="23" t="str">
        <x:v>パンチャー</x:v>
      </x:c>
      <x:c r="E153" s="23" t="str">
        <x:v>クラシック型</x:v>
      </x:c>
      <x:c r="F153" s="23" t="str">
        <x:v>アシスト型</x:v>
      </x:c>
      <x:c r="G153" s="23" t="str">
        <x:v>ステージハンター / 逃げ屋 / ポジションキーパー</x:v>
      </x:c>
      <x:c r="H153" s="23" t="str">
        <x:v>追走補助</x:v>
      </x:c>
      <x:c r="I153" s="23" t="str">
        <x:v>ペース調整</x:v>
      </x:c>
      <x:c r="J153" s="23" t="str">
        <x:v>先頭交代</x:v>
      </x:c>
      <x:c r="K153" s="23" t="str">
        <x:v>ブリッジ</x:v>
      </x:c>
      <x:c r="L153" s="23" t="str">
        <x:v>逃げ参加</x:v>
      </x:c>
      <x:c r="M153" s="23" t="str">
        <x:v>サテライト救援</x:v>
      </x:c>
    </x:row>
    <x:row r="154" ht="40" customHeight="1">
      <x:c r="A154" s="23" t="str">
        <x:v>現役</x:v>
      </x:c>
      <x:c r="B154" s="26" t="n">
        <x:v>150</x:v>
      </x:c>
      <x:c r="C154" s="23" t="str">
        <x:v>Bram Welten</x:v>
      </x:c>
      <x:c r="D154" s="23" t="str">
        <x:v>パンチャー</x:v>
      </x:c>
      <x:c r="E154" s="23" t="str">
        <x:v>クライマー</x:v>
      </x:c>
      <x:c r="F154" s="23" t="str">
        <x:v>アシスト型</x:v>
      </x:c>
      <x:c r="G154" s="23" t="str">
        <x:v>ステージハンター / 山岳賞ハンター / 逃げ屋</x:v>
      </x:c>
      <x:c r="H154" s="23" t="str">
        <x:v>位置引き上げ</x:v>
      </x:c>
      <x:c r="I154" s="23" t="str">
        <x:v>追走補助</x:v>
      </x:c>
      <x:c r="J154" s="23" t="str">
        <x:v>丘陵牽引</x:v>
      </x:c>
      <x:c r="K154" s="23" t="str">
        <x:v>坂前誘導</x:v>
      </x:c>
      <x:c r="L154" s="23" t="str">
        <x:v>仕掛け封じ</x:v>
      </x:c>
      <x:c r="M154" s="23" t="str">
        <x:v>丘陵封鎖</x:v>
      </x:c>
    </x:row>
    <x:row r="155" ht="40" customHeight="1">
      <x:c r="A155" s="23" t="str">
        <x:v>現役</x:v>
      </x:c>
      <x:c r="B155" s="26" t="n">
        <x:v>151</x:v>
      </x:c>
      <x:c r="C155" s="23" t="str">
        <x:v>Ben O'Connor</x:v>
      </x:c>
      <x:c r="D155" s="23" t="str">
        <x:v>総合型</x:v>
      </x:c>
      <x:c r="E155" s="23" t="str">
        <x:v>スプリンター</x:v>
      </x:c>
      <x:c r="F155" s="23" t="str">
        <x:v>アシスト型</x:v>
      </x:c>
      <x:c r="G155" s="23" t="str">
        <x:v>スプリントトレイン / 山岳アシスト / 山岳番手</x:v>
      </x:c>
      <x:c r="H155" s="23" t="str">
        <x:v>山岳ガード</x:v>
      </x:c>
      <x:c r="I155" s="23" t="str">
        <x:v>山岳牽引</x:v>
      </x:c>
      <x:c r="J155" s="23" t="str">
        <x:v>山岳番手</x:v>
      </x:c>
      <x:c r="K155" s="23" t="str">
        <x:v>最後の山岳牽引</x:v>
      </x:c>
      <x:c r="L155" s="23" t="str">
        <x:v>登坂チェイス</x:v>
      </x:c>
      <x:c r="M155" s="23" t="str">
        <x:v>山岳救援</x:v>
      </x:c>
    </x:row>
    <x:row r="156" ht="40" customHeight="1">
      <x:c r="A156" s="23" t="str">
        <x:v>現役</x:v>
      </x:c>
      <x:c r="B156" s="26" t="n">
        <x:v>152</x:v>
      </x:c>
      <x:c r="C156" s="23" t="str">
        <x:v>Henrik Pedersen</x:v>
      </x:c>
      <x:c r="D156" s="23" t="str">
        <x:v>パンチャー</x:v>
      </x:c>
      <x:c r="E156" s="23" t="str">
        <x:v>クライマー</x:v>
      </x:c>
      <x:c r="F156" s="23" t="str">
        <x:v>アシスト型</x:v>
      </x:c>
      <x:c r="G156" s="23" t="str">
        <x:v>ロードキャプテン / ステージハンター / 山岳賞ハンター</x:v>
      </x:c>
      <x:c r="H156" s="23" t="str">
        <x:v>位置引き上げ</x:v>
      </x:c>
      <x:c r="I156" s="23" t="str">
        <x:v>追走補助</x:v>
      </x:c>
      <x:c r="J156" s="23" t="str">
        <x:v>丘陵牽引</x:v>
      </x:c>
      <x:c r="K156" s="23" t="str">
        <x:v>坂前誘導</x:v>
      </x:c>
      <x:c r="L156" s="23" t="str">
        <x:v>仕掛け封じ</x:v>
      </x:c>
      <x:c r="M156" s="23" t="str">
        <x:v>緊急再編</x:v>
      </x:c>
    </x:row>
    <x:row r="157" ht="40" customHeight="1">
      <x:c r="A157" s="23" t="str">
        <x:v>現役</x:v>
      </x:c>
      <x:c r="B157" s="26" t="n">
        <x:v>153</x:v>
      </x:c>
      <x:c r="C157" s="23" t="str">
        <x:v>Guillermo Thomas Silva</x:v>
      </x:c>
      <x:c r="D157" s="23" t="str">
        <x:v>パンチャー</x:v>
      </x:c>
      <x:c r="E157" s="23" t="str">
        <x:v>TT・ルーラー型</x:v>
      </x:c>
      <x:c r="F157" s="23" t="str">
        <x:v>アシスト型</x:v>
      </x:c>
      <x:c r="G157" s="23" t="str">
        <x:v>ステージハンター / 山岳アシスト / 逃げ屋</x:v>
      </x:c>
      <x:c r="H157" s="23" t="str">
        <x:v>位置引き上げ</x:v>
      </x:c>
      <x:c r="I157" s="23" t="str">
        <x:v>丘陵牽引</x:v>
      </x:c>
      <x:c r="J157" s="23" t="str">
        <x:v>追走補助</x:v>
      </x:c>
      <x:c r="K157" s="23" t="str">
        <x:v>仕掛け封じ</x:v>
      </x:c>
      <x:c r="L157" s="23" t="str">
        <x:v>坂前誘導</x:v>
      </x:c>
      <x:c r="M157" s="23" t="str">
        <x:v>山岳救援</x:v>
      </x:c>
    </x:row>
    <x:row r="158" ht="40" customHeight="1">
      <x:c r="A158" s="23" t="str">
        <x:v>現役</x:v>
      </x:c>
      <x:c r="B158" s="26" t="n">
        <x:v>154</x:v>
      </x:c>
      <x:c r="C158" s="23" t="str">
        <x:v>Brandon Rivera</x:v>
      </x:c>
      <x:c r="D158" s="23" t="str">
        <x:v>クライマー</x:v>
      </x:c>
      <x:c r="E158" s="23" t="str">
        <x:v>クラシック型</x:v>
      </x:c>
      <x:c r="F158" s="23" t="str">
        <x:v>アシスト型</x:v>
      </x:c>
      <x:c r="G158" s="23" t="str">
        <x:v>山岳賞ハンター / 山岳アシスト / 山岳ペースメーカー</x:v>
      </x:c>
      <x:c r="H158" s="23" t="str">
        <x:v>山岳ガード</x:v>
      </x:c>
      <x:c r="I158" s="23" t="str">
        <x:v>山岳牽引</x:v>
      </x:c>
      <x:c r="J158" s="23" t="str">
        <x:v>山岳番手</x:v>
      </x:c>
      <x:c r="K158" s="23" t="str">
        <x:v>登坂チェイス</x:v>
      </x:c>
      <x:c r="L158" s="23" t="str">
        <x:v>山岳先導</x:v>
      </x:c>
      <x:c r="M158" s="23" t="str">
        <x:v>山岳救援</x:v>
      </x:c>
    </x:row>
    <x:row r="159" ht="40" customHeight="1">
      <x:c r="A159" s="23" t="str">
        <x:v>現役</x:v>
      </x:c>
      <x:c r="B159" s="26" t="n">
        <x:v>155</x:v>
      </x:c>
      <x:c r="C159" s="23" t="str">
        <x:v>Jacopo Mosca</x:v>
      </x:c>
      <x:c r="D159" s="23" t="str">
        <x:v>総合型</x:v>
      </x:c>
      <x:c r="E159" s="23" t="str">
        <x:v>パンチャー</x:v>
      </x:c>
      <x:c r="F159" s="23" t="str">
        <x:v>アシスト型</x:v>
      </x:c>
      <x:c r="G159" s="23" t="str">
        <x:v>山岳賞ハンター / 山岳アシスト / 山岳番手</x:v>
      </x:c>
      <x:c r="H159" s="23" t="str">
        <x:v>山岳ガード</x:v>
      </x:c>
      <x:c r="I159" s="23" t="str">
        <x:v>山岳牽引</x:v>
      </x:c>
      <x:c r="J159" s="23" t="str">
        <x:v>山岳番手</x:v>
      </x:c>
      <x:c r="K159" s="23" t="str">
        <x:v>最後の山岳牽引</x:v>
      </x:c>
      <x:c r="L159" s="23" t="str">
        <x:v>登坂チェイス</x:v>
      </x:c>
      <x:c r="M159" s="23" t="str">
        <x:v>山岳救援</x:v>
      </x:c>
    </x:row>
    <x:row r="160" ht="40" customHeight="1">
      <x:c r="A160" s="23" t="str">
        <x:v>現役</x:v>
      </x:c>
      <x:c r="B160" s="26" t="n">
        <x:v>156</x:v>
      </x:c>
      <x:c r="C160" s="23" t="str">
        <x:v>Fabio Van den Bossche</x:v>
      </x:c>
      <x:c r="D160" s="23" t="str">
        <x:v>スプリンター</x:v>
      </x:c>
      <x:c r="E160" s="23" t="str">
        <x:v>クラシック型</x:v>
      </x:c>
      <x:c r="F160" s="23" t="str">
        <x:v>アシスト型</x:v>
      </x:c>
      <x:c r="G160" s="23" t="str">
        <x:v>リードアウト / 最終発射台 / スプリントトレイン</x:v>
      </x:c>
      <x:c r="H160" s="23" t="str">
        <x:v>位置引き上げ</x:v>
      </x:c>
      <x:c r="I160" s="23" t="str">
        <x:v>前方誘導</x:v>
      </x:c>
      <x:c r="J160" s="23" t="str">
        <x:v>平坦牽引</x:v>
      </x:c>
      <x:c r="K160" s="23" t="str">
        <x:v>トレイン加速</x:v>
      </x:c>
      <x:c r="L160" s="23" t="str">
        <x:v>高速リードアウト</x:v>
      </x:c>
      <x:c r="M160" s="23" t="str">
        <x:v>最終発射</x:v>
      </x:c>
    </x:row>
    <x:row r="161" ht="40" customHeight="1">
      <x:c r="A161" s="23" t="str">
        <x:v>現役</x:v>
      </x:c>
      <x:c r="B161" s="26" t="n">
        <x:v>157</x:v>
      </x:c>
      <x:c r="C161" s="23" t="str">
        <x:v>Jonas Rickaert</x:v>
      </x:c>
      <x:c r="D161" s="23" t="str">
        <x:v>スプリンター</x:v>
      </x:c>
      <x:c r="E161" s="23" t="str">
        <x:v>クライマー</x:v>
      </x:c>
      <x:c r="F161" s="23" t="str">
        <x:v>アシスト型</x:v>
      </x:c>
      <x:c r="G161" s="23" t="str">
        <x:v>ロードキャプテン / 山岳賞ハンター / リードアウト</x:v>
      </x:c>
      <x:c r="H161" s="23" t="str">
        <x:v>前方誘導</x:v>
      </x:c>
      <x:c r="I161" s="23" t="str">
        <x:v>位置引き上げ</x:v>
      </x:c>
      <x:c r="J161" s="23" t="str">
        <x:v>平坦牽引</x:v>
      </x:c>
      <x:c r="K161" s="23" t="str">
        <x:v>高速リードアウト</x:v>
      </x:c>
      <x:c r="L161" s="23" t="str">
        <x:v>坂前誘導</x:v>
      </x:c>
      <x:c r="M161" s="23" t="str">
        <x:v>最終発射</x:v>
      </x:c>
    </x:row>
    <x:row r="162" ht="40" customHeight="1">
      <x:c r="A162" s="23" t="str">
        <x:v>現役</x:v>
      </x:c>
      <x:c r="B162" s="26" t="n">
        <x:v>158</x:v>
      </x:c>
      <x:c r="C162" s="23" t="str">
        <x:v>Carlos Canal</x:v>
      </x:c>
      <x:c r="D162" s="23" t="str">
        <x:v>パンチャー</x:v>
      </x:c>
      <x:c r="E162" s="23" t="str">
        <x:v>スプリンター</x:v>
      </x:c>
      <x:c r="F162" s="23" t="str">
        <x:v>アシスト型</x:v>
      </x:c>
      <x:c r="G162" s="23" t="str">
        <x:v>ステージハンター / 山岳賞ハンター / スプリントトレイン</x:v>
      </x:c>
      <x:c r="H162" s="23" t="str">
        <x:v>位置引き上げ</x:v>
      </x:c>
      <x:c r="I162" s="23" t="str">
        <x:v>丘陵牽引</x:v>
      </x:c>
      <x:c r="J162" s="23" t="str">
        <x:v>追走補助</x:v>
      </x:c>
      <x:c r="K162" s="23" t="str">
        <x:v>仕掛け封じ</x:v>
      </x:c>
      <x:c r="L162" s="23" t="str">
        <x:v>坂前誘導</x:v>
      </x:c>
      <x:c r="M162" s="23" t="str">
        <x:v>最終発射</x:v>
      </x:c>
    </x:row>
    <x:row r="163" ht="40" customHeight="1">
      <x:c r="A163" s="23" t="str">
        <x:v>現役</x:v>
      </x:c>
      <x:c r="B163" s="26" t="n">
        <x:v>159</x:v>
      </x:c>
      <x:c r="C163" s="23" t="str">
        <x:v>Antoine L'Hote</x:v>
      </x:c>
      <x:c r="D163" s="23" t="str">
        <x:v>パンチャー</x:v>
      </x:c>
      <x:c r="E163" s="23" t="str">
        <x:v>クラシック型</x:v>
      </x:c>
      <x:c r="F163" s="23" t="str">
        <x:v>アシスト型</x:v>
      </x:c>
      <x:c r="G163" s="23" t="str">
        <x:v>ステージハンター / 山岳賞ハンター / 逃げ屋</x:v>
      </x:c>
      <x:c r="H163" s="23" t="str">
        <x:v>丘陵牽引</x:v>
      </x:c>
      <x:c r="I163" s="23" t="str">
        <x:v>追走補助</x:v>
      </x:c>
      <x:c r="J163" s="23" t="str">
        <x:v>位置引き上げ</x:v>
      </x:c>
      <x:c r="K163" s="23" t="str">
        <x:v>仕掛け封じ</x:v>
      </x:c>
      <x:c r="L163" s="23" t="str">
        <x:v>丘越え牽引</x:v>
      </x:c>
      <x:c r="M163" s="23" t="str">
        <x:v>丘陵封鎖</x:v>
      </x:c>
    </x:row>
    <x:row r="164" ht="40" customHeight="1">
      <x:c r="A164" s="23" t="str">
        <x:v>現役</x:v>
      </x:c>
      <x:c r="B164" s="26" t="n">
        <x:v>160</x:v>
      </x:c>
      <x:c r="C164" s="23" t="str">
        <x:v>Daan Hoole</x:v>
      </x:c>
      <x:c r="D164" s="23" t="str">
        <x:v>TT・ルーラー型</x:v>
      </x:c>
      <x:c r="E164" s="23" t="str">
        <x:v>パンチャー</x:v>
      </x:c>
      <x:c r="F164" s="23" t="str">
        <x:v>アシスト型</x:v>
      </x:c>
      <x:c r="G164" s="23" t="str">
        <x:v>TTスペシャリスト / 平坦アシスト / 平坦ペースメーカー</x:v>
      </x:c>
      <x:c r="H164" s="23" t="str">
        <x:v>平坦牽引</x:v>
      </x:c>
      <x:c r="I164" s="23" t="str">
        <x:v>風よけ</x:v>
      </x:c>
      <x:c r="J164" s="23" t="str">
        <x:v>前方誘導</x:v>
      </x:c>
      <x:c r="K164" s="23" t="str">
        <x:v>ローテーション牽引</x:v>
      </x:c>
      <x:c r="L164" s="23" t="str">
        <x:v>高速牽引</x:v>
      </x:c>
      <x:c r="M164" s="23" t="str">
        <x:v>全開牽引</x:v>
      </x:c>
    </x:row>
    <x:row r="165" ht="40" customHeight="1">
      <x:c r="A165" s="23" t="str">
        <x:v>現役</x:v>
      </x:c>
      <x:c r="B165" s="26" t="n">
        <x:v>161</x:v>
      </x:c>
      <x:c r="C165" s="23" t="str">
        <x:v>Ben Turner</x:v>
      </x:c>
      <x:c r="D165" s="23" t="str">
        <x:v>TT・ルーラー型</x:v>
      </x:c>
      <x:c r="E165" s="23" t="str">
        <x:v>パンチャー</x:v>
      </x:c>
      <x:c r="F165" s="23" t="str">
        <x:v>アシスト型</x:v>
      </x:c>
      <x:c r="G165" s="23" t="str">
        <x:v>TTスペシャリスト / 平坦アシスト / 集団コントローラー</x:v>
      </x:c>
      <x:c r="H165" s="23" t="str">
        <x:v>平坦牽引</x:v>
      </x:c>
      <x:c r="I165" s="23" t="str">
        <x:v>風よけ</x:v>
      </x:c>
      <x:c r="J165" s="23" t="str">
        <x:v>トラブル復帰</x:v>
      </x:c>
      <x:c r="K165" s="23" t="str">
        <x:v>ローテーション牽引</x:v>
      </x:c>
      <x:c r="L165" s="23" t="str">
        <x:v>高速牽引</x:v>
      </x:c>
      <x:c r="M165" s="23" t="str">
        <x:v>高速追走</x:v>
      </x:c>
    </x:row>
    <x:row r="166" ht="40" customHeight="1">
      <x:c r="A166" s="23" t="str">
        <x:v>現役</x:v>
      </x:c>
      <x:c r="B166" s="26" t="n">
        <x:v>162</x:v>
      </x:c>
      <x:c r="C166" s="23" t="str">
        <x:v>Dries De Bondt</x:v>
      </x:c>
      <x:c r="D166" s="23" t="str">
        <x:v>TT・ルーラー型</x:v>
      </x:c>
      <x:c r="E166" s="23" t="str">
        <x:v>クラシック型</x:v>
      </x:c>
      <x:c r="F166" s="23" t="str">
        <x:v>アシスト型</x:v>
      </x:c>
      <x:c r="G166" s="23" t="str">
        <x:v>TTスペシャリスト / 平坦アシスト / 集団コントローラー</x:v>
      </x:c>
      <x:c r="H166" s="23" t="str">
        <x:v>平坦牽引</x:v>
      </x:c>
      <x:c r="I166" s="23" t="str">
        <x:v>風よけ</x:v>
      </x:c>
      <x:c r="J166" s="23" t="str">
        <x:v>前方誘導</x:v>
      </x:c>
      <x:c r="K166" s="23" t="str">
        <x:v>ローテーション牽引</x:v>
      </x:c>
      <x:c r="L166" s="23" t="str">
        <x:v>高速牽引</x:v>
      </x:c>
      <x:c r="M166" s="23" t="str">
        <x:v>全開牽引</x:v>
      </x:c>
    </x:row>
    <x:row r="167" ht="40" customHeight="1">
      <x:c r="A167" s="23" t="str">
        <x:v>現役</x:v>
      </x:c>
      <x:c r="B167" s="26" t="n">
        <x:v>163</x:v>
      </x:c>
      <x:c r="C167" s="23" t="str">
        <x:v>Bruno Armirail</x:v>
      </x:c>
      <x:c r="D167" s="23" t="str">
        <x:v>TT・ルーラー型</x:v>
      </x:c>
      <x:c r="E167" s="23" t="str">
        <x:v>スプリンター</x:v>
      </x:c>
      <x:c r="F167" s="23" t="str">
        <x:v>アシスト型</x:v>
      </x:c>
      <x:c r="G167" s="23" t="str">
        <x:v>TTスペシャリスト / スプリントトレイン / 平坦アシスト</x:v>
      </x:c>
      <x:c r="H167" s="23" t="str">
        <x:v>平坦牽引</x:v>
      </x:c>
      <x:c r="I167" s="23" t="str">
        <x:v>風よけ</x:v>
      </x:c>
      <x:c r="J167" s="23" t="str">
        <x:v>トラブル復帰</x:v>
      </x:c>
      <x:c r="K167" s="23" t="str">
        <x:v>ローテーション牽引</x:v>
      </x:c>
      <x:c r="L167" s="23" t="str">
        <x:v>高速牽引</x:v>
      </x:c>
      <x:c r="M167" s="23" t="str">
        <x:v>全開牽引</x:v>
      </x:c>
    </x:row>
    <x:row r="168" ht="40" customHeight="1">
      <x:c r="A168" s="23" t="str">
        <x:v>現役</x:v>
      </x:c>
      <x:c r="B168" s="26" t="n">
        <x:v>164</x:v>
      </x:c>
      <x:c r="C168" s="23" t="str">
        <x:v>Gleb Syritsa</x:v>
      </x:c>
      <x:c r="D168" s="23" t="str">
        <x:v>クラシック型</x:v>
      </x:c>
      <x:c r="E168" s="23" t="str">
        <x:v>クライマー</x:v>
      </x:c>
      <x:c r="F168" s="23" t="str">
        <x:v>アシスト型</x:v>
      </x:c>
      <x:c r="G168" s="23" t="str">
        <x:v>山岳賞ハンター / 平坦アシスト / 石畳護衛</x:v>
      </x:c>
      <x:c r="H168" s="23" t="str">
        <x:v>トラブル復帰</x:v>
      </x:c>
      <x:c r="I168" s="23" t="str">
        <x:v>進路確保</x:v>
      </x:c>
      <x:c r="J168" s="23" t="str">
        <x:v>パヴェ護衛</x:v>
      </x:c>
      <x:c r="K168" s="23" t="str">
        <x:v>ライン誘導</x:v>
      </x:c>
      <x:c r="L168" s="23" t="str">
        <x:v>石畳牽引</x:v>
      </x:c>
      <x:c r="M168" s="23" t="str">
        <x:v>石畳護衛</x:v>
      </x:c>
    </x:row>
    <x:row r="169" ht="40" customHeight="1">
      <x:c r="A169" s="23" t="str">
        <x:v>現役</x:v>
      </x:c>
      <x:c r="B169" s="26" t="n">
        <x:v>165</x:v>
      </x:c>
      <x:c r="C169" s="23" t="str">
        <x:v>Jarno Widar</x:v>
      </x:c>
      <x:c r="D169" s="23" t="str">
        <x:v>クライマー</x:v>
      </x:c>
      <x:c r="E169" s="23" t="str">
        <x:v>スプリンター</x:v>
      </x:c>
      <x:c r="F169" s="23" t="str">
        <x:v>アシスト型</x:v>
      </x:c>
      <x:c r="G169" s="23" t="str">
        <x:v>山岳賞ハンター / スプリントトレイン / 山岳アシスト</x:v>
      </x:c>
      <x:c r="H169" s="23" t="str">
        <x:v>山岳牽引</x:v>
      </x:c>
      <x:c r="I169" s="23" t="str">
        <x:v>山岳ガード</x:v>
      </x:c>
      <x:c r="J169" s="23" t="str">
        <x:v>山岳番手</x:v>
      </x:c>
      <x:c r="K169" s="23" t="str">
        <x:v>山岳先導</x:v>
      </x:c>
      <x:c r="L169" s="23" t="str">
        <x:v>山岳風よけ</x:v>
      </x:c>
      <x:c r="M169" s="23" t="str">
        <x:v>全力献身</x:v>
      </x:c>
    </x:row>
    <x:row r="170" ht="40" customHeight="1">
      <x:c r="A170" s="23" t="str">
        <x:v>現役</x:v>
      </x:c>
      <x:c r="B170" s="26" t="n">
        <x:v>166</x:v>
      </x:c>
      <x:c r="C170" s="23" t="str">
        <x:v>Dries De Pooter</x:v>
      </x:c>
      <x:c r="D170" s="23" t="str">
        <x:v>クラシック型</x:v>
      </x:c>
      <x:c r="E170" s="23" t="str">
        <x:v>スプリンター</x:v>
      </x:c>
      <x:c r="F170" s="23" t="str">
        <x:v>アシスト型</x:v>
      </x:c>
      <x:c r="G170" s="23" t="str">
        <x:v>スプリントトレイン / 石畳護衛 / ポジションキーパー</x:v>
      </x:c>
      <x:c r="H170" s="23" t="str">
        <x:v>進路確保</x:v>
      </x:c>
      <x:c r="I170" s="23" t="str">
        <x:v>トラブル復帰</x:v>
      </x:c>
      <x:c r="J170" s="23" t="str">
        <x:v>パヴェ護衛</x:v>
      </x:c>
      <x:c r="K170" s="23" t="str">
        <x:v>ライン誘導</x:v>
      </x:c>
      <x:c r="L170" s="23" t="str">
        <x:v>石畳牽引</x:v>
      </x:c>
      <x:c r="M170" s="23" t="str">
        <x:v>石畳護衛</x:v>
      </x:c>
    </x:row>
    <x:row r="171" ht="40" customHeight="1">
      <x:c r="A171" s="23" t="str">
        <x:v>現役</x:v>
      </x:c>
      <x:c r="B171" s="26" t="n">
        <x:v>167</x:v>
      </x:c>
      <x:c r="C171" s="23" t="str">
        <x:v>Markus Hoelgaard</x:v>
      </x:c>
      <x:c r="D171" s="23" t="str">
        <x:v>クラシック型</x:v>
      </x:c>
      <x:c r="E171" s="23" t="str">
        <x:v>総合型</x:v>
      </x:c>
      <x:c r="F171" s="23" t="str">
        <x:v>アシスト型</x:v>
      </x:c>
      <x:c r="G171" s="23" t="str">
        <x:v>石畳護衛 / 集団コントローラー / 横風要員</x:v>
      </x:c>
      <x:c r="H171" s="23" t="str">
        <x:v>進路確保</x:v>
      </x:c>
      <x:c r="I171" s="23" t="str">
        <x:v>パヴェ護衛</x:v>
      </x:c>
      <x:c r="J171" s="23" t="str">
        <x:v>トラブル復帰</x:v>
      </x:c>
      <x:c r="K171" s="23" t="str">
        <x:v>ライン誘導</x:v>
      </x:c>
      <x:c r="L171" s="23" t="str">
        <x:v>石畳牽引</x:v>
      </x:c>
      <x:c r="M171" s="23" t="str">
        <x:v>石畳護衛</x:v>
      </x:c>
    </x:row>
    <x:row r="172" ht="40" customHeight="1">
      <x:c r="A172" s="23" t="str">
        <x:v>現役</x:v>
      </x:c>
      <x:c r="B172" s="26" t="n">
        <x:v>168</x:v>
      </x:c>
      <x:c r="C172" s="23" t="str">
        <x:v>Afonso Eulálio</x:v>
      </x:c>
      <x:c r="D172" s="23" t="str">
        <x:v>クライマー</x:v>
      </x:c>
      <x:c r="E172" s="23" t="str">
        <x:v>総合型</x:v>
      </x:c>
      <x:c r="F172" s="23" t="str">
        <x:v>アシスト型</x:v>
      </x:c>
      <x:c r="G172" s="23" t="str">
        <x:v>山岳賞ハンター / 山岳アシスト / 山岳ペースメーカー</x:v>
      </x:c>
      <x:c r="H172" s="23" t="str">
        <x:v>山岳ガード</x:v>
      </x:c>
      <x:c r="I172" s="23" t="str">
        <x:v>山岳牽引</x:v>
      </x:c>
      <x:c r="J172" s="23" t="str">
        <x:v>山岳番手</x:v>
      </x:c>
      <x:c r="K172" s="23" t="str">
        <x:v>登坂チェイス</x:v>
      </x:c>
      <x:c r="L172" s="23" t="str">
        <x:v>山岳先導</x:v>
      </x:c>
      <x:c r="M172" s="23" t="str">
        <x:v>山岳救援</x:v>
      </x:c>
    </x:row>
    <x:row r="173" ht="40" customHeight="1">
      <x:c r="A173" s="23" t="str">
        <x:v>現役</x:v>
      </x:c>
      <x:c r="B173" s="26" t="n">
        <x:v>169</x:v>
      </x:c>
      <x:c r="C173" s="23" t="str">
        <x:v>Chris Hamilton</x:v>
      </x:c>
      <x:c r="D173" s="23" t="str">
        <x:v>クライマー</x:v>
      </x:c>
      <x:c r="E173" s="23" t="str">
        <x:v>総合型</x:v>
      </x:c>
      <x:c r="F173" s="23" t="str">
        <x:v>アシスト型</x:v>
      </x:c>
      <x:c r="G173" s="23" t="str">
        <x:v>ロードキャプテン / 山岳アシスト / 山岳ペースメーカー</x:v>
      </x:c>
      <x:c r="H173" s="23" t="str">
        <x:v>山岳ガード</x:v>
      </x:c>
      <x:c r="I173" s="23" t="str">
        <x:v>山岳牽引</x:v>
      </x:c>
      <x:c r="J173" s="23" t="str">
        <x:v>山岳番手</x:v>
      </x:c>
      <x:c r="K173" s="23" t="str">
        <x:v>登坂チェイス</x:v>
      </x:c>
      <x:c r="L173" s="23" t="str">
        <x:v>山岳先導</x:v>
      </x:c>
      <x:c r="M173" s="23" t="str">
        <x:v>山岳救援</x:v>
      </x:c>
    </x:row>
    <x:row r="174" ht="40" customHeight="1">
      <x:c r="A174" s="23" t="str">
        <x:v>現役</x:v>
      </x:c>
      <x:c r="B174" s="26" t="n">
        <x:v>170</x:v>
      </x:c>
      <x:c r="C174" s="23" t="str">
        <x:v>Jonas Geens</x:v>
      </x:c>
      <x:c r="D174" s="23" t="str">
        <x:v>クライマー</x:v>
      </x:c>
      <x:c r="E174" s="23" t="str">
        <x:v>スプリンター</x:v>
      </x:c>
      <x:c r="F174" s="23" t="str">
        <x:v>アシスト型</x:v>
      </x:c>
      <x:c r="G174" s="23" t="str">
        <x:v>山岳賞ハンター / スプリントトレイン / 山岳アシスト</x:v>
      </x:c>
      <x:c r="H174" s="23" t="str">
        <x:v>山岳ガード</x:v>
      </x:c>
      <x:c r="I174" s="23" t="str">
        <x:v>山岳牽引</x:v>
      </x:c>
      <x:c r="J174" s="23" t="str">
        <x:v>山岳番手</x:v>
      </x:c>
      <x:c r="K174" s="23" t="str">
        <x:v>山岳先導</x:v>
      </x:c>
      <x:c r="L174" s="23" t="str">
        <x:v>山岳風よけ</x:v>
      </x:c>
      <x:c r="M174" s="23" t="str">
        <x:v>全力献身</x:v>
      </x:c>
    </x:row>
    <x:row r="175" ht="40" customHeight="1">
      <x:c r="A175" s="23" t="str">
        <x:v>現役</x:v>
      </x:c>
      <x:c r="B175" s="26" t="n">
        <x:v>171</x:v>
      </x:c>
      <x:c r="C175" s="23" t="str">
        <x:v>Adrià Pericas</x:v>
      </x:c>
      <x:c r="D175" s="23" t="str">
        <x:v>クラシック型</x:v>
      </x:c>
      <x:c r="E175" s="23" t="str">
        <x:v>パンチャー</x:v>
      </x:c>
      <x:c r="F175" s="23" t="str">
        <x:v>アシスト型</x:v>
      </x:c>
      <x:c r="G175" s="23" t="str">
        <x:v>石畳護衛 / 横風要員 / ステージハンター</x:v>
      </x:c>
      <x:c r="H175" s="23" t="str">
        <x:v>進路確保</x:v>
      </x:c>
      <x:c r="I175" s="23" t="str">
        <x:v>トラブル復帰</x:v>
      </x:c>
      <x:c r="J175" s="23" t="str">
        <x:v>パヴェ護衛</x:v>
      </x:c>
      <x:c r="K175" s="23" t="str">
        <x:v>ライン誘導</x:v>
      </x:c>
      <x:c r="L175" s="23" t="str">
        <x:v>石畳牽引</x:v>
      </x:c>
      <x:c r="M175" s="23" t="str">
        <x:v>石畳護衛</x:v>
      </x:c>
    </x:row>
    <x:row r="176" ht="40" customHeight="1">
      <x:c r="A176" s="23" t="str">
        <x:v>現役</x:v>
      </x:c>
      <x:c r="B176" s="26" t="n">
        <x:v>172</x:v>
      </x:c>
      <x:c r="C176" s="23" t="str">
        <x:v>Gerben Thijssen</x:v>
      </x:c>
      <x:c r="D176" s="23" t="str">
        <x:v>スプリンター</x:v>
      </x:c>
      <x:c r="E176" s="23" t="str">
        <x:v>クラシック型</x:v>
      </x:c>
      <x:c r="F176" s="23" t="str">
        <x:v>アシスト型</x:v>
      </x:c>
      <x:c r="G176" s="23" t="str">
        <x:v>ロードキャプテン / ステージハンター / リードアウト</x:v>
      </x:c>
      <x:c r="H176" s="23" t="str">
        <x:v>前方誘導</x:v>
      </x:c>
      <x:c r="I176" s="23" t="str">
        <x:v>平坦牽引</x:v>
      </x:c>
      <x:c r="J176" s="23" t="str">
        <x:v>風よけ</x:v>
      </x:c>
      <x:c r="K176" s="23" t="str">
        <x:v>高速リードアウト</x:v>
      </x:c>
      <x:c r="L176" s="23" t="str">
        <x:v>横風ガード</x:v>
      </x:c>
      <x:c r="M176" s="23" t="str">
        <x:v>最終発射</x:v>
      </x:c>
    </x:row>
    <x:row r="177" ht="40" customHeight="1">
      <x:c r="A177" s="23" t="str">
        <x:v>現役</x:v>
      </x:c>
      <x:c r="B177" s="26" t="n">
        <x:v>173</x:v>
      </x:c>
      <x:c r="C177" s="23" t="str">
        <x:v>Anders Foldager</x:v>
      </x:c>
      <x:c r="D177" s="23" t="str">
        <x:v>パンチャー</x:v>
      </x:c>
      <x:c r="E177" s="23" t="str">
        <x:v>クライマー</x:v>
      </x:c>
      <x:c r="F177" s="23" t="str">
        <x:v>アシスト型</x:v>
      </x:c>
      <x:c r="G177" s="23" t="str">
        <x:v>ステージハンター / 山岳賞ハンター / 逃げ屋</x:v>
      </x:c>
      <x:c r="H177" s="23" t="str">
        <x:v>位置引き上げ</x:v>
      </x:c>
      <x:c r="I177" s="23" t="str">
        <x:v>丘陵牽引</x:v>
      </x:c>
      <x:c r="J177" s="23" t="str">
        <x:v>追走補助</x:v>
      </x:c>
      <x:c r="K177" s="23" t="str">
        <x:v>仕掛け封じ</x:v>
      </x:c>
      <x:c r="L177" s="23" t="str">
        <x:v>坂前誘導</x:v>
      </x:c>
      <x:c r="M177" s="23" t="str">
        <x:v>丘陵封鎖</x:v>
      </x:c>
    </x:row>
    <x:row r="178" ht="40" customHeight="1">
      <x:c r="A178" s="23" t="str">
        <x:v>現役</x:v>
      </x:c>
      <x:c r="B178" s="26" t="n">
        <x:v>174</x:v>
      </x:c>
      <x:c r="C178" s="23" t="str">
        <x:v>Alberto Bruttomesso</x:v>
      </x:c>
      <x:c r="D178" s="23" t="str">
        <x:v>クラシック型</x:v>
      </x:c>
      <x:c r="E178" s="23" t="str">
        <x:v>TT・ルーラー型</x:v>
      </x:c>
      <x:c r="F178" s="23" t="str">
        <x:v>アシスト型</x:v>
      </x:c>
      <x:c r="G178" s="23" t="str">
        <x:v>石畳護衛 / 横風要員 / ステージハンター</x:v>
      </x:c>
      <x:c r="H178" s="23" t="str">
        <x:v>進路確保</x:v>
      </x:c>
      <x:c r="I178" s="23" t="str">
        <x:v>トラブル復帰</x:v>
      </x:c>
      <x:c r="J178" s="23" t="str">
        <x:v>前方誘導</x:v>
      </x:c>
      <x:c r="K178" s="23" t="str">
        <x:v>ライン誘導</x:v>
      </x:c>
      <x:c r="L178" s="23" t="str">
        <x:v>石畳牽引</x:v>
      </x:c>
      <x:c r="M178" s="23" t="str">
        <x:v>石畳護衛</x:v>
      </x:c>
    </x:row>
    <x:row r="179" ht="40" customHeight="1">
      <x:c r="A179" s="23" t="str">
        <x:v>現役</x:v>
      </x:c>
      <x:c r="B179" s="26" t="n">
        <x:v>175</x:v>
      </x:c>
      <x:c r="C179" s="23" t="str">
        <x:v>Emiel Verstrynge</x:v>
      </x:c>
      <x:c r="D179" s="23" t="str">
        <x:v>パンチャー</x:v>
      </x:c>
      <x:c r="E179" s="23" t="str">
        <x:v>スプリンター</x:v>
      </x:c>
      <x:c r="F179" s="23" t="str">
        <x:v>アシスト型</x:v>
      </x:c>
      <x:c r="G179" s="23" t="str">
        <x:v>ステージハンター / スプリントトレイン / 下り牽引</x:v>
      </x:c>
      <x:c r="H179" s="23" t="str">
        <x:v>安全誘導</x:v>
      </x:c>
      <x:c r="I179" s="23" t="str">
        <x:v>高速コーナリング</x:v>
      </x:c>
      <x:c r="J179" s="23" t="str">
        <x:v>位置引き上げ</x:v>
      </x:c>
      <x:c r="K179" s="23" t="str">
        <x:v>ダウンヒル牽引</x:v>
      </x:c>
      <x:c r="L179" s="23" t="str">
        <x:v>下りアタック</x:v>
      </x:c>
      <x:c r="M179" s="23" t="str">
        <x:v>下り護衛</x:v>
      </x:c>
    </x:row>
    <x:row r="180" ht="40" customHeight="1">
      <x:c r="A180" s="23" t="str">
        <x:v>現役</x:v>
      </x:c>
      <x:c r="B180" s="26" t="n">
        <x:v>176</x:v>
      </x:c>
      <x:c r="C180" s="23" t="str">
        <x:v>Davide Toneatti</x:v>
      </x:c>
      <x:c r="D180" s="23" t="str">
        <x:v>クラシック型</x:v>
      </x:c>
      <x:c r="E180" s="23" t="str">
        <x:v>クライマー</x:v>
      </x:c>
      <x:c r="F180" s="23" t="str">
        <x:v>アシスト型</x:v>
      </x:c>
      <x:c r="G180" s="23" t="str">
        <x:v>ステージハンター / 山岳賞ハンター / 石畳護衛</x:v>
      </x:c>
      <x:c r="H180" s="23" t="str">
        <x:v>進路確保</x:v>
      </x:c>
      <x:c r="I180" s="23" t="str">
        <x:v>トラブル復帰</x:v>
      </x:c>
      <x:c r="J180" s="23" t="str">
        <x:v>パヴェ護衛</x:v>
      </x:c>
      <x:c r="K180" s="23" t="str">
        <x:v>ライン誘導</x:v>
      </x:c>
      <x:c r="L180" s="23" t="str">
        <x:v>石畳牽引</x:v>
      </x:c>
      <x:c r="M180" s="23" t="str">
        <x:v>石畳護衛</x:v>
      </x:c>
    </x:row>
    <x:row r="181" ht="40" customHeight="1">
      <x:c r="A181" s="23" t="str">
        <x:v>現役</x:v>
      </x:c>
      <x:c r="B181" s="26" t="n">
        <x:v>177</x:v>
      </x:c>
      <x:c r="C181" s="23" t="str">
        <x:v>Arne Marit</x:v>
      </x:c>
      <x:c r="D181" s="23" t="str">
        <x:v>スプリンター</x:v>
      </x:c>
      <x:c r="E181" s="23" t="str">
        <x:v>総合型</x:v>
      </x:c>
      <x:c r="F181" s="23" t="str">
        <x:v>アシスト型</x:v>
      </x:c>
      <x:c r="G181" s="23" t="str">
        <x:v>リードアウト / 最終発射台 / スプリントトレイン</x:v>
      </x:c>
      <x:c r="H181" s="23" t="str">
        <x:v>前方誘導</x:v>
      </x:c>
      <x:c r="I181" s="23" t="str">
        <x:v>平坦牽引</x:v>
      </x:c>
      <x:c r="J181" s="23" t="str">
        <x:v>風よけ</x:v>
      </x:c>
      <x:c r="K181" s="23" t="str">
        <x:v>トレイン加速</x:v>
      </x:c>
      <x:c r="L181" s="23" t="str">
        <x:v>高速リードアウト</x:v>
      </x:c>
      <x:c r="M181" s="23" t="str">
        <x:v>最終発射</x:v>
      </x:c>
    </x:row>
    <x:row r="182" ht="40" customHeight="1">
      <x:c r="A182" s="23" t="str">
        <x:v>現役</x:v>
      </x:c>
      <x:c r="B182" s="26" t="n">
        <x:v>178</x:v>
      </x:c>
      <x:c r="C182" s="23" t="str">
        <x:v>Brady Gilmore</x:v>
      </x:c>
      <x:c r="D182" s="23" t="str">
        <x:v>パンチャー</x:v>
      </x:c>
      <x:c r="E182" s="23" t="str">
        <x:v>総合型</x:v>
      </x:c>
      <x:c r="F182" s="23" t="str">
        <x:v>アシスト型</x:v>
      </x:c>
      <x:c r="G182" s="23" t="str">
        <x:v>ステージハンター / 山岳賞ハンター / 集団コントローラー</x:v>
      </x:c>
      <x:c r="H182" s="23" t="str">
        <x:v>追走補助</x:v>
      </x:c>
      <x:c r="I182" s="23" t="str">
        <x:v>位置引き上げ</x:v>
      </x:c>
      <x:c r="J182" s="23" t="str">
        <x:v>丘陵牽引</x:v>
      </x:c>
      <x:c r="K182" s="23" t="str">
        <x:v>坂前誘導</x:v>
      </x:c>
      <x:c r="L182" s="23" t="str">
        <x:v>丘越え牽引</x:v>
      </x:c>
      <x:c r="M182" s="23" t="str">
        <x:v>完全吸収</x:v>
      </x:c>
    </x:row>
    <x:row r="183" ht="40" customHeight="1">
      <x:c r="A183" s="23" t="str">
        <x:v>現役</x:v>
      </x:c>
      <x:c r="B183" s="26" t="n">
        <x:v>179</x:v>
      </x:c>
      <x:c r="C183" s="23" t="str">
        <x:v>Johannes Staune-Mittet</x:v>
      </x:c>
      <x:c r="D183" s="23" t="str">
        <x:v>パンチャー</x:v>
      </x:c>
      <x:c r="E183" s="23" t="str">
        <x:v>TT・ルーラー型</x:v>
      </x:c>
      <x:c r="F183" s="23" t="str">
        <x:v>アシスト型</x:v>
      </x:c>
      <x:c r="G183" s="23" t="str">
        <x:v>ステージハンター / 逃げ屋 / ポジションキーパー</x:v>
      </x:c>
      <x:c r="H183" s="23" t="str">
        <x:v>位置引き上げ</x:v>
      </x:c>
      <x:c r="I183" s="23" t="str">
        <x:v>丘陵牽引</x:v>
      </x:c>
      <x:c r="J183" s="23" t="str">
        <x:v>追走補助</x:v>
      </x:c>
      <x:c r="K183" s="23" t="str">
        <x:v>ブリッジ</x:v>
      </x:c>
      <x:c r="L183" s="23" t="str">
        <x:v>逃げ参加</x:v>
      </x:c>
      <x:c r="M183" s="23" t="str">
        <x:v>サテライト救援</x:v>
      </x:c>
    </x:row>
    <x:row r="184" ht="40" customHeight="1">
      <x:c r="A184" s="23" t="str">
        <x:v>現役</x:v>
      </x:c>
      <x:c r="B184" s="26" t="n">
        <x:v>180</x:v>
      </x:c>
      <x:c r="C184" s="23" t="str">
        <x:v>Ayco Bastiaens</x:v>
      </x:c>
      <x:c r="D184" s="23" t="str">
        <x:v>スプリンター</x:v>
      </x:c>
      <x:c r="E184" s="23" t="str">
        <x:v>クラシック型</x:v>
      </x:c>
      <x:c r="F184" s="23" t="str">
        <x:v>アシスト型</x:v>
      </x:c>
      <x:c r="G184" s="23" t="str">
        <x:v>リードアウト / 最終発射台 / スプリントトレイン</x:v>
      </x:c>
      <x:c r="H184" s="23" t="str">
        <x:v>前方誘導</x:v>
      </x:c>
      <x:c r="I184" s="23" t="str">
        <x:v>位置引き上げ</x:v>
      </x:c>
      <x:c r="J184" s="23" t="str">
        <x:v>平坦牽引</x:v>
      </x:c>
      <x:c r="K184" s="23" t="str">
        <x:v>トレイン加速</x:v>
      </x:c>
      <x:c r="L184" s="23" t="str">
        <x:v>高速リードアウト</x:v>
      </x:c>
      <x:c r="M184" s="23" t="str">
        <x:v>最終発射</x:v>
      </x:c>
    </x:row>
    <x:row r="185" ht="40" customHeight="1">
      <x:c r="A185" s="23" t="str">
        <x:v>現役</x:v>
      </x:c>
      <x:c r="B185" s="26" t="n">
        <x:v>181</x:v>
      </x:c>
      <x:c r="C185" s="23" t="str">
        <x:v>Jensen Plowright</x:v>
      </x:c>
      <x:c r="D185" s="23" t="str">
        <x:v>スプリンター</x:v>
      </x:c>
      <x:c r="E185" s="23" t="str">
        <x:v>総合型</x:v>
      </x:c>
      <x:c r="F185" s="23" t="str">
        <x:v>アシスト型</x:v>
      </x:c>
      <x:c r="G185" s="23" t="str">
        <x:v>リードアウト / 集団コントローラー / 最終発射台</x:v>
      </x:c>
      <x:c r="H185" s="23" t="str">
        <x:v>前方誘導</x:v>
      </x:c>
      <x:c r="I185" s="23" t="str">
        <x:v>平坦牽引</x:v>
      </x:c>
      <x:c r="J185" s="23" t="str">
        <x:v>位置引き上げ</x:v>
      </x:c>
      <x:c r="K185" s="23" t="str">
        <x:v>高速リードアウト</x:v>
      </x:c>
      <x:c r="L185" s="23" t="str">
        <x:v>位置取り護衛</x:v>
      </x:c>
      <x:c r="M185" s="23" t="str">
        <x:v>最終発射</x:v>
      </x:c>
    </x:row>
    <x:row r="186" ht="40" customHeight="1">
      <x:c r="A186" s="23" t="str">
        <x:v>現役</x:v>
      </x:c>
      <x:c r="B186" s="26" t="n">
        <x:v>182</x:v>
      </x:c>
      <x:c r="C186" s="23" t="str">
        <x:v>Ethan Hayter</x:v>
      </x:c>
      <x:c r="D186" s="23" t="str">
        <x:v>TT・ルーラー型</x:v>
      </x:c>
      <x:c r="E186" s="23" t="str">
        <x:v>クラシック型</x:v>
      </x:c>
      <x:c r="F186" s="23" t="str">
        <x:v>アシスト型</x:v>
      </x:c>
      <x:c r="G186" s="23" t="str">
        <x:v>TTスペシャリスト / 平坦アシスト / 平坦ペースメーカー</x:v>
      </x:c>
      <x:c r="H186" s="23" t="str">
        <x:v>平坦牽引</x:v>
      </x:c>
      <x:c r="I186" s="23" t="str">
        <x:v>風よけ</x:v>
      </x:c>
      <x:c r="J186" s="23" t="str">
        <x:v>トラブル復帰</x:v>
      </x:c>
      <x:c r="K186" s="23" t="str">
        <x:v>ローテーション牽引</x:v>
      </x:c>
      <x:c r="L186" s="23" t="str">
        <x:v>高速牽引</x:v>
      </x:c>
      <x:c r="M186" s="23" t="str">
        <x:v>高速発射</x:v>
      </x:c>
    </x:row>
    <x:row r="187" ht="40" customHeight="1">
      <x:c r="A187" s="23" t="str">
        <x:v>現役</x:v>
      </x:c>
      <x:c r="B187" s="26" t="n">
        <x:v>183</x:v>
      </x:c>
      <x:c r="C187" s="23" t="str">
        <x:v>Johan Price-Pejtersen</x:v>
      </x:c>
      <x:c r="D187" s="23" t="str">
        <x:v>TT・ルーラー型</x:v>
      </x:c>
      <x:c r="E187" s="23" t="str">
        <x:v>総合型</x:v>
      </x:c>
      <x:c r="F187" s="23" t="str">
        <x:v>アシスト型</x:v>
      </x:c>
      <x:c r="G187" s="23" t="str">
        <x:v>TTスペシャリスト / 平坦アシスト / 集団コントローラー</x:v>
      </x:c>
      <x:c r="H187" s="23" t="str">
        <x:v>平坦牽引</x:v>
      </x:c>
      <x:c r="I187" s="23" t="str">
        <x:v>風よけ</x:v>
      </x:c>
      <x:c r="J187" s="23" t="str">
        <x:v>前方誘導</x:v>
      </x:c>
      <x:c r="K187" s="23" t="str">
        <x:v>ローテーション牽引</x:v>
      </x:c>
      <x:c r="L187" s="23" t="str">
        <x:v>高速牽引</x:v>
      </x:c>
      <x:c r="M187" s="23" t="str">
        <x:v>長距離追走</x:v>
      </x:c>
    </x:row>
    <x:row r="188" ht="40" customHeight="1">
      <x:c r="A188" s="23" t="str">
        <x:v>現役</x:v>
      </x:c>
      <x:c r="B188" s="26" t="n">
        <x:v>184</x:v>
      </x:c>
      <x:c r="C188" s="23" t="str">
        <x:v>Callum Thornley</x:v>
      </x:c>
      <x:c r="D188" s="23" t="str">
        <x:v>TT・ルーラー型</x:v>
      </x:c>
      <x:c r="E188" s="23" t="str">
        <x:v>クラシック型</x:v>
      </x:c>
      <x:c r="F188" s="23" t="str">
        <x:v>アシスト型</x:v>
      </x:c>
      <x:c r="G188" s="23" t="str">
        <x:v>ロードキャプテン / TTスペシャリスト / 平坦アシスト</x:v>
      </x:c>
      <x:c r="H188" s="23" t="str">
        <x:v>平坦牽引</x:v>
      </x:c>
      <x:c r="I188" s="23" t="str">
        <x:v>風よけ</x:v>
      </x:c>
      <x:c r="J188" s="23" t="str">
        <x:v>前方誘導</x:v>
      </x:c>
      <x:c r="K188" s="23" t="str">
        <x:v>隊列再編</x:v>
      </x:c>
      <x:c r="L188" s="23" t="str">
        <x:v>ローテーション牽引</x:v>
      </x:c>
      <x:c r="M188" s="23" t="str">
        <x:v>緊急再編</x:v>
      </x:c>
    </x:row>
    <x:row r="189" ht="40" customHeight="1">
      <x:c r="A189" s="23" t="str">
        <x:v>現役</x:v>
      </x:c>
      <x:c r="B189" s="26" t="n">
        <x:v>185</x:v>
      </x:c>
      <x:c r="C189" s="23" t="str">
        <x:v>Alec Segaert</x:v>
      </x:c>
      <x:c r="D189" s="23" t="str">
        <x:v>TT・ルーラー型</x:v>
      </x:c>
      <x:c r="E189" s="23" t="str">
        <x:v>スプリンター</x:v>
      </x:c>
      <x:c r="F189" s="23" t="str">
        <x:v>アシスト型</x:v>
      </x:c>
      <x:c r="G189" s="23" t="str">
        <x:v>TTスペシャリスト / スプリントトレイン / 平坦アシスト</x:v>
      </x:c>
      <x:c r="H189" s="23" t="str">
        <x:v>平坦牽引</x:v>
      </x:c>
      <x:c r="I189" s="23" t="str">
        <x:v>風よけ</x:v>
      </x:c>
      <x:c r="J189" s="23" t="str">
        <x:v>トラブル復帰</x:v>
      </x:c>
      <x:c r="K189" s="23" t="str">
        <x:v>ローテーション牽引</x:v>
      </x:c>
      <x:c r="L189" s="23" t="str">
        <x:v>高速牽引</x:v>
      </x:c>
      <x:c r="M189" s="23" t="str">
        <x:v>全開牽引</x:v>
      </x:c>
    </x:row>
    <x:row r="190" ht="40" customHeight="1">
      <x:c r="A190" s="23" t="str">
        <x:v>現役</x:v>
      </x:c>
      <x:c r="B190" s="26" t="n">
        <x:v>186</x:v>
      </x:c>
      <x:c r="C190" s="23" t="str">
        <x:v>Edoardo Zambanini</x:v>
      </x:c>
      <x:c r="D190" s="23" t="str">
        <x:v>クライマー</x:v>
      </x:c>
      <x:c r="E190" s="23" t="str">
        <x:v>TT・ルーラー型</x:v>
      </x:c>
      <x:c r="F190" s="23" t="str">
        <x:v>アシスト型</x:v>
      </x:c>
      <x:c r="G190" s="23" t="str">
        <x:v>山岳アシスト / 山岳ペースメーカー / 山岳賞ハンター</x:v>
      </x:c>
      <x:c r="H190" s="23" t="str">
        <x:v>山岳牽引</x:v>
      </x:c>
      <x:c r="I190" s="23" t="str">
        <x:v>山岳ガード</x:v>
      </x:c>
      <x:c r="J190" s="23" t="str">
        <x:v>風よけ</x:v>
      </x:c>
      <x:c r="K190" s="23" t="str">
        <x:v>山岳先導</x:v>
      </x:c>
      <x:c r="L190" s="23" t="str">
        <x:v>山岳風よけ</x:v>
      </x:c>
      <x:c r="M190" s="23" t="str">
        <x:v>全力献身</x:v>
      </x:c>
    </x:row>
    <x:row r="191" ht="40" customHeight="1">
      <x:c r="A191" s="23" t="str">
        <x:v>現役</x:v>
      </x:c>
      <x:c r="B191" s="26" t="n">
        <x:v>187</x:v>
      </x:c>
      <x:c r="C191" s="23" t="str">
        <x:v>Emil Herzog</x:v>
      </x:c>
      <x:c r="D191" s="23" t="str">
        <x:v>クライマー</x:v>
      </x:c>
      <x:c r="E191" s="23" t="str">
        <x:v>スプリンター</x:v>
      </x:c>
      <x:c r="F191" s="23" t="str">
        <x:v>アシスト型</x:v>
      </x:c>
      <x:c r="G191" s="23" t="str">
        <x:v>山岳賞ハンター / スプリントトレイン / 山岳アシスト</x:v>
      </x:c>
      <x:c r="H191" s="23" t="str">
        <x:v>山岳牽引</x:v>
      </x:c>
      <x:c r="I191" s="23" t="str">
        <x:v>山岳ガード</x:v>
      </x:c>
      <x:c r="J191" s="23" t="str">
        <x:v>山岳番手</x:v>
      </x:c>
      <x:c r="K191" s="23" t="str">
        <x:v>山岳先導</x:v>
      </x:c>
      <x:c r="L191" s="23" t="str">
        <x:v>山岳風よけ</x:v>
      </x:c>
      <x:c r="M191" s="23" t="str">
        <x:v>全力献身</x:v>
      </x:c>
    </x:row>
    <x:row r="192" ht="40" customHeight="1">
      <x:c r="A192" s="23" t="str">
        <x:v>現役</x:v>
      </x:c>
      <x:c r="B192" s="26" t="n">
        <x:v>188</x:v>
      </x:c>
      <x:c r="C192" s="23" t="str">
        <x:v>Joseph Blackmore</x:v>
      </x:c>
      <x:c r="D192" s="23" t="str">
        <x:v>クラシック型</x:v>
      </x:c>
      <x:c r="E192" s="23" t="str">
        <x:v>クライマー</x:v>
      </x:c>
      <x:c r="F192" s="23" t="str">
        <x:v>アシスト型</x:v>
      </x:c>
      <x:c r="G192" s="23" t="str">
        <x:v>山岳賞ハンター / 石畳護衛 / 横風要員</x:v>
      </x:c>
      <x:c r="H192" s="23" t="str">
        <x:v>トラブル復帰</x:v>
      </x:c>
      <x:c r="I192" s="23" t="str">
        <x:v>進路確保</x:v>
      </x:c>
      <x:c r="J192" s="23" t="str">
        <x:v>パヴェ護衛</x:v>
      </x:c>
      <x:c r="K192" s="23" t="str">
        <x:v>ライン誘導</x:v>
      </x:c>
      <x:c r="L192" s="23" t="str">
        <x:v>石畳牽引</x:v>
      </x:c>
      <x:c r="M192" s="23" t="str">
        <x:v>石畳護衛</x:v>
      </x:c>
    </x:row>
    <x:row r="193" ht="40" customHeight="1">
      <x:c r="A193" s="23" t="str">
        <x:v>現役</x:v>
      </x:c>
      <x:c r="B193" s="26" t="n">
        <x:v>189</x:v>
      </x:c>
      <x:c r="C193" s="23" t="str">
        <x:v>Georg Zimmermann</x:v>
      </x:c>
      <x:c r="D193" s="23" t="str">
        <x:v>クライマー</x:v>
      </x:c>
      <x:c r="E193" s="23" t="str">
        <x:v>クラシック型</x:v>
      </x:c>
      <x:c r="F193" s="23" t="str">
        <x:v>アシスト型</x:v>
      </x:c>
      <x:c r="G193" s="23" t="str">
        <x:v>山岳賞ハンター / 山岳アシスト / 山岳番手</x:v>
      </x:c>
      <x:c r="H193" s="23" t="str">
        <x:v>山岳ガード</x:v>
      </x:c>
      <x:c r="I193" s="23" t="str">
        <x:v>山岳牽引</x:v>
      </x:c>
      <x:c r="J193" s="23" t="str">
        <x:v>山岳番手</x:v>
      </x:c>
      <x:c r="K193" s="23" t="str">
        <x:v>最後の山岳牽引</x:v>
      </x:c>
      <x:c r="L193" s="23" t="str">
        <x:v>登坂チェイス</x:v>
      </x:c>
      <x:c r="M193" s="23" t="str">
        <x:v>全力献身</x:v>
      </x:c>
    </x:row>
    <x:row r="194" ht="40" customHeight="1">
      <x:c r="A194" s="23" t="str">
        <x:v>現役</x:v>
      </x:c>
      <x:c r="B194" s="26" t="n">
        <x:v>190</x:v>
      </x:c>
      <x:c r="C194" s="23" t="str">
        <x:v>Lionel Taminiaux</x:v>
      </x:c>
      <x:c r="D194" s="23" t="str">
        <x:v>クライマー</x:v>
      </x:c>
      <x:c r="E194" s="23" t="str">
        <x:v>スプリンター</x:v>
      </x:c>
      <x:c r="F194" s="23" t="str">
        <x:v>アシスト型</x:v>
      </x:c>
      <x:c r="G194" s="23" t="str">
        <x:v>山岳賞ハンター / スプリントトレイン / 山岳アシスト</x:v>
      </x:c>
      <x:c r="H194" s="23" t="str">
        <x:v>山岳ガード</x:v>
      </x:c>
      <x:c r="I194" s="23" t="str">
        <x:v>山岳牽引</x:v>
      </x:c>
      <x:c r="J194" s="23" t="str">
        <x:v>山岳番手</x:v>
      </x:c>
      <x:c r="K194" s="23" t="str">
        <x:v>登坂チェイス</x:v>
      </x:c>
      <x:c r="L194" s="23" t="str">
        <x:v>山岳先導</x:v>
      </x:c>
      <x:c r="M194" s="23" t="str">
        <x:v>山岳救援</x:v>
      </x:c>
    </x:row>
    <x:row r="195" ht="40" customHeight="1">
      <x:c r="A195" s="23" t="str">
        <x:v>現役</x:v>
      </x:c>
      <x:c r="B195" s="26" t="n">
        <x:v>191</x:v>
      </x:c>
      <x:c r="C195" s="23" t="str">
        <x:v>Gal Glivar</x:v>
      </x:c>
      <x:c r="D195" s="23" t="str">
        <x:v>クラシック型</x:v>
      </x:c>
      <x:c r="E195" s="23" t="str">
        <x:v>スプリンター</x:v>
      </x:c>
      <x:c r="F195" s="23" t="str">
        <x:v>アシスト型</x:v>
      </x:c>
      <x:c r="G195" s="23" t="str">
        <x:v>スプリントトレイン / 石畳護衛 / 横風要員</x:v>
      </x:c>
      <x:c r="H195" s="23" t="str">
        <x:v>トラブル復帰</x:v>
      </x:c>
      <x:c r="I195" s="23" t="str">
        <x:v>進路確保</x:v>
      </x:c>
      <x:c r="J195" s="23" t="str">
        <x:v>パヴェ護衛</x:v>
      </x:c>
      <x:c r="K195" s="23" t="str">
        <x:v>トレイン加速</x:v>
      </x:c>
      <x:c r="L195" s="23" t="str">
        <x:v>パヴェ追走</x:v>
      </x:c>
      <x:c r="M195" s="23" t="str">
        <x:v>石畳護衛</x:v>
      </x:c>
    </x:row>
    <x:row r="196" ht="40" customHeight="1">
      <x:c r="A196" s="23" t="str">
        <x:v>現役</x:v>
      </x:c>
      <x:c r="B196" s="26" t="n">
        <x:v>192</x:v>
      </x:c>
      <x:c r="C196" s="23" t="str">
        <x:v>Jonas Rutsch</x:v>
      </x:c>
      <x:c r="D196" s="23" t="str">
        <x:v>クラシック型</x:v>
      </x:c>
      <x:c r="E196" s="23" t="str">
        <x:v>総合型</x:v>
      </x:c>
      <x:c r="F196" s="23" t="str">
        <x:v>アシスト型</x:v>
      </x:c>
      <x:c r="G196" s="23" t="str">
        <x:v>石畳護衛 / 集団コントローラー / 横風要員</x:v>
      </x:c>
      <x:c r="H196" s="23" t="str">
        <x:v>トラブル復帰</x:v>
      </x:c>
      <x:c r="I196" s="23" t="str">
        <x:v>進路確保</x:v>
      </x:c>
      <x:c r="J196" s="23" t="str">
        <x:v>パヴェ護衛</x:v>
      </x:c>
      <x:c r="K196" s="23" t="str">
        <x:v>ライン誘導</x:v>
      </x:c>
      <x:c r="L196" s="23" t="str">
        <x:v>石畳牽引</x:v>
      </x:c>
      <x:c r="M196" s="23" t="str">
        <x:v>石畳護衛</x:v>
      </x:c>
    </x:row>
    <x:row r="197" ht="40" customHeight="1">
      <x:c r="A197" s="23" t="str">
        <x:v>現役</x:v>
      </x:c>
      <x:c r="B197" s="26" t="n">
        <x:v>193</x:v>
      </x:c>
      <x:c r="C197" s="23" t="str">
        <x:v>Axel Laurance</x:v>
      </x:c>
      <x:c r="D197" s="23" t="str">
        <x:v>パンチャー</x:v>
      </x:c>
      <x:c r="E197" s="23" t="str">
        <x:v>TT・ルーラー型</x:v>
      </x:c>
      <x:c r="F197" s="23" t="str">
        <x:v>アシスト型</x:v>
      </x:c>
      <x:c r="G197" s="23" t="str">
        <x:v>ステージハンター / 逃げ屋 / ポジションキーパー</x:v>
      </x:c>
      <x:c r="H197" s="23" t="str">
        <x:v>位置引き上げ</x:v>
      </x:c>
      <x:c r="I197" s="23" t="str">
        <x:v>丘陵牽引</x:v>
      </x:c>
      <x:c r="J197" s="23" t="str">
        <x:v>ペース調整</x:v>
      </x:c>
      <x:c r="K197" s="23" t="str">
        <x:v>ブリッジ</x:v>
      </x:c>
      <x:c r="L197" s="23" t="str">
        <x:v>逃げ参加</x:v>
      </x:c>
      <x:c r="M197" s="23" t="str">
        <x:v>サテライト救援</x:v>
      </x:c>
    </x:row>
    <x:row r="198" ht="40" customHeight="1">
      <x:c r="A198" s="23" t="str">
        <x:v>現役</x:v>
      </x:c>
      <x:c r="B198" s="26" t="n">
        <x:v>194</x:v>
      </x:c>
      <x:c r="C198" s="23" t="str">
        <x:v>Frank van den Broek</x:v>
      </x:c>
      <x:c r="D198" s="23" t="str">
        <x:v>クラシック型</x:v>
      </x:c>
      <x:c r="E198" s="23" t="str">
        <x:v>クライマー</x:v>
      </x:c>
      <x:c r="F198" s="23" t="str">
        <x:v>アシスト型</x:v>
      </x:c>
      <x:c r="G198" s="23" t="str">
        <x:v>山岳賞ハンター / 石畳護衛 / 横風要員</x:v>
      </x:c>
      <x:c r="H198" s="23" t="str">
        <x:v>トラブル復帰</x:v>
      </x:c>
      <x:c r="I198" s="23" t="str">
        <x:v>進路確保</x:v>
      </x:c>
      <x:c r="J198" s="23" t="str">
        <x:v>パヴェ護衛</x:v>
      </x:c>
      <x:c r="K198" s="23" t="str">
        <x:v>パヴェ追走</x:v>
      </x:c>
      <x:c r="L198" s="23" t="str">
        <x:v>ライン誘導</x:v>
      </x:c>
      <x:c r="M198" s="23" t="str">
        <x:v>石畳護衛</x:v>
      </x:c>
    </x:row>
    <x:row r="199" ht="40" customHeight="1">
      <x:c r="A199" s="23" t="str">
        <x:v>現役</x:v>
      </x:c>
      <x:c r="B199" s="26" t="n">
        <x:v>195</x:v>
      </x:c>
      <x:c r="C199" s="23" t="str">
        <x:v>Matthew Riccitello</x:v>
      </x:c>
      <x:c r="D199" s="23" t="str">
        <x:v>クライマー</x:v>
      </x:c>
      <x:c r="E199" s="23" t="str">
        <x:v>パンチャー</x:v>
      </x:c>
      <x:c r="F199" s="23" t="str">
        <x:v>アシスト型</x:v>
      </x:c>
      <x:c r="G199" s="23" t="str">
        <x:v>山岳賞ハンター / 山岳アシスト / 山岳番手</x:v>
      </x:c>
      <x:c r="H199" s="23" t="str">
        <x:v>山岳牽引</x:v>
      </x:c>
      <x:c r="I199" s="23" t="str">
        <x:v>山岳ガード</x:v>
      </x:c>
      <x:c r="J199" s="23" t="str">
        <x:v>山岳番手</x:v>
      </x:c>
      <x:c r="K199" s="23" t="str">
        <x:v>山岳先導</x:v>
      </x:c>
      <x:c r="L199" s="23" t="str">
        <x:v>山岳風よけ</x:v>
      </x:c>
      <x:c r="M199" s="23" t="str">
        <x:v>全力献身</x:v>
      </x:c>
    </x:row>
    <x:row r="200" ht="40" customHeight="1">
      <x:c r="A200" s="23" t="str">
        <x:v>現役</x:v>
      </x:c>
      <x:c r="B200" s="26" t="n">
        <x:v>196</x:v>
      </x:c>
      <x:c r="C200" s="23" t="str">
        <x:v>Andrea Raccagni Noviero</x:v>
      </x:c>
      <x:c r="D200" s="23" t="str">
        <x:v>クラシック型</x:v>
      </x:c>
      <x:c r="E200" s="23" t="str">
        <x:v>クライマー</x:v>
      </x:c>
      <x:c r="F200" s="23" t="str">
        <x:v>アシスト型</x:v>
      </x:c>
      <x:c r="G200" s="23" t="str">
        <x:v>ステージハンター / 山岳賞ハンター / 石畳護衛</x:v>
      </x:c>
      <x:c r="H200" s="23" t="str">
        <x:v>トラブル復帰</x:v>
      </x:c>
      <x:c r="I200" s="23" t="str">
        <x:v>進路確保</x:v>
      </x:c>
      <x:c r="J200" s="23" t="str">
        <x:v>パヴェ護衛</x:v>
      </x:c>
      <x:c r="K200" s="23" t="str">
        <x:v>ライン誘導</x:v>
      </x:c>
      <x:c r="L200" s="23" t="str">
        <x:v>石畳牽引</x:v>
      </x:c>
      <x:c r="M200" s="23" t="str">
        <x:v>石畳護衛</x:v>
      </x:c>
    </x:row>
    <x:row r="201" ht="40" customHeight="1">
      <x:c r="A201" s="23" t="str">
        <x:v>現役</x:v>
      </x:c>
      <x:c r="B201" s="26" t="n">
        <x:v>197</x:v>
      </x:c>
      <x:c r="C201" s="23" t="str">
        <x:v>Gianmarco Garofoli</x:v>
      </x:c>
      <x:c r="D201" s="23" t="str">
        <x:v>クライマー</x:v>
      </x:c>
      <x:c r="E201" s="23" t="str">
        <x:v>スプリンター</x:v>
      </x:c>
      <x:c r="F201" s="23" t="str">
        <x:v>アシスト型</x:v>
      </x:c>
      <x:c r="G201" s="23" t="str">
        <x:v>山岳賞ハンター / スプリントトレイン / 山岳アシスト</x:v>
      </x:c>
      <x:c r="H201" s="23" t="str">
        <x:v>山岳牽引</x:v>
      </x:c>
      <x:c r="I201" s="23" t="str">
        <x:v>山岳ガード</x:v>
      </x:c>
      <x:c r="J201" s="23" t="str">
        <x:v>山岳番手</x:v>
      </x:c>
      <x:c r="K201" s="23" t="str">
        <x:v>山岳先導</x:v>
      </x:c>
      <x:c r="L201" s="23" t="str">
        <x:v>山岳風よけ</x:v>
      </x:c>
      <x:c r="M201" s="23" t="str">
        <x:v>全力献身</x:v>
      </x:c>
    </x:row>
    <x:row r="202" ht="40" customHeight="1">
      <x:c r="A202" s="23" t="str">
        <x:v>現役</x:v>
      </x:c>
      <x:c r="B202" s="26" t="n">
        <x:v>198</x:v>
      </x:c>
      <x:c r="C202" s="23" t="str">
        <x:v>Gijs Leemreize</x:v>
      </x:c>
      <x:c r="D202" s="23" t="str">
        <x:v>クライマー</x:v>
      </x:c>
      <x:c r="E202" s="23" t="str">
        <x:v>TT・ルーラー型</x:v>
      </x:c>
      <x:c r="F202" s="23" t="str">
        <x:v>アシスト型</x:v>
      </x:c>
      <x:c r="G202" s="23" t="str">
        <x:v>山岳賞ハンター / 山岳アシスト / 山岳ペースメーカー</x:v>
      </x:c>
      <x:c r="H202" s="23" t="str">
        <x:v>山岳牽引</x:v>
      </x:c>
      <x:c r="I202" s="23" t="str">
        <x:v>山岳ガード</x:v>
      </x:c>
      <x:c r="J202" s="23" t="str">
        <x:v>山岳番手</x:v>
      </x:c>
      <x:c r="K202" s="23" t="str">
        <x:v>山岳先導</x:v>
      </x:c>
      <x:c r="L202" s="23" t="str">
        <x:v>山岳風よけ</x:v>
      </x:c>
      <x:c r="M202" s="23" t="str">
        <x:v>全力献身</x:v>
      </x:c>
    </x:row>
    <x:row r="203" ht="40" customHeight="1">
      <x:c r="A203" s="23" t="str">
        <x:v>現役</x:v>
      </x:c>
      <x:c r="B203" s="26" t="n">
        <x:v>199</x:v>
      </x:c>
      <x:c r="C203" s="23" t="str">
        <x:v>Lars Craps</x:v>
      </x:c>
      <x:c r="D203" s="23" t="str">
        <x:v>クラシック型</x:v>
      </x:c>
      <x:c r="E203" s="23" t="str">
        <x:v>TT・ルーラー型</x:v>
      </x:c>
      <x:c r="F203" s="23" t="str">
        <x:v>アシスト型</x:v>
      </x:c>
      <x:c r="G203" s="23" t="str">
        <x:v>石畳護衛 / 横風要員 / ステージハンター</x:v>
      </x:c>
      <x:c r="H203" s="23" t="str">
        <x:v>トラブル復帰</x:v>
      </x:c>
      <x:c r="I203" s="23" t="str">
        <x:v>進路確保</x:v>
      </x:c>
      <x:c r="J203" s="23" t="str">
        <x:v>パヴェ護衛</x:v>
      </x:c>
      <x:c r="K203" s="23" t="str">
        <x:v>ライン誘導</x:v>
      </x:c>
      <x:c r="L203" s="23" t="str">
        <x:v>石畳牽引</x:v>
      </x:c>
      <x:c r="M203" s="23" t="str">
        <x:v>石畳護衛</x:v>
      </x:c>
    </x:row>
    <x:row r="204" ht="40" customHeight="1">
      <x:c r="A204" s="23" t="str">
        <x:v>現役</x:v>
      </x:c>
      <x:c r="B204" s="26" t="n">
        <x:v>200</x:v>
      </x:c>
      <x:c r="C204" s="23" t="str">
        <x:v>Diego Pescador</x:v>
      </x:c>
      <x:c r="D204" s="23" t="str">
        <x:v>クライマー</x:v>
      </x:c>
      <x:c r="E204" s="23" t="str">
        <x:v>総合型</x:v>
      </x:c>
      <x:c r="F204" s="23" t="str">
        <x:v>アシスト型</x:v>
      </x:c>
      <x:c r="G204" s="23" t="str">
        <x:v>山岳賞ハンター / 山岳アシスト / 山岳ペースメーカー</x:v>
      </x:c>
      <x:c r="H204" s="23" t="str">
        <x:v>山岳ガード</x:v>
      </x:c>
      <x:c r="I204" s="23" t="str">
        <x:v>山岳牽引</x:v>
      </x:c>
      <x:c r="J204" s="23" t="str">
        <x:v>山岳番手</x:v>
      </x:c>
      <x:c r="K204" s="23" t="str">
        <x:v>山岳先導</x:v>
      </x:c>
      <x:c r="L204" s="23" t="str">
        <x:v>山岳風よけ</x:v>
      </x:c>
      <x:c r="M204" s="23" t="str">
        <x:v>全力献身</x:v>
      </x:c>
    </x:row>
    <x:row r="205" ht="40" customHeight="1">
      <x:c r="A205" s="23" t="str">
        <x:v>現役</x:v>
      </x:c>
      <x:c r="B205" s="26" t="n">
        <x:v>201</x:v>
      </x:c>
      <x:c r="C205" s="23" t="str">
        <x:v>Fran Miholjević</x:v>
      </x:c>
      <x:c r="D205" s="23" t="str">
        <x:v>スプリンター</x:v>
      </x:c>
      <x:c r="E205" s="23" t="str">
        <x:v>総合型</x:v>
      </x:c>
      <x:c r="F205" s="23" t="str">
        <x:v>アシスト型</x:v>
      </x:c>
      <x:c r="G205" s="23" t="str">
        <x:v>リードアウト / 最終発射台 / スプリントトレイン</x:v>
      </x:c>
      <x:c r="H205" s="23" t="str">
        <x:v>位置引き上げ</x:v>
      </x:c>
      <x:c r="I205" s="23" t="str">
        <x:v>前方誘導</x:v>
      </x:c>
      <x:c r="J205" s="23" t="str">
        <x:v>平坦牽引</x:v>
      </x:c>
      <x:c r="K205" s="23" t="str">
        <x:v>トレイン加速</x:v>
      </x:c>
      <x:c r="L205" s="23" t="str">
        <x:v>高速リードアウト</x:v>
      </x:c>
      <x:c r="M205" s="23" t="str">
        <x:v>最終発射</x:v>
      </x:c>
    </x:row>
    <x:row r="206" ht="40" customHeight="1">
      <x:c r="A206" s="23" t="str">
        <x:v>現役</x:v>
      </x:c>
      <x:c r="B206" s="26" t="n">
        <x:v>202</x:v>
      </x:c>
      <x:c r="C206" s="23" t="str">
        <x:v>Madis Mihkels</x:v>
      </x:c>
      <x:c r="D206" s="23" t="str">
        <x:v>パンチャー</x:v>
      </x:c>
      <x:c r="E206" s="23" t="str">
        <x:v>総合型</x:v>
      </x:c>
      <x:c r="F206" s="23" t="str">
        <x:v>アシスト型</x:v>
      </x:c>
      <x:c r="G206" s="23" t="str">
        <x:v>ロードキャプテン / ステージハンター / 集団コントローラー</x:v>
      </x:c>
      <x:c r="H206" s="23" t="str">
        <x:v>位置引き上げ</x:v>
      </x:c>
      <x:c r="I206" s="23" t="str">
        <x:v>追走補助</x:v>
      </x:c>
      <x:c r="J206" s="23" t="str">
        <x:v>丘陵牽引</x:v>
      </x:c>
      <x:c r="K206" s="23" t="str">
        <x:v>坂前誘導</x:v>
      </x:c>
      <x:c r="L206" s="23" t="str">
        <x:v>仕掛け封じ</x:v>
      </x:c>
      <x:c r="M206" s="23" t="str">
        <x:v>緊急再編</x:v>
      </x:c>
    </x:row>
    <x:row r="207" ht="40" customHeight="1">
      <x:c r="A207" s="23" t="str">
        <x:v>現役</x:v>
      </x:c>
      <x:c r="B207" s="26" t="n">
        <x:v>203</x:v>
      </x:c>
      <x:c r="C207" s="23" t="str">
        <x:v>Luke Lamperti</x:v>
      </x:c>
      <x:c r="D207" s="23" t="str">
        <x:v>スプリンター</x:v>
      </x:c>
      <x:c r="E207" s="23" t="str">
        <x:v>TT・ルーラー型</x:v>
      </x:c>
      <x:c r="F207" s="23" t="str">
        <x:v>アシスト型</x:v>
      </x:c>
      <x:c r="G207" s="23" t="str">
        <x:v>リードアウト / 最終発射台 / スプリントトレイン</x:v>
      </x:c>
      <x:c r="H207" s="23" t="str">
        <x:v>前方誘導</x:v>
      </x:c>
      <x:c r="I207" s="23" t="str">
        <x:v>平坦牽引</x:v>
      </x:c>
      <x:c r="J207" s="23" t="str">
        <x:v>位置引き上げ</x:v>
      </x:c>
      <x:c r="K207" s="23" t="str">
        <x:v>トレイン加速</x:v>
      </x:c>
      <x:c r="L207" s="23" t="str">
        <x:v>高速リードアウト</x:v>
      </x:c>
      <x:c r="M207" s="23" t="str">
        <x:v>最終発射</x:v>
      </x:c>
    </x:row>
    <x:row r="208" ht="40" customHeight="1">
      <x:c r="A208" s="23" t="str">
        <x:v>現役</x:v>
      </x:c>
      <x:c r="B208" s="26" t="n">
        <x:v>204</x:v>
      </x:c>
      <x:c r="C208" s="23" t="str">
        <x:v>Dries Van Gestel</x:v>
      </x:c>
      <x:c r="D208" s="23" t="str">
        <x:v>パンチャー</x:v>
      </x:c>
      <x:c r="E208" s="23" t="str">
        <x:v>クライマー</x:v>
      </x:c>
      <x:c r="F208" s="23" t="str">
        <x:v>アシスト型</x:v>
      </x:c>
      <x:c r="G208" s="23" t="str">
        <x:v>ステージハンター / 山岳賞ハンター / 逃げ屋</x:v>
      </x:c>
      <x:c r="H208" s="23" t="str">
        <x:v>追走補助</x:v>
      </x:c>
      <x:c r="I208" s="23" t="str">
        <x:v>位置引き上げ</x:v>
      </x:c>
      <x:c r="J208" s="23" t="str">
        <x:v>丘陵牽引</x:v>
      </x:c>
      <x:c r="K208" s="23" t="str">
        <x:v>仕掛け封じ</x:v>
      </x:c>
      <x:c r="L208" s="23" t="str">
        <x:v>ブリッジ</x:v>
      </x:c>
      <x:c r="M208" s="23" t="str">
        <x:v>丘陵封鎖</x:v>
      </x:c>
    </x:row>
    <x:row r="209" ht="40" customHeight="1">
      <x:c r="A209" s="23" t="str">
        <x:v>現役</x:v>
      </x:c>
      <x:c r="B209" s="26" t="n">
        <x:v>205</x:v>
      </x:c>
      <x:c r="C209" s="23" t="str">
        <x:v>Ben Zwiehoff</x:v>
      </x:c>
      <x:c r="D209" s="23" t="str">
        <x:v>パンチャー</x:v>
      </x:c>
      <x:c r="E209" s="23" t="str">
        <x:v>スプリンター</x:v>
      </x:c>
      <x:c r="F209" s="23" t="str">
        <x:v>アシスト型</x:v>
      </x:c>
      <x:c r="G209" s="23" t="str">
        <x:v>ロードキャプテン / ステージハンター / スプリントトレイン</x:v>
      </x:c>
      <x:c r="H209" s="23" t="str">
        <x:v>位置引き上げ</x:v>
      </x:c>
      <x:c r="I209" s="23" t="str">
        <x:v>丘陵牽引</x:v>
      </x:c>
      <x:c r="J209" s="23" t="str">
        <x:v>追走補助</x:v>
      </x:c>
      <x:c r="K209" s="23" t="str">
        <x:v>仕掛け封じ</x:v>
      </x:c>
      <x:c r="L209" s="23" t="str">
        <x:v>坂前誘導</x:v>
      </x:c>
      <x:c r="M209" s="23" t="str">
        <x:v>最終発射</x:v>
      </x:c>
    </x:row>
    <x:row r="210" ht="40" customHeight="1">
      <x:c r="A210" s="23" t="str">
        <x:v>現役</x:v>
      </x:c>
      <x:c r="B210" s="26" t="n">
        <x:v>206</x:v>
      </x:c>
      <x:c r="C210" s="23" t="str">
        <x:v>Fredrik Dversnes</x:v>
      </x:c>
      <x:c r="D210" s="23" t="str">
        <x:v>パンチャー</x:v>
      </x:c>
      <x:c r="E210" s="23" t="str">
        <x:v>クライマー</x:v>
      </x:c>
      <x:c r="F210" s="23" t="str">
        <x:v>アシスト型</x:v>
      </x:c>
      <x:c r="G210" s="23" t="str">
        <x:v>ステージハンター / 山岳賞ハンター / 下り牽引</x:v>
      </x:c>
      <x:c r="H210" s="23" t="str">
        <x:v>安全誘導</x:v>
      </x:c>
      <x:c r="I210" s="23" t="str">
        <x:v>高速コーナリング</x:v>
      </x:c>
      <x:c r="J210" s="23" t="str">
        <x:v>位置引き上げ</x:v>
      </x:c>
      <x:c r="K210" s="23" t="str">
        <x:v>ダウンヒル牽引</x:v>
      </x:c>
      <x:c r="L210" s="23" t="str">
        <x:v>下りアタック</x:v>
      </x:c>
      <x:c r="M210" s="23" t="str">
        <x:v>下り護衛</x:v>
      </x:c>
    </x:row>
    <x:row r="211" ht="40" customHeight="1">
      <x:c r="A211" s="23" t="str">
        <x:v>現役</x:v>
      </x:c>
      <x:c r="B211" s="26" t="n">
        <x:v>207</x:v>
      </x:c>
      <x:c r="C211" s="23" t="str">
        <x:v>Jardi Christiaan van der Lee</x:v>
      </x:c>
      <x:c r="D211" s="23" t="str">
        <x:v>パンチャー</x:v>
      </x:c>
      <x:c r="E211" s="23" t="str">
        <x:v>総合型</x:v>
      </x:c>
      <x:c r="F211" s="23" t="str">
        <x:v>アシスト型</x:v>
      </x:c>
      <x:c r="G211" s="23" t="str">
        <x:v>ステージハンター / 山岳賞ハンター / 集団コントローラー</x:v>
      </x:c>
      <x:c r="H211" s="23" t="str">
        <x:v>位置引き上げ</x:v>
      </x:c>
      <x:c r="I211" s="23" t="str">
        <x:v>丘陵牽引</x:v>
      </x:c>
      <x:c r="J211" s="23" t="str">
        <x:v>追走補助</x:v>
      </x:c>
      <x:c r="K211" s="23" t="str">
        <x:v>坂前誘導</x:v>
      </x:c>
      <x:c r="L211" s="23" t="str">
        <x:v>仕掛け封じ</x:v>
      </x:c>
      <x:c r="M211" s="23" t="str">
        <x:v>完全吸収</x:v>
      </x:c>
    </x:row>
    <x:row r="212" ht="40" customHeight="1">
      <x:c r="A212" s="23" t="str">
        <x:v>現役</x:v>
      </x:c>
      <x:c r="B212" s="26" t="n">
        <x:v>208</x:v>
      </x:c>
      <x:c r="C212" s="23" t="str">
        <x:v>Gonzalo Serrano</x:v>
      </x:c>
      <x:c r="D212" s="23" t="str">
        <x:v>パンチャー</x:v>
      </x:c>
      <x:c r="E212" s="23" t="str">
        <x:v>クライマー</x:v>
      </x:c>
      <x:c r="F212" s="23" t="str">
        <x:v>アシスト型</x:v>
      </x:c>
      <x:c r="G212" s="23" t="str">
        <x:v>ステージハンター / 山岳賞ハンター / 逃げ屋</x:v>
      </x:c>
      <x:c r="H212" s="23" t="str">
        <x:v>位置引き上げ</x:v>
      </x:c>
      <x:c r="I212" s="23" t="str">
        <x:v>追走補助</x:v>
      </x:c>
      <x:c r="J212" s="23" t="str">
        <x:v>丘陵牽引</x:v>
      </x:c>
      <x:c r="K212" s="23" t="str">
        <x:v>ブリッジ</x:v>
      </x:c>
      <x:c r="L212" s="23" t="str">
        <x:v>逃げ参加</x:v>
      </x:c>
      <x:c r="M212" s="23" t="str">
        <x:v>サテライト救援</x:v>
      </x:c>
    </x:row>
    <x:row r="213" ht="40" customHeight="1">
      <x:c r="A213" s="23" t="str">
        <x:v>現役</x:v>
      </x:c>
      <x:c r="B213" s="26" t="n">
        <x:v>209</x:v>
      </x:c>
      <x:c r="C213" s="23" t="str">
        <x:v>Ådne Holter</x:v>
      </x:c>
      <x:c r="D213" s="23" t="str">
        <x:v>パンチャー</x:v>
      </x:c>
      <x:c r="E213" s="23" t="str">
        <x:v>総合型</x:v>
      </x:c>
      <x:c r="F213" s="23" t="str">
        <x:v>アシスト型</x:v>
      </x:c>
      <x:c r="G213" s="23" t="str">
        <x:v>ステージハンター / 山岳賞ハンター / 集団コントローラー</x:v>
      </x:c>
      <x:c r="H213" s="23" t="str">
        <x:v>位置引き上げ</x:v>
      </x:c>
      <x:c r="I213" s="23" t="str">
        <x:v>追走補助</x:v>
      </x:c>
      <x:c r="J213" s="23" t="str">
        <x:v>丘陵牽引</x:v>
      </x:c>
      <x:c r="K213" s="23" t="str">
        <x:v>坂前誘導</x:v>
      </x:c>
      <x:c r="L213" s="23" t="str">
        <x:v>仕掛け封じ</x:v>
      </x:c>
      <x:c r="M213" s="23" t="str">
        <x:v>完全吸収</x:v>
      </x:c>
    </x:row>
    <x:row r="214" ht="40" customHeight="1">
      <x:c r="A214" s="23" t="str">
        <x:v>現役</x:v>
      </x:c>
      <x:c r="B214" s="26" t="n">
        <x:v>210</x:v>
      </x:c>
      <x:c r="C214" s="23" t="str">
        <x:v>Alessandro Romele</x:v>
      </x:c>
      <x:c r="D214" s="23" t="str">
        <x:v>パンチャー</x:v>
      </x:c>
      <x:c r="E214" s="23" t="str">
        <x:v>TT・ルーラー型</x:v>
      </x:c>
      <x:c r="F214" s="23" t="str">
        <x:v>アシスト型</x:v>
      </x:c>
      <x:c r="G214" s="23" t="str">
        <x:v>ステージハンター / 逃げ屋 / ポジションキーパー</x:v>
      </x:c>
      <x:c r="H214" s="23" t="str">
        <x:v>追走補助</x:v>
      </x:c>
      <x:c r="I214" s="23" t="str">
        <x:v>位置引き上げ</x:v>
      </x:c>
      <x:c r="J214" s="23" t="str">
        <x:v>丘陵牽引</x:v>
      </x:c>
      <x:c r="K214" s="23" t="str">
        <x:v>仕掛け封じ</x:v>
      </x:c>
      <x:c r="L214" s="23" t="str">
        <x:v>坂前誘導</x:v>
      </x:c>
      <x:c r="M214" s="23" t="str">
        <x:v>丘陵封鎖</x:v>
      </x:c>
    </x:row>
    <x:row r="215" ht="40" customHeight="1">
      <x:c r="A215" s="23" t="str">
        <x:v>現役</x:v>
      </x:c>
      <x:c r="B215" s="26" t="n">
        <x:v>211</x:v>
      </x:c>
      <x:c r="C215" s="23" t="str">
        <x:v>Erlend Blikra</x:v>
      </x:c>
      <x:c r="D215" s="23" t="str">
        <x:v>パンチャー</x:v>
      </x:c>
      <x:c r="E215" s="23" t="str">
        <x:v>クライマー</x:v>
      </x:c>
      <x:c r="F215" s="23" t="str">
        <x:v>アシスト型</x:v>
      </x:c>
      <x:c r="G215" s="23" t="str">
        <x:v>ステージハンター / 山岳賞ハンター / 逃げ屋</x:v>
      </x:c>
      <x:c r="H215" s="23" t="str">
        <x:v>追走補助</x:v>
      </x:c>
      <x:c r="I215" s="23" t="str">
        <x:v>位置引き上げ</x:v>
      </x:c>
      <x:c r="J215" s="23" t="str">
        <x:v>丘陵牽引</x:v>
      </x:c>
      <x:c r="K215" s="23" t="str">
        <x:v>仕掛け封じ</x:v>
      </x:c>
      <x:c r="L215" s="23" t="str">
        <x:v>ブリッジ</x:v>
      </x:c>
      <x:c r="M215" s="23" t="str">
        <x:v>丘陵封鎖</x:v>
      </x:c>
    </x:row>
    <x:row r="216" ht="40" customHeight="1">
      <x:c r="A216" s="23" t="str">
        <x:v>現役</x:v>
      </x:c>
      <x:c r="B216" s="26" t="n">
        <x:v>212</x:v>
      </x:c>
      <x:c r="C216" s="23" t="str">
        <x:v>Guillaume Boivin</x:v>
      </x:c>
      <x:c r="D216" s="23" t="str">
        <x:v>TT・ルーラー型</x:v>
      </x:c>
      <x:c r="E216" s="23" t="str">
        <x:v>総合型</x:v>
      </x:c>
      <x:c r="F216" s="23" t="str">
        <x:v>アシスト型</x:v>
      </x:c>
      <x:c r="G216" s="23" t="str">
        <x:v>TTスペシャリスト / 平坦アシスト / 集団コントローラー</x:v>
      </x:c>
      <x:c r="H216" s="23" t="str">
        <x:v>平坦牽引</x:v>
      </x:c>
      <x:c r="I216" s="23" t="str">
        <x:v>風よけ</x:v>
      </x:c>
      <x:c r="J216" s="23" t="str">
        <x:v>前方誘導</x:v>
      </x:c>
      <x:c r="K216" s="23" t="str">
        <x:v>ローテーション牽引</x:v>
      </x:c>
      <x:c r="L216" s="23" t="str">
        <x:v>高速牽引</x:v>
      </x:c>
      <x:c r="M216" s="23" t="str">
        <x:v>全開牽引</x:v>
      </x:c>
    </x:row>
    <x:row r="217" ht="40" customHeight="1">
      <x:c r="A217" s="23" t="str">
        <x:v>現役</x:v>
      </x:c>
      <x:c r="B217" s="26" t="n">
        <x:v>213</x:v>
      </x:c>
      <x:c r="C217" s="23" t="str">
        <x:v>Davide Formolo</x:v>
      </x:c>
      <x:c r="D217" s="23" t="str">
        <x:v>クライマー</x:v>
      </x:c>
      <x:c r="E217" s="23" t="str">
        <x:v>クラシック型</x:v>
      </x:c>
      <x:c r="F217" s="23" t="str">
        <x:v>アシスト型</x:v>
      </x:c>
      <x:c r="G217" s="23" t="str">
        <x:v>山岳賞ハンター / 山岳アシスト / 下り牽引</x:v>
      </x:c>
      <x:c r="H217" s="23" t="str">
        <x:v>山岳ガード</x:v>
      </x:c>
      <x:c r="I217" s="23" t="str">
        <x:v>山岳牽引</x:v>
      </x:c>
      <x:c r="J217" s="23" t="str">
        <x:v>山岳番手</x:v>
      </x:c>
      <x:c r="K217" s="23" t="str">
        <x:v>登坂チェイス</x:v>
      </x:c>
      <x:c r="L217" s="23" t="str">
        <x:v>山岳先導</x:v>
      </x:c>
      <x:c r="M217" s="23" t="str">
        <x:v>山岳救援</x:v>
      </x:c>
    </x:row>
    <x:row r="218" ht="40" customHeight="1">
      <x:c r="A218" s="23" t="str">
        <x:v>現役</x:v>
      </x:c>
      <x:c r="B218" s="26" t="n">
        <x:v>214</x:v>
      </x:c>
      <x:c r="C218" s="23" t="str">
        <x:v>Adrien Boichis</x:v>
      </x:c>
      <x:c r="D218" s="23" t="str">
        <x:v>TT・ルーラー型</x:v>
      </x:c>
      <x:c r="E218" s="23" t="str">
        <x:v>総合型</x:v>
      </x:c>
      <x:c r="F218" s="23" t="str">
        <x:v>アシスト型</x:v>
      </x:c>
      <x:c r="G218" s="23" t="str">
        <x:v>平坦アシスト / TT牽引 / 集団コントローラー</x:v>
      </x:c>
      <x:c r="H218" s="23" t="str">
        <x:v>平坦牽引</x:v>
      </x:c>
      <x:c r="I218" s="23" t="str">
        <x:v>風よけ</x:v>
      </x:c>
      <x:c r="J218" s="23" t="str">
        <x:v>トラブル復帰</x:v>
      </x:c>
      <x:c r="K218" s="23" t="str">
        <x:v>ローテーション牽引</x:v>
      </x:c>
      <x:c r="L218" s="23" t="str">
        <x:v>高速牽引</x:v>
      </x:c>
      <x:c r="M218" s="23" t="str">
        <x:v>全開牽引</x:v>
      </x:c>
    </x:row>
    <x:row r="219" ht="40" customHeight="1">
      <x:c r="A219" s="23" t="str">
        <x:v>現役</x:v>
      </x:c>
      <x:c r="B219" s="26" t="n">
        <x:v>215</x:v>
      </x:c>
      <x:c r="C219" s="23" t="str">
        <x:v>Clément Champoussin</x:v>
      </x:c>
      <x:c r="D219" s="23" t="str">
        <x:v>クライマー</x:v>
      </x:c>
      <x:c r="E219" s="23" t="str">
        <x:v>総合型</x:v>
      </x:c>
      <x:c r="F219" s="23" t="str">
        <x:v>アシスト型</x:v>
      </x:c>
      <x:c r="G219" s="23" t="str">
        <x:v>山岳賞ハンター / 山岳アシスト / 山岳ペースメーカー</x:v>
      </x:c>
      <x:c r="H219" s="23" t="str">
        <x:v>山岳ガード</x:v>
      </x:c>
      <x:c r="I219" s="23" t="str">
        <x:v>山岳牽引</x:v>
      </x:c>
      <x:c r="J219" s="23" t="str">
        <x:v>山岳番手</x:v>
      </x:c>
      <x:c r="K219" s="23" t="str">
        <x:v>登坂チェイス</x:v>
      </x:c>
      <x:c r="L219" s="23" t="str">
        <x:v>山岳先導</x:v>
      </x:c>
      <x:c r="M219" s="23" t="str">
        <x:v>山岳救援</x:v>
      </x:c>
    </x:row>
    <x:row r="220" ht="40" customHeight="1">
      <x:c r="A220" s="23" t="str">
        <x:v>現役</x:v>
      </x:c>
      <x:c r="B220" s="26" t="n">
        <x:v>216</x:v>
      </x:c>
      <x:c r="C220" s="23" t="str">
        <x:v>Einer Rubio</x:v>
      </x:c>
      <x:c r="D220" s="23" t="str">
        <x:v>クライマー</x:v>
      </x:c>
      <x:c r="E220" s="23" t="str">
        <x:v>スプリンター</x:v>
      </x:c>
      <x:c r="F220" s="23" t="str">
        <x:v>アシスト型</x:v>
      </x:c>
      <x:c r="G220" s="23" t="str">
        <x:v>山岳賞ハンター / スプリントトレイン / 山岳アシスト</x:v>
      </x:c>
      <x:c r="H220" s="23" t="str">
        <x:v>山岳ガード</x:v>
      </x:c>
      <x:c r="I220" s="23" t="str">
        <x:v>山岳牽引</x:v>
      </x:c>
      <x:c r="J220" s="23" t="str">
        <x:v>山岳番手</x:v>
      </x:c>
      <x:c r="K220" s="23" t="str">
        <x:v>登坂チェイス</x:v>
      </x:c>
      <x:c r="L220" s="23" t="str">
        <x:v>山岳先導</x:v>
      </x:c>
      <x:c r="M220" s="23" t="str">
        <x:v>山岳救援</x:v>
      </x:c>
    </x:row>
    <x:row r="221" ht="40" customHeight="1">
      <x:c r="A221" s="23" t="str">
        <x:v>現役</x:v>
      </x:c>
      <x:c r="B221" s="26" t="n">
        <x:v>217</x:v>
      </x:c>
      <x:c r="C221" s="23" t="str">
        <x:v>Clément Braz Afonso</x:v>
      </x:c>
      <x:c r="D221" s="23" t="str">
        <x:v>クライマー</x:v>
      </x:c>
      <x:c r="E221" s="23" t="str">
        <x:v>スプリンター</x:v>
      </x:c>
      <x:c r="F221" s="23" t="str">
        <x:v>アシスト型</x:v>
      </x:c>
      <x:c r="G221" s="23" t="str">
        <x:v>山岳賞ハンター / スプリントトレイン / 山岳アシスト</x:v>
      </x:c>
      <x:c r="H221" s="23" t="str">
        <x:v>山岳ガード</x:v>
      </x:c>
      <x:c r="I221" s="23" t="str">
        <x:v>山岳牽引</x:v>
      </x:c>
      <x:c r="J221" s="23" t="str">
        <x:v>山岳番手</x:v>
      </x:c>
      <x:c r="K221" s="23" t="str">
        <x:v>登坂チェイス</x:v>
      </x:c>
      <x:c r="L221" s="23" t="str">
        <x:v>山岳先導</x:v>
      </x:c>
      <x:c r="M221" s="23" t="str">
        <x:v>山岳救援</x:v>
      </x:c>
    </x:row>
    <x:row r="222" ht="40" customHeight="1">
      <x:c r="A222" s="23" t="str">
        <x:v>現役</x:v>
      </x:c>
      <x:c r="B222" s="26" t="n">
        <x:v>218</x:v>
      </x:c>
      <x:c r="C222" s="23" t="str">
        <x:v>Alexander Hajek</x:v>
      </x:c>
      <x:c r="D222" s="23" t="str">
        <x:v>クラシック型</x:v>
      </x:c>
      <x:c r="E222" s="23" t="str">
        <x:v>クライマー</x:v>
      </x:c>
      <x:c r="F222" s="23" t="str">
        <x:v>アシスト型</x:v>
      </x:c>
      <x:c r="G222" s="23" t="str">
        <x:v>山岳賞ハンター / 石畳護衛 / 横風要員</x:v>
      </x:c>
      <x:c r="H222" s="23" t="str">
        <x:v>トラブル復帰</x:v>
      </x:c>
      <x:c r="I222" s="23" t="str">
        <x:v>進路確保</x:v>
      </x:c>
      <x:c r="J222" s="23" t="str">
        <x:v>パヴェ護衛</x:v>
      </x:c>
      <x:c r="K222" s="23" t="str">
        <x:v>ライン誘導</x:v>
      </x:c>
      <x:c r="L222" s="23" t="str">
        <x:v>石畳牽引</x:v>
      </x:c>
      <x:c r="M222" s="23" t="str">
        <x:v>石畳護衛</x:v>
      </x:c>
    </x:row>
    <x:row r="223" ht="40" customHeight="1">
      <x:c r="A223" s="23" t="str">
        <x:v>現役</x:v>
      </x:c>
      <x:c r="B223" s="26" t="n">
        <x:v>219</x:v>
      </x:c>
      <x:c r="C223" s="23" t="str">
        <x:v>Axel Huens</x:v>
      </x:c>
      <x:c r="D223" s="23" t="str">
        <x:v>クライマー</x:v>
      </x:c>
      <x:c r="E223" s="23" t="str">
        <x:v>スプリンター</x:v>
      </x:c>
      <x:c r="F223" s="23" t="str">
        <x:v>アシスト型</x:v>
      </x:c>
      <x:c r="G223" s="23" t="str">
        <x:v>山岳賞ハンター / スプリントトレイン / 山岳アシスト</x:v>
      </x:c>
      <x:c r="H223" s="23" t="str">
        <x:v>山岳ガード</x:v>
      </x:c>
      <x:c r="I223" s="23" t="str">
        <x:v>山岳牽引</x:v>
      </x:c>
      <x:c r="J223" s="23" t="str">
        <x:v>山岳番手</x:v>
      </x:c>
      <x:c r="K223" s="23" t="str">
        <x:v>登坂チェイス</x:v>
      </x:c>
      <x:c r="L223" s="23" t="str">
        <x:v>山岳先導</x:v>
      </x:c>
      <x:c r="M223" s="23" t="str">
        <x:v>山岳救援</x:v>
      </x:c>
    </x:row>
    <x:row r="224" ht="40" customHeight="1">
      <x:c r="A224" s="23" t="str">
        <x:v>現役</x:v>
      </x:c>
      <x:c r="B224" s="26" t="n">
        <x:v>220</x:v>
      </x:c>
      <x:c r="C224" s="23" t="str">
        <x:v>Cyril Barthe</x:v>
      </x:c>
      <x:c r="D224" s="23" t="str">
        <x:v>パンチャー</x:v>
      </x:c>
      <x:c r="E224" s="23" t="str">
        <x:v>クライマー</x:v>
      </x:c>
      <x:c r="F224" s="23" t="str">
        <x:v>アシスト型</x:v>
      </x:c>
      <x:c r="G224" s="23" t="str">
        <x:v>ステージハンター / 山岳賞ハンター / 逃げ屋</x:v>
      </x:c>
      <x:c r="H224" s="23" t="str">
        <x:v>位置引き上げ</x:v>
      </x:c>
      <x:c r="I224" s="23" t="str">
        <x:v>追走補助</x:v>
      </x:c>
      <x:c r="J224" s="23" t="str">
        <x:v>丘陵牽引</x:v>
      </x:c>
      <x:c r="K224" s="23" t="str">
        <x:v>仕掛け封じ</x:v>
      </x:c>
      <x:c r="L224" s="23" t="str">
        <x:v>坂前誘導</x:v>
      </x:c>
      <x:c r="M224" s="23" t="str">
        <x:v>丘陵封鎖</x:v>
      </x:c>
    </x:row>
    <x:row r="225" ht="40" customHeight="1">
      <x:c r="A225" s="23" t="str">
        <x:v>現役</x:v>
      </x:c>
      <x:c r="B225" s="26" t="n">
        <x:v>221</x:v>
      </x:c>
      <x:c r="C225" s="23" t="str">
        <x:v>Ewen Costiou</x:v>
      </x:c>
      <x:c r="D225" s="23" t="str">
        <x:v>パンチャー</x:v>
      </x:c>
      <x:c r="E225" s="23" t="str">
        <x:v>スプリンター</x:v>
      </x:c>
      <x:c r="F225" s="23" t="str">
        <x:v>アシスト型</x:v>
      </x:c>
      <x:c r="G225" s="23" t="str">
        <x:v>ステージハンター / 山岳賞ハンター / スプリントトレイン</x:v>
      </x:c>
      <x:c r="H225" s="23" t="str">
        <x:v>追走補助</x:v>
      </x:c>
      <x:c r="I225" s="23" t="str">
        <x:v>丘陵牽引</x:v>
      </x:c>
      <x:c r="J225" s="23" t="str">
        <x:v>位置引き上げ</x:v>
      </x:c>
      <x:c r="K225" s="23" t="str">
        <x:v>トレイン加速</x:v>
      </x:c>
      <x:c r="L225" s="23" t="str">
        <x:v>丘越え牽引</x:v>
      </x:c>
      <x:c r="M225" s="23" t="str">
        <x:v>最終発射</x:v>
      </x:c>
    </x:row>
    <x:row r="226" ht="40" customHeight="1">
      <x:c r="A226" s="23" t="str">
        <x:v>現役</x:v>
      </x:c>
      <x:c r="B226" s="26" t="n">
        <x:v>222</x:v>
      </x:c>
      <x:c r="C226" s="23" t="str">
        <x:v>Erik Nordsæter Resell</x:v>
      </x:c>
      <x:c r="D226" s="23" t="str">
        <x:v>パンチャー</x:v>
      </x:c>
      <x:c r="E226" s="23" t="str">
        <x:v>スプリンター</x:v>
      </x:c>
      <x:c r="F226" s="23" t="str">
        <x:v>アシスト型</x:v>
      </x:c>
      <x:c r="G226" s="23" t="str">
        <x:v>ロードキャプテン / ステージハンター / スプリントトレイン</x:v>
      </x:c>
      <x:c r="H226" s="23" t="str">
        <x:v>位置引き上げ</x:v>
      </x:c>
      <x:c r="I226" s="23" t="str">
        <x:v>追走補助</x:v>
      </x:c>
      <x:c r="J226" s="23" t="str">
        <x:v>丘陵牽引</x:v>
      </x:c>
      <x:c r="K226" s="23" t="str">
        <x:v>仕掛け封じ</x:v>
      </x:c>
      <x:c r="L226" s="23" t="str">
        <x:v>坂前誘導</x:v>
      </x:c>
      <x:c r="M226" s="23" t="str">
        <x:v>最終発射</x:v>
      </x:c>
    </x:row>
    <x:row r="227" ht="40" customHeight="1">
      <x:c r="A227" s="23" t="str">
        <x:v>現役</x:v>
      </x:c>
      <x:c r="B227" s="26" t="n">
        <x:v>223</x:v>
      </x:c>
      <x:c r="C227" s="23" t="str">
        <x:v>Daniel Skerl</x:v>
      </x:c>
      <x:c r="D227" s="23" t="str">
        <x:v>パンチャー</x:v>
      </x:c>
      <x:c r="E227" s="23" t="str">
        <x:v>総合型</x:v>
      </x:c>
      <x:c r="F227" s="23" t="str">
        <x:v>アシスト型</x:v>
      </x:c>
      <x:c r="G227" s="23" t="str">
        <x:v>ステージハンター / 集団コントローラー / 逃げ屋</x:v>
      </x:c>
      <x:c r="H227" s="23" t="str">
        <x:v>位置引き上げ</x:v>
      </x:c>
      <x:c r="I227" s="23" t="str">
        <x:v>丘陵牽引</x:v>
      </x:c>
      <x:c r="J227" s="23" t="str">
        <x:v>追走補助</x:v>
      </x:c>
      <x:c r="K227" s="23" t="str">
        <x:v>仕掛け封じ</x:v>
      </x:c>
      <x:c r="L227" s="23" t="str">
        <x:v>坂前誘導</x:v>
      </x:c>
      <x:c r="M227" s="23" t="str">
        <x:v>完全吸収</x:v>
      </x:c>
    </x:row>
    <x:row r="228" ht="40" customHeight="1">
      <x:c r="A228" s="23" t="str">
        <x:v>現役</x:v>
      </x:c>
      <x:c r="B228" s="26" t="n">
        <x:v>224</x:v>
      </x:c>
      <x:c r="C228" s="23" t="str">
        <x:v>Liam Slock</x:v>
      </x:c>
      <x:c r="D228" s="23" t="str">
        <x:v>TT・ルーラー型</x:v>
      </x:c>
      <x:c r="E228" s="23" t="str">
        <x:v>スプリンター</x:v>
      </x:c>
      <x:c r="F228" s="23" t="str">
        <x:v>アシスト型</x:v>
      </x:c>
      <x:c r="G228" s="23" t="str">
        <x:v>TTスペシャリスト / スプリントトレイン / 平坦アシスト</x:v>
      </x:c>
      <x:c r="H228" s="23" t="str">
        <x:v>平坦牽引</x:v>
      </x:c>
      <x:c r="I228" s="23" t="str">
        <x:v>風よけ</x:v>
      </x:c>
      <x:c r="J228" s="23" t="str">
        <x:v>前方誘導</x:v>
      </x:c>
      <x:c r="K228" s="23" t="str">
        <x:v>ローテーション牽引</x:v>
      </x:c>
      <x:c r="L228" s="23" t="str">
        <x:v>高速牽引</x:v>
      </x:c>
      <x:c r="M228" s="23" t="str">
        <x:v>全開牽引</x:v>
      </x:c>
    </x:row>
    <x:row r="229" ht="40" customHeight="1">
      <x:c r="A229" s="23" t="str">
        <x:v>現役</x:v>
      </x:c>
      <x:c r="B229" s="26" t="n">
        <x:v>225</x:v>
      </x:c>
      <x:c r="C229" s="23" t="str">
        <x:v>Artem Shmidt</x:v>
      </x:c>
      <x:c r="D229" s="23" t="str">
        <x:v>TT・ルーラー型</x:v>
      </x:c>
      <x:c r="E229" s="23" t="str">
        <x:v>クライマー</x:v>
      </x:c>
      <x:c r="F229" s="23" t="str">
        <x:v>アシスト型</x:v>
      </x:c>
      <x:c r="G229" s="23" t="str">
        <x:v>山岳賞ハンター / 平坦アシスト / 平坦ペースメーカー</x:v>
      </x:c>
      <x:c r="H229" s="23" t="str">
        <x:v>平坦牽引</x:v>
      </x:c>
      <x:c r="I229" s="23" t="str">
        <x:v>風よけ</x:v>
      </x:c>
      <x:c r="J229" s="23" t="str">
        <x:v>トラブル復帰</x:v>
      </x:c>
      <x:c r="K229" s="23" t="str">
        <x:v>ローテーション牽引</x:v>
      </x:c>
      <x:c r="L229" s="23" t="str">
        <x:v>高速牽引</x:v>
      </x:c>
      <x:c r="M229" s="23" t="str">
        <x:v>全開牽引</x:v>
      </x:c>
    </x:row>
    <x:row r="230" ht="40" customHeight="1">
      <x:c r="A230" s="23" t="str">
        <x:v>現役</x:v>
      </x:c>
      <x:c r="B230" s="26" t="n">
        <x:v>226</x:v>
      </x:c>
      <x:c r="C230" s="23" t="str">
        <x:v>Kamil Gradek</x:v>
      </x:c>
      <x:c r="D230" s="23" t="str">
        <x:v>TT・ルーラー型</x:v>
      </x:c>
      <x:c r="E230" s="23" t="str">
        <x:v>総合型</x:v>
      </x:c>
      <x:c r="F230" s="23" t="str">
        <x:v>アシスト型</x:v>
      </x:c>
      <x:c r="G230" s="23" t="str">
        <x:v>平坦アシスト / TT牽引 / 集団コントローラー</x:v>
      </x:c>
      <x:c r="H230" s="23" t="str">
        <x:v>平坦牽引</x:v>
      </x:c>
      <x:c r="I230" s="23" t="str">
        <x:v>風よけ</x:v>
      </x:c>
      <x:c r="J230" s="23" t="str">
        <x:v>トラブル復帰</x:v>
      </x:c>
      <x:c r="K230" s="23" t="str">
        <x:v>ローテーション牽引</x:v>
      </x:c>
      <x:c r="L230" s="23" t="str">
        <x:v>高速牽引</x:v>
      </x:c>
      <x:c r="M230" s="23" t="str">
        <x:v>全開牽引</x:v>
      </x:c>
    </x:row>
    <x:row r="231" ht="40" customHeight="1">
      <x:c r="A231" s="23" t="str">
        <x:v>現役</x:v>
      </x:c>
      <x:c r="B231" s="26" t="n">
        <x:v>227</x:v>
      </x:c>
      <x:c r="C231" s="23" t="str">
        <x:v>Francesco Busatto</x:v>
      </x:c>
      <x:c r="D231" s="23" t="str">
        <x:v>TT・ルーラー型</x:v>
      </x:c>
      <x:c r="E231" s="23" t="str">
        <x:v>総合型</x:v>
      </x:c>
      <x:c r="F231" s="23" t="str">
        <x:v>アシスト型</x:v>
      </x:c>
      <x:c r="G231" s="23" t="str">
        <x:v>TTスペシャリスト / 平坦アシスト / 平坦ペースメーカー</x:v>
      </x:c>
      <x:c r="H231" s="23" t="str">
        <x:v>平坦牽引</x:v>
      </x:c>
      <x:c r="I231" s="23" t="str">
        <x:v>風よけ</x:v>
      </x:c>
      <x:c r="J231" s="23" t="str">
        <x:v>トラブル復帰</x:v>
      </x:c>
      <x:c r="K231" s="23" t="str">
        <x:v>ローテーション牽引</x:v>
      </x:c>
      <x:c r="L231" s="23" t="str">
        <x:v>位置取り護衛</x:v>
      </x:c>
      <x:c r="M231" s="23" t="str">
        <x:v>完全吸収</x:v>
      </x:c>
    </x:row>
    <x:row r="232" ht="40" customHeight="1">
      <x:c r="A232" s="23" t="str">
        <x:v>現役</x:v>
      </x:c>
      <x:c r="B232" s="26" t="n">
        <x:v>228</x:v>
      </x:c>
      <x:c r="C232" s="23" t="str">
        <x:v>Juan Pedro López</x:v>
      </x:c>
      <x:c r="D232" s="23" t="str">
        <x:v>クライマー</x:v>
      </x:c>
      <x:c r="E232" s="23" t="str">
        <x:v>クラシック型</x:v>
      </x:c>
      <x:c r="F232" s="23" t="str">
        <x:v>アシスト型</x:v>
      </x:c>
      <x:c r="G232" s="23" t="str">
        <x:v>山岳賞ハンター / 山岳アシスト / 山岳番手</x:v>
      </x:c>
      <x:c r="H232" s="23" t="str">
        <x:v>山岳ガード</x:v>
      </x:c>
      <x:c r="I232" s="23" t="str">
        <x:v>山岳牽引</x:v>
      </x:c>
      <x:c r="J232" s="23" t="str">
        <x:v>山岳番手</x:v>
      </x:c>
      <x:c r="K232" s="23" t="str">
        <x:v>最後の山岳牽引</x:v>
      </x:c>
      <x:c r="L232" s="23" t="str">
        <x:v>山岳先導</x:v>
      </x:c>
      <x:c r="M232" s="23" t="str">
        <x:v>全力献身</x:v>
      </x:c>
    </x:row>
    <x:row r="233" ht="40" customHeight="1">
      <x:c r="A233" s="23" t="str">
        <x:v>現役</x:v>
      </x:c>
      <x:c r="B233" s="26" t="n">
        <x:v>229</x:v>
      </x:c>
      <x:c r="C233" s="23" t="str">
        <x:v>Jakob Omrzel</x:v>
      </x:c>
      <x:c r="D233" s="23" t="str">
        <x:v>クラシック型</x:v>
      </x:c>
      <x:c r="E233" s="23" t="str">
        <x:v>総合型</x:v>
      </x:c>
      <x:c r="F233" s="23" t="str">
        <x:v>アシスト型</x:v>
      </x:c>
      <x:c r="G233" s="23" t="str">
        <x:v>石畳護衛 / 集団コントローラー / ブレイクアウェイキラー</x:v>
      </x:c>
      <x:c r="H233" s="23" t="str">
        <x:v>トラブル復帰</x:v>
      </x:c>
      <x:c r="I233" s="23" t="str">
        <x:v>進路確保</x:v>
      </x:c>
      <x:c r="J233" s="23" t="str">
        <x:v>パヴェ護衛</x:v>
      </x:c>
      <x:c r="K233" s="23" t="str">
        <x:v>逃げ吸収</x:v>
      </x:c>
      <x:c r="L233" s="23" t="str">
        <x:v>パヴェ追走</x:v>
      </x:c>
      <x:c r="M233" s="23" t="str">
        <x:v>完全吸収</x:v>
      </x:c>
    </x:row>
    <x:row r="234" ht="40" customHeight="1">
      <x:c r="A234" s="23" t="str">
        <x:v>現役</x:v>
      </x:c>
      <x:c r="B234" s="26" t="n">
        <x:v>230</x:v>
      </x:c>
      <x:c r="C234" s="23" t="str">
        <x:v>Aurélien Paret-Peintre</x:v>
      </x:c>
      <x:c r="D234" s="23" t="str">
        <x:v>クライマー</x:v>
      </x:c>
      <x:c r="E234" s="23" t="str">
        <x:v>スプリンター</x:v>
      </x:c>
      <x:c r="F234" s="23" t="str">
        <x:v>アシスト型</x:v>
      </x:c>
      <x:c r="G234" s="23" t="str">
        <x:v>山岳賞ハンター / スプリントトレイン / 山岳アシスト</x:v>
      </x:c>
      <x:c r="H234" s="23" t="str">
        <x:v>山岳ガード</x:v>
      </x:c>
      <x:c r="I234" s="23" t="str">
        <x:v>山岳牽引</x:v>
      </x:c>
      <x:c r="J234" s="23" t="str">
        <x:v>山岳番手</x:v>
      </x:c>
      <x:c r="K234" s="23" t="str">
        <x:v>山岳先導</x:v>
      </x:c>
      <x:c r="L234" s="23" t="str">
        <x:v>山岳風よけ</x:v>
      </x:c>
      <x:c r="M234" s="23" t="str">
        <x:v>全力献身</x:v>
      </x:c>
    </x:row>
    <x:row r="235" ht="40" customHeight="1">
      <x:c r="A235" s="23" t="str">
        <x:v>現役</x:v>
      </x:c>
      <x:c r="B235" s="26" t="n">
        <x:v>231</x:v>
      </x:c>
      <x:c r="C235" s="23" t="str">
        <x:v>Alastair Mackellar</x:v>
      </x:c>
      <x:c r="D235" s="23" t="str">
        <x:v>クライマー</x:v>
      </x:c>
      <x:c r="E235" s="23" t="str">
        <x:v>スプリンター</x:v>
      </x:c>
      <x:c r="F235" s="23" t="str">
        <x:v>アシスト型</x:v>
      </x:c>
      <x:c r="G235" s="23" t="str">
        <x:v>山岳賞ハンター / スプリントトレイン / 山岳アシスト</x:v>
      </x:c>
      <x:c r="H235" s="23" t="str">
        <x:v>山岳牽引</x:v>
      </x:c>
      <x:c r="I235" s="23" t="str">
        <x:v>山岳ガード</x:v>
      </x:c>
      <x:c r="J235" s="23" t="str">
        <x:v>山岳番手</x:v>
      </x:c>
      <x:c r="K235" s="23" t="str">
        <x:v>山岳先導</x:v>
      </x:c>
      <x:c r="L235" s="23" t="str">
        <x:v>山岳風よけ</x:v>
      </x:c>
      <x:c r="M235" s="23" t="str">
        <x:v>全力献身</x:v>
      </x:c>
    </x:row>
    <x:row r="236" ht="40" customHeight="1">
      <x:c r="A236" s="23" t="str">
        <x:v>現役</x:v>
      </x:c>
      <x:c r="B236" s="26" t="n">
        <x:v>232</x:v>
      </x:c>
      <x:c r="C236" s="23" t="str">
        <x:v>Brieuc Rolland</x:v>
      </x:c>
      <x:c r="D236" s="23" t="str">
        <x:v>クライマー</x:v>
      </x:c>
      <x:c r="E236" s="23" t="str">
        <x:v>パンチャー</x:v>
      </x:c>
      <x:c r="F236" s="23" t="str">
        <x:v>アシスト型</x:v>
      </x:c>
      <x:c r="G236" s="23" t="str">
        <x:v>山岳賞ハンター / 山岳アシスト / 山岳ペースメーカー</x:v>
      </x:c>
      <x:c r="H236" s="23" t="str">
        <x:v>山岳ガード</x:v>
      </x:c>
      <x:c r="I236" s="23" t="str">
        <x:v>山岳牽引</x:v>
      </x:c>
      <x:c r="J236" s="23" t="str">
        <x:v>山岳番手</x:v>
      </x:c>
      <x:c r="K236" s="23" t="str">
        <x:v>登坂チェイス</x:v>
      </x:c>
      <x:c r="L236" s="23" t="str">
        <x:v>山岳先導</x:v>
      </x:c>
      <x:c r="M236" s="23" t="str">
        <x:v>山岳救援</x:v>
      </x:c>
    </x:row>
    <x:row r="237" ht="40" customHeight="1">
      <x:c r="A237" s="23" t="str">
        <x:v>現役</x:v>
      </x:c>
      <x:c r="B237" s="26" t="n">
        <x:v>233</x:v>
      </x:c>
      <x:c r="C237" s="23" t="str">
        <x:v>Albert Withen Philipsen</x:v>
      </x:c>
      <x:c r="D237" s="23" t="str">
        <x:v>TT・ルーラー型</x:v>
      </x:c>
      <x:c r="E237" s="23" t="str">
        <x:v>クラシック型</x:v>
      </x:c>
      <x:c r="F237" s="23" t="str">
        <x:v>アシスト型</x:v>
      </x:c>
      <x:c r="G237" s="23" t="str">
        <x:v>平坦ペースメーカー / TT牽引 / 集団コントローラー</x:v>
      </x:c>
      <x:c r="H237" s="23" t="str">
        <x:v>風よけ</x:v>
      </x:c>
      <x:c r="I237" s="23" t="str">
        <x:v>平坦牽引</x:v>
      </x:c>
      <x:c r="J237" s="23" t="str">
        <x:v>前方誘導</x:v>
      </x:c>
      <x:c r="K237" s="23" t="str">
        <x:v>ローテーション牽引</x:v>
      </x:c>
      <x:c r="L237" s="23" t="str">
        <x:v>高速牽引</x:v>
      </x:c>
      <x:c r="M237" s="23" t="str">
        <x:v>全開牽引</x:v>
      </x:c>
    </x:row>
    <x:row r="238" ht="40" customHeight="1">
      <x:c r="A238" s="23" t="str">
        <x:v>現役</x:v>
      </x:c>
      <x:c r="B238" s="26" t="n">
        <x:v>234</x:v>
      </x:c>
      <x:c r="C238" s="23" t="str">
        <x:v>Arjen Livyns</x:v>
      </x:c>
      <x:c r="D238" s="23" t="str">
        <x:v>パンチャー</x:v>
      </x:c>
      <x:c r="E238" s="23" t="str">
        <x:v>クラシック型</x:v>
      </x:c>
      <x:c r="F238" s="23" t="str">
        <x:v>アシスト型</x:v>
      </x:c>
      <x:c r="G238" s="23" t="str">
        <x:v>ステージハンター / 逃げ屋 / ポジションキーパー</x:v>
      </x:c>
      <x:c r="H238" s="23" t="str">
        <x:v>位置引き上げ</x:v>
      </x:c>
      <x:c r="I238" s="23" t="str">
        <x:v>追走補助</x:v>
      </x:c>
      <x:c r="J238" s="23" t="str">
        <x:v>丘陵牽引</x:v>
      </x:c>
      <x:c r="K238" s="23" t="str">
        <x:v>坂前誘導</x:v>
      </x:c>
      <x:c r="L238" s="23" t="str">
        <x:v>仕掛け封じ</x:v>
      </x:c>
      <x:c r="M238" s="23" t="str">
        <x:v>丘陵封鎖</x:v>
      </x:c>
    </x:row>
    <x:row r="239" ht="40" customHeight="1">
      <x:c r="A239" s="23" t="str">
        <x:v>現役</x:v>
      </x:c>
      <x:c r="B239" s="26" t="n">
        <x:v>235</x:v>
      </x:c>
      <x:c r="C239" s="23" t="str">
        <x:v>Loe van Belle</x:v>
      </x:c>
      <x:c r="D239" s="23" t="str">
        <x:v>パンチャー</x:v>
      </x:c>
      <x:c r="E239" s="23" t="str">
        <x:v>スプリンター</x:v>
      </x:c>
      <x:c r="F239" s="23" t="str">
        <x:v>アシスト型</x:v>
      </x:c>
      <x:c r="G239" s="23" t="str">
        <x:v>ステージハンター / 山岳賞ハンター / スプリントトレイン</x:v>
      </x:c>
      <x:c r="H239" s="23" t="str">
        <x:v>位置引き上げ</x:v>
      </x:c>
      <x:c r="I239" s="23" t="str">
        <x:v>丘陵牽引</x:v>
      </x:c>
      <x:c r="J239" s="23" t="str">
        <x:v>追走補助</x:v>
      </x:c>
      <x:c r="K239" s="23" t="str">
        <x:v>丘越え牽引</x:v>
      </x:c>
      <x:c r="L239" s="23" t="str">
        <x:v>丘陵ペース</x:v>
      </x:c>
      <x:c r="M239" s="23" t="str">
        <x:v>最終発射</x:v>
      </x:c>
    </x:row>
    <x:row r="240" ht="40" customHeight="1">
      <x:c r="A240" s="23" t="str">
        <x:v>現役</x:v>
      </x:c>
      <x:c r="B240" s="26" t="n">
        <x:v>236</x:v>
      </x:c>
      <x:c r="C240" s="23" t="str">
        <x:v>Florian Samuel Kajamini</x:v>
      </x:c>
      <x:c r="D240" s="23" t="str">
        <x:v>パンチャー</x:v>
      </x:c>
      <x:c r="E240" s="23" t="str">
        <x:v>総合型</x:v>
      </x:c>
      <x:c r="F240" s="23" t="str">
        <x:v>アシスト型</x:v>
      </x:c>
      <x:c r="G240" s="23" t="str">
        <x:v>ステージハンター / 山岳賞ハンター / 集団コントローラー</x:v>
      </x:c>
      <x:c r="H240" s="23" t="str">
        <x:v>丘陵牽引</x:v>
      </x:c>
      <x:c r="I240" s="23" t="str">
        <x:v>追走補助</x:v>
      </x:c>
      <x:c r="J240" s="23" t="str">
        <x:v>位置引き上げ</x:v>
      </x:c>
      <x:c r="K240" s="23" t="str">
        <x:v>仕掛け封じ</x:v>
      </x:c>
      <x:c r="L240" s="23" t="str">
        <x:v>丘越え牽引</x:v>
      </x:c>
      <x:c r="M240" s="23" t="str">
        <x:v>完全吸収</x:v>
      </x:c>
    </x:row>
    <x:row r="241" ht="40" customHeight="1">
      <x:c r="A241" s="23" t="str">
        <x:v>現役</x:v>
      </x:c>
      <x:c r="B241" s="26" t="n">
        <x:v>237</x:v>
      </x:c>
      <x:c r="C241" s="23" t="str">
        <x:v>Davide De Pretto</x:v>
      </x:c>
      <x:c r="D241" s="23" t="str">
        <x:v>パンチャー</x:v>
      </x:c>
      <x:c r="E241" s="23" t="str">
        <x:v>スプリンター</x:v>
      </x:c>
      <x:c r="F241" s="23" t="str">
        <x:v>アシスト型</x:v>
      </x:c>
      <x:c r="G241" s="23" t="str">
        <x:v>ステージハンター / スプリントトレイン / 逃げ屋</x:v>
      </x:c>
      <x:c r="H241" s="23" t="str">
        <x:v>位置引き上げ</x:v>
      </x:c>
      <x:c r="I241" s="23" t="str">
        <x:v>追走補助</x:v>
      </x:c>
      <x:c r="J241" s="23" t="str">
        <x:v>ペース調整</x:v>
      </x:c>
      <x:c r="K241" s="23" t="str">
        <x:v>ブリッジ</x:v>
      </x:c>
      <x:c r="L241" s="23" t="str">
        <x:v>逃げ参加</x:v>
      </x:c>
      <x:c r="M241" s="23" t="str">
        <x:v>最終発射</x:v>
      </x:c>
    </x:row>
    <x:row r="242" ht="40" customHeight="1">
      <x:c r="A242" s="23" t="str">
        <x:v>現役</x:v>
      </x:c>
      <x:c r="B242" s="26" t="n">
        <x:v>238</x:v>
      </x:c>
      <x:c r="C242" s="23" t="str">
        <x:v>Gil Gelders</x:v>
      </x:c>
      <x:c r="D242" s="23" t="str">
        <x:v>総合型</x:v>
      </x:c>
      <x:c r="E242" s="23" t="str">
        <x:v>スプリンター</x:v>
      </x:c>
      <x:c r="F242" s="23" t="str">
        <x:v>アシスト型</x:v>
      </x:c>
      <x:c r="G242" s="23" t="str">
        <x:v>ロードキャプテン / 山岳賞ハンター / スプリントトレイン</x:v>
      </x:c>
      <x:c r="H242" s="23" t="str">
        <x:v>山岳ガード</x:v>
      </x:c>
      <x:c r="I242" s="23" t="str">
        <x:v>山岳牽引</x:v>
      </x:c>
      <x:c r="J242" s="23" t="str">
        <x:v>山岳番手</x:v>
      </x:c>
      <x:c r="K242" s="23" t="str">
        <x:v>登坂チェイス</x:v>
      </x:c>
      <x:c r="L242" s="23" t="str">
        <x:v>隊列再編</x:v>
      </x:c>
      <x:c r="M242" s="23" t="str">
        <x:v>緊急再編</x:v>
      </x:c>
    </x:row>
    <x:row r="243" ht="40" customHeight="1">
      <x:c r="A243" s="23" t="str">
        <x:v>現役</x:v>
      </x:c>
      <x:c r="B243" s="26" t="n">
        <x:v>239</x:v>
      </x:c>
      <x:c r="C243" s="23" t="str">
        <x:v>Clément Berthet</x:v>
      </x:c>
      <x:c r="D243" s="23" t="str">
        <x:v>パンチャー</x:v>
      </x:c>
      <x:c r="E243" s="23" t="str">
        <x:v>総合型</x:v>
      </x:c>
      <x:c r="F243" s="23" t="str">
        <x:v>アシスト型</x:v>
      </x:c>
      <x:c r="G243" s="23" t="str">
        <x:v>ステージハンター / 下り牽引 / 集団コントローラー</x:v>
      </x:c>
      <x:c r="H243" s="23" t="str">
        <x:v>安全誘導</x:v>
      </x:c>
      <x:c r="I243" s="23" t="str">
        <x:v>高速コーナリング</x:v>
      </x:c>
      <x:c r="J243" s="23" t="str">
        <x:v>追走補助</x:v>
      </x:c>
      <x:c r="K243" s="23" t="str">
        <x:v>ダウンヒル牽引</x:v>
      </x:c>
      <x:c r="L243" s="23" t="str">
        <x:v>下りアタック</x:v>
      </x:c>
      <x:c r="M243" s="23" t="str">
        <x:v>下り護衛</x:v>
      </x:c>
    </x:row>
    <x:row r="244" ht="40" customHeight="1">
      <x:c r="A244" s="23" t="str">
        <x:v>現役</x:v>
      </x:c>
      <x:c r="B244" s="26" t="n">
        <x:v>240</x:v>
      </x:c>
      <x:c r="C244" s="23" t="str">
        <x:v>Dillon Corkery</x:v>
      </x:c>
      <x:c r="D244" s="23" t="str">
        <x:v>スプリンター</x:v>
      </x:c>
      <x:c r="E244" s="23" t="str">
        <x:v>総合型</x:v>
      </x:c>
      <x:c r="F244" s="23" t="str">
        <x:v>アシスト型</x:v>
      </x:c>
      <x:c r="G244" s="23" t="str">
        <x:v>ロードキャプテン / リードアウト / 下り牽引</x:v>
      </x:c>
      <x:c r="H244" s="23" t="str">
        <x:v>前方誘導</x:v>
      </x:c>
      <x:c r="I244" s="23" t="str">
        <x:v>安全誘導</x:v>
      </x:c>
      <x:c r="J244" s="23" t="str">
        <x:v>高速コーナリング</x:v>
      </x:c>
      <x:c r="K244" s="23" t="str">
        <x:v>高速リードアウト</x:v>
      </x:c>
      <x:c r="L244" s="23" t="str">
        <x:v>ダウンヒル牽引</x:v>
      </x:c>
      <x:c r="M244" s="23" t="str">
        <x:v>最終発射</x:v>
      </x:c>
    </x:row>
    <x:row r="245" ht="40" customHeight="1">
      <x:c r="A245" s="23" t="str">
        <x:v>現役</x:v>
      </x:c>
      <x:c r="B245" s="26" t="n">
        <x:v>241</x:v>
      </x:c>
      <x:c r="C245" s="23" t="str">
        <x:v>Casper Pedersen</x:v>
      </x:c>
      <x:c r="D245" s="23" t="str">
        <x:v>TT・ルーラー型</x:v>
      </x:c>
      <x:c r="E245" s="23" t="str">
        <x:v>総合型</x:v>
      </x:c>
      <x:c r="F245" s="23" t="str">
        <x:v>アシスト型</x:v>
      </x:c>
      <x:c r="G245" s="23" t="str">
        <x:v>平坦アシスト / TT牽引 / 集団コントローラー</x:v>
      </x:c>
      <x:c r="H245" s="23" t="str">
        <x:v>平坦牽引</x:v>
      </x:c>
      <x:c r="I245" s="23" t="str">
        <x:v>風よけ</x:v>
      </x:c>
      <x:c r="J245" s="23" t="str">
        <x:v>トラブル復帰</x:v>
      </x:c>
      <x:c r="K245" s="23" t="str">
        <x:v>ローテーション牽引</x:v>
      </x:c>
      <x:c r="L245" s="23" t="str">
        <x:v>高速牽引</x:v>
      </x:c>
      <x:c r="M245" s="23" t="str">
        <x:v>全開牽引</x:v>
      </x:c>
    </x:row>
    <x:row r="246" ht="40" customHeight="1">
      <x:c r="A246" s="23" t="str">
        <x:v>現役</x:v>
      </x:c>
      <x:c r="B246" s="26" t="n">
        <x:v>242</x:v>
      </x:c>
      <x:c r="C246" s="23" t="str">
        <x:v>Christopher Juul-Jensen</x:v>
      </x:c>
      <x:c r="D246" s="23" t="str">
        <x:v>TT・ルーラー型</x:v>
      </x:c>
      <x:c r="E246" s="23" t="str">
        <x:v>スプリンター</x:v>
      </x:c>
      <x:c r="F246" s="23" t="str">
        <x:v>アシスト型</x:v>
      </x:c>
      <x:c r="G246" s="23" t="str">
        <x:v>スプリントトレイン / 平坦アシスト / 平坦ペースメーカー</x:v>
      </x:c>
      <x:c r="H246" s="23" t="str">
        <x:v>平坦牽引</x:v>
      </x:c>
      <x:c r="I246" s="23" t="str">
        <x:v>風よけ</x:v>
      </x:c>
      <x:c r="J246" s="23" t="str">
        <x:v>トラブル復帰</x:v>
      </x:c>
      <x:c r="K246" s="23" t="str">
        <x:v>ローテーション牽引</x:v>
      </x:c>
      <x:c r="L246" s="23" t="str">
        <x:v>高速牽引</x:v>
      </x:c>
      <x:c r="M246" s="23" t="str">
        <x:v>全開牽引</x:v>
      </x:c>
    </x:row>
    <x:row r="247" ht="40" customHeight="1">
      <x:c r="A247" s="23" t="str">
        <x:v>現役</x:v>
      </x:c>
      <x:c r="B247" s="26" t="n">
        <x:v>243</x:v>
      </x:c>
      <x:c r="C247" s="23" t="str">
        <x:v>Felix Engelhardt</x:v>
      </x:c>
      <x:c r="D247" s="23" t="str">
        <x:v>TT・ルーラー型</x:v>
      </x:c>
      <x:c r="E247" s="23" t="str">
        <x:v>総合型</x:v>
      </x:c>
      <x:c r="F247" s="23" t="str">
        <x:v>アシスト型</x:v>
      </x:c>
      <x:c r="G247" s="23" t="str">
        <x:v>TT牽引 / 集団コントローラー / ブレイクアウェイキラー</x:v>
      </x:c>
      <x:c r="H247" s="23" t="str">
        <x:v>平坦牽引</x:v>
      </x:c>
      <x:c r="I247" s="23" t="str">
        <x:v>風よけ</x:v>
      </x:c>
      <x:c r="J247" s="23" t="str">
        <x:v>前方誘導</x:v>
      </x:c>
      <x:c r="K247" s="23" t="str">
        <x:v>逃げ吸収</x:v>
      </x:c>
      <x:c r="L247" s="23" t="str">
        <x:v>ローテーション牽引</x:v>
      </x:c>
      <x:c r="M247" s="23" t="str">
        <x:v>完全吸収</x:v>
      </x:c>
    </x:row>
    <x:row r="248" ht="40" customHeight="1">
      <x:c r="A248" s="23" t="str">
        <x:v>現役</x:v>
      </x:c>
      <x:c r="B248" s="26" t="n">
        <x:v>244</x:v>
      </x:c>
      <x:c r="C248" s="23" t="str">
        <x:v>Jenno Berckmoes</x:v>
      </x:c>
      <x:c r="D248" s="23" t="str">
        <x:v>クラシック型</x:v>
      </x:c>
      <x:c r="E248" s="23" t="str">
        <x:v>スプリンター</x:v>
      </x:c>
      <x:c r="F248" s="23" t="str">
        <x:v>アシスト型</x:v>
      </x:c>
      <x:c r="G248" s="23" t="str">
        <x:v>スプリントトレイン / 石畳護衛 / 横風要員</x:v>
      </x:c>
      <x:c r="H248" s="23" t="str">
        <x:v>トラブル復帰</x:v>
      </x:c>
      <x:c r="I248" s="23" t="str">
        <x:v>パヴェ護衛</x:v>
      </x:c>
      <x:c r="J248" s="23" t="str">
        <x:v>進路確保</x:v>
      </x:c>
      <x:c r="K248" s="23" t="str">
        <x:v>ライン誘導</x:v>
      </x:c>
      <x:c r="L248" s="23" t="str">
        <x:v>石畳牽引</x:v>
      </x:c>
      <x:c r="M248" s="23" t="str">
        <x:v>石畳護衛</x:v>
      </x:c>
    </x:row>
    <x:row r="249" ht="40" customHeight="1">
      <x:c r="A249" s="23" t="str">
        <x:v>現役</x:v>
      </x:c>
      <x:c r="B249" s="26" t="n">
        <x:v>245</x:v>
      </x:c>
      <x:c r="C249" s="23" t="str">
        <x:v>Jakob Söderqvist</x:v>
      </x:c>
      <x:c r="D249" s="23" t="str">
        <x:v>TT・ルーラー型</x:v>
      </x:c>
      <x:c r="E249" s="23" t="str">
        <x:v>クライマー</x:v>
      </x:c>
      <x:c r="F249" s="23" t="str">
        <x:v>アシスト型</x:v>
      </x:c>
      <x:c r="G249" s="23" t="str">
        <x:v>山岳賞ハンター / TT牽引 / 集団コントローラー</x:v>
      </x:c>
      <x:c r="H249" s="23" t="str">
        <x:v>平坦牽引</x:v>
      </x:c>
      <x:c r="I249" s="23" t="str">
        <x:v>風よけ</x:v>
      </x:c>
      <x:c r="J249" s="23" t="str">
        <x:v>トラブル復帰</x:v>
      </x:c>
      <x:c r="K249" s="23" t="str">
        <x:v>ローテーション牽引</x:v>
      </x:c>
      <x:c r="L249" s="23" t="str">
        <x:v>高速牽引</x:v>
      </x:c>
      <x:c r="M249" s="23" t="str">
        <x:v>全開牽引</x:v>
      </x:c>
    </x:row>
    <x:row r="250" ht="40" customHeight="1">
      <x:c r="A250" s="23" t="str">
        <x:v>現役</x:v>
      </x:c>
      <x:c r="B250" s="26" t="n">
        <x:v>246</x:v>
      </x:c>
      <x:c r="C250" s="23" t="str">
        <x:v>Johannes Kulset</x:v>
      </x:c>
      <x:c r="D250" s="23" t="str">
        <x:v>クライマー</x:v>
      </x:c>
      <x:c r="E250" s="23" t="str">
        <x:v>総合型</x:v>
      </x:c>
      <x:c r="F250" s="23" t="str">
        <x:v>アシスト型</x:v>
      </x:c>
      <x:c r="G250" s="23" t="str">
        <x:v>山岳賞ハンター / 山岳アシスト / 集団コントローラー</x:v>
      </x:c>
      <x:c r="H250" s="23" t="str">
        <x:v>山岳ガード</x:v>
      </x:c>
      <x:c r="I250" s="23" t="str">
        <x:v>山岳牽引</x:v>
      </x:c>
      <x:c r="J250" s="23" t="str">
        <x:v>山岳番手</x:v>
      </x:c>
      <x:c r="K250" s="23" t="str">
        <x:v>登坂チェイス</x:v>
      </x:c>
      <x:c r="L250" s="23" t="str">
        <x:v>山岳先導</x:v>
      </x:c>
      <x:c r="M250" s="23" t="str">
        <x:v>全力献身</x:v>
      </x:c>
    </x:row>
    <x:row r="251" ht="40" customHeight="1">
      <x:c r="A251" s="23" t="str">
        <x:v>現役</x:v>
      </x:c>
      <x:c r="B251" s="26" t="n">
        <x:v>247</x:v>
      </x:c>
      <x:c r="C251" s="23" t="str">
        <x:v>Archie Ryan</x:v>
      </x:c>
      <x:c r="D251" s="23" t="str">
        <x:v>クライマー</x:v>
      </x:c>
      <x:c r="E251" s="23" t="str">
        <x:v>総合型</x:v>
      </x:c>
      <x:c r="F251" s="23" t="str">
        <x:v>アシスト型</x:v>
      </x:c>
      <x:c r="G251" s="23" t="str">
        <x:v>山岳賞ハンター / 山岳アシスト / 山岳番手</x:v>
      </x:c>
      <x:c r="H251" s="23" t="str">
        <x:v>山岳ガード</x:v>
      </x:c>
      <x:c r="I251" s="23" t="str">
        <x:v>山岳牽引</x:v>
      </x:c>
      <x:c r="J251" s="23" t="str">
        <x:v>山岳番手</x:v>
      </x:c>
      <x:c r="K251" s="23" t="str">
        <x:v>登坂チェイス</x:v>
      </x:c>
      <x:c r="L251" s="23" t="str">
        <x:v>最後の山岳牽引</x:v>
      </x:c>
      <x:c r="M251" s="23" t="str">
        <x:v>山岳救援</x:v>
      </x:c>
    </x:row>
    <x:row r="252" ht="40" customHeight="1">
      <x:c r="A252" s="23" t="str">
        <x:v>現役</x:v>
      </x:c>
      <x:c r="B252" s="26" t="n">
        <x:v>248</x:v>
      </x:c>
      <x:c r="C252" s="23" t="str">
        <x:v>Josh Kench</x:v>
      </x:c>
      <x:c r="D252" s="23" t="str">
        <x:v>クラシック型</x:v>
      </x:c>
      <x:c r="E252" s="23" t="str">
        <x:v>TT・ルーラー型</x:v>
      </x:c>
      <x:c r="F252" s="23" t="str">
        <x:v>アシスト型</x:v>
      </x:c>
      <x:c r="G252" s="23" t="str">
        <x:v>石畳護衛 / 横風要員 / ステージハンター</x:v>
      </x:c>
      <x:c r="H252" s="23" t="str">
        <x:v>進路確保</x:v>
      </x:c>
      <x:c r="I252" s="23" t="str">
        <x:v>トラブル復帰</x:v>
      </x:c>
      <x:c r="J252" s="23" t="str">
        <x:v>パヴェ護衛</x:v>
      </x:c>
      <x:c r="K252" s="23" t="str">
        <x:v>ライン誘導</x:v>
      </x:c>
      <x:c r="L252" s="23" t="str">
        <x:v>石畳牽引</x:v>
      </x:c>
      <x:c r="M252" s="23" t="str">
        <x:v>石畳護衛</x:v>
      </x:c>
    </x:row>
    <x:row r="253" ht="40" customHeight="1">
      <x:c r="A253" s="23" t="str">
        <x:v>現役</x:v>
      </x:c>
      <x:c r="B253" s="26" t="n">
        <x:v>249</x:v>
      </x:c>
      <x:c r="C253" s="23" t="str">
        <x:v>Floris Van Tricht</x:v>
      </x:c>
      <x:c r="D253" s="23" t="str">
        <x:v>スプリンター</x:v>
      </x:c>
      <x:c r="E253" s="23" t="str">
        <x:v>クライマー</x:v>
      </x:c>
      <x:c r="F253" s="23" t="str">
        <x:v>アシスト型</x:v>
      </x:c>
      <x:c r="G253" s="23" t="str">
        <x:v>山岳賞ハンター / リードアウト / 下り牽引</x:v>
      </x:c>
      <x:c r="H253" s="23" t="str">
        <x:v>前方誘導</x:v>
      </x:c>
      <x:c r="I253" s="23" t="str">
        <x:v>安全誘導</x:v>
      </x:c>
      <x:c r="J253" s="23" t="str">
        <x:v>高速コーナリング</x:v>
      </x:c>
      <x:c r="K253" s="23" t="str">
        <x:v>高速リードアウト</x:v>
      </x:c>
      <x:c r="L253" s="23" t="str">
        <x:v>ダウンヒル牽引</x:v>
      </x:c>
      <x:c r="M253" s="23" t="str">
        <x:v>最終発射</x:v>
      </x:c>
    </x:row>
    <x:row r="254" ht="40" customHeight="1">
      <x:c r="A254" s="23" t="str">
        <x:v>現役</x:v>
      </x:c>
      <x:c r="B254" s="26" t="n">
        <x:v>250</x:v>
      </x:c>
      <x:c r="C254" s="23" t="str">
        <x:v>Bart Lemmen</x:v>
      </x:c>
      <x:c r="D254" s="23" t="str">
        <x:v>TT・ルーラー型</x:v>
      </x:c>
      <x:c r="E254" s="23" t="str">
        <x:v>クラシック型</x:v>
      </x:c>
      <x:c r="F254" s="23" t="str">
        <x:v>アシスト型</x:v>
      </x:c>
      <x:c r="G254" s="23" t="str">
        <x:v>TTスペシャリスト / 平坦アシスト / 集団コントローラー</x:v>
      </x:c>
      <x:c r="H254" s="23" t="str">
        <x:v>平坦牽引</x:v>
      </x:c>
      <x:c r="I254" s="23" t="str">
        <x:v>風よけ</x:v>
      </x:c>
      <x:c r="J254" s="23" t="str">
        <x:v>トラブル復帰</x:v>
      </x:c>
      <x:c r="K254" s="23" t="str">
        <x:v>ローテーション牽引</x:v>
      </x:c>
      <x:c r="L254" s="23" t="str">
        <x:v>高速牽引</x:v>
      </x:c>
      <x:c r="M254" s="23" t="str">
        <x:v>全開牽引</x:v>
      </x:c>
    </x:row>
    <x:row r="255" ht="40" customHeight="1">
      <x:c r="A255" s="23" t="str">
        <x:v>現役</x:v>
      </x:c>
      <x:c r="B255" s="26" t="n">
        <x:v>251</x:v>
      </x:c>
      <x:c r="C255" s="23" t="str">
        <x:v>Davide Piganzoli</x:v>
      </x:c>
      <x:c r="D255" s="23" t="str">
        <x:v>TT・ルーラー型</x:v>
      </x:c>
      <x:c r="E255" s="23" t="str">
        <x:v>総合型</x:v>
      </x:c>
      <x:c r="F255" s="23" t="str">
        <x:v>アシスト型</x:v>
      </x:c>
      <x:c r="G255" s="23" t="str">
        <x:v>平坦アシスト / TT牽引 / 集団コントローラー</x:v>
      </x:c>
      <x:c r="H255" s="23" t="str">
        <x:v>平坦牽引</x:v>
      </x:c>
      <x:c r="I255" s="23" t="str">
        <x:v>風よけ</x:v>
      </x:c>
      <x:c r="J255" s="23" t="str">
        <x:v>前方誘導</x:v>
      </x:c>
      <x:c r="K255" s="23" t="str">
        <x:v>ローテーション牽引</x:v>
      </x:c>
      <x:c r="L255" s="23" t="str">
        <x:v>高速牽引</x:v>
      </x:c>
      <x:c r="M255" s="23" t="str">
        <x:v>全開牽引</x:v>
      </x:c>
    </x:row>
    <x:row r="256" ht="40" customHeight="1">
      <x:c r="A256" s="23" t="str">
        <x:v>現役</x:v>
      </x:c>
      <x:c r="B256" s="26" t="n">
        <x:v>252</x:v>
      </x:c>
      <x:c r="C256" s="23" t="str">
        <x:v>Harold Martín López</x:v>
      </x:c>
      <x:c r="D256" s="23" t="str">
        <x:v>クライマー</x:v>
      </x:c>
      <x:c r="E256" s="23" t="str">
        <x:v>TT・ルーラー型</x:v>
      </x:c>
      <x:c r="F256" s="23" t="str">
        <x:v>アシスト型</x:v>
      </x:c>
      <x:c r="G256" s="23" t="str">
        <x:v>山岳賞ハンター / 山岳アシスト / 山岳番手</x:v>
      </x:c>
      <x:c r="H256" s="23" t="str">
        <x:v>山岳ガード</x:v>
      </x:c>
      <x:c r="I256" s="23" t="str">
        <x:v>山岳牽引</x:v>
      </x:c>
      <x:c r="J256" s="23" t="str">
        <x:v>山岳番手</x:v>
      </x:c>
      <x:c r="K256" s="23" t="str">
        <x:v>最後の山岳牽引</x:v>
      </x:c>
      <x:c r="L256" s="23" t="str">
        <x:v>登坂チェイス</x:v>
      </x:c>
      <x:c r="M256" s="23" t="str">
        <x:v>山岳救援</x:v>
      </x:c>
    </x:row>
    <x:row r="257" ht="40" customHeight="1">
      <x:c r="A257" s="23" t="str">
        <x:v>現役</x:v>
      </x:c>
      <x:c r="B257" s="26" t="n">
        <x:v>253</x:v>
      </x:c>
      <x:c r="C257" s="23" t="str">
        <x:v>Henri-François Renard-Haquin</x:v>
      </x:c>
      <x:c r="D257" s="23" t="str">
        <x:v>クラシック型</x:v>
      </x:c>
      <x:c r="E257" s="23" t="str">
        <x:v>クライマー</x:v>
      </x:c>
      <x:c r="F257" s="23" t="str">
        <x:v>アシスト型</x:v>
      </x:c>
      <x:c r="G257" s="23" t="str">
        <x:v>山岳賞ハンター / 石畳護衛 / 下り牽引</x:v>
      </x:c>
      <x:c r="H257" s="23" t="str">
        <x:v>安全誘導</x:v>
      </x:c>
      <x:c r="I257" s="23" t="str">
        <x:v>高速コーナリング</x:v>
      </x:c>
      <x:c r="J257" s="23" t="str">
        <x:v>進路確保</x:v>
      </x:c>
      <x:c r="K257" s="23" t="str">
        <x:v>ダウンヒル牽引</x:v>
      </x:c>
      <x:c r="L257" s="23" t="str">
        <x:v>下りアタック</x:v>
      </x:c>
      <x:c r="M257" s="23" t="str">
        <x:v>下り護衛</x:v>
      </x:c>
    </x:row>
    <x:row r="258" ht="40" customHeight="1">
      <x:c r="A258" s="23" t="str">
        <x:v>現役</x:v>
      </x:c>
      <x:c r="B258" s="26" t="n">
        <x:v>254</x:v>
      </x:c>
      <x:c r="C258" s="23" t="str">
        <x:v>Lennert Belmans</x:v>
      </x:c>
      <x:c r="D258" s="23" t="str">
        <x:v>クラシック型</x:v>
      </x:c>
      <x:c r="E258" s="23" t="str">
        <x:v>TT・ルーラー型</x:v>
      </x:c>
      <x:c r="F258" s="23" t="str">
        <x:v>アシスト型</x:v>
      </x:c>
      <x:c r="G258" s="23" t="str">
        <x:v>石畳護衛 / 集団コントローラー / 横風要員</x:v>
      </x:c>
      <x:c r="H258" s="23" t="str">
        <x:v>パヴェ護衛</x:v>
      </x:c>
      <x:c r="I258" s="23" t="str">
        <x:v>トラブル復帰</x:v>
      </x:c>
      <x:c r="J258" s="23" t="str">
        <x:v>進路確保</x:v>
      </x:c>
      <x:c r="K258" s="23" t="str">
        <x:v>パヴェ追走</x:v>
      </x:c>
      <x:c r="L258" s="23" t="str">
        <x:v>ライン誘導</x:v>
      </x:c>
      <x:c r="M258" s="23" t="str">
        <x:v>石畳護衛</x:v>
      </x:c>
    </x:row>
    <x:row r="259" ht="40" customHeight="1">
      <x:c r="A259" s="23" t="str">
        <x:v>現役</x:v>
      </x:c>
      <x:c r="B259" s="26" t="n">
        <x:v>255</x:v>
      </x:c>
      <x:c r="C259" s="23" t="str">
        <x:v>Bastien Tronchon</x:v>
      </x:c>
      <x:c r="D259" s="23" t="str">
        <x:v>パンチャー</x:v>
      </x:c>
      <x:c r="E259" s="23" t="str">
        <x:v>スプリンター</x:v>
      </x:c>
      <x:c r="F259" s="23" t="str">
        <x:v>アシスト型</x:v>
      </x:c>
      <x:c r="G259" s="23" t="str">
        <x:v>ステージハンター / 山岳賞ハンター / スプリントトレイン</x:v>
      </x:c>
      <x:c r="H259" s="23" t="str">
        <x:v>位置引き上げ</x:v>
      </x:c>
      <x:c r="I259" s="23" t="str">
        <x:v>追走補助</x:v>
      </x:c>
      <x:c r="J259" s="23" t="str">
        <x:v>丘陵牽引</x:v>
      </x:c>
      <x:c r="K259" s="23" t="str">
        <x:v>坂前誘導</x:v>
      </x:c>
      <x:c r="L259" s="23" t="str">
        <x:v>仕掛け封じ</x:v>
      </x:c>
      <x:c r="M259" s="23" t="str">
        <x:v>最終発射</x:v>
      </x:c>
    </x:row>
    <x:row r="260" ht="40" customHeight="1">
      <x:c r="A260" s="23" t="str">
        <x:v>現役</x:v>
      </x:c>
      <x:c r="B260" s="26" t="n">
        <x:v>256</x:v>
      </x:c>
      <x:c r="C260" s="23" t="str">
        <x:v>Laurens De Plus</x:v>
      </x:c>
      <x:c r="D260" s="23" t="str">
        <x:v>クライマー</x:v>
      </x:c>
      <x:c r="E260" s="23" t="str">
        <x:v>総合型</x:v>
      </x:c>
      <x:c r="F260" s="23" t="str">
        <x:v>アシスト型</x:v>
      </x:c>
      <x:c r="G260" s="23" t="str">
        <x:v>山岳賞ハンター / 山岳アシスト / 集団コントローラー</x:v>
      </x:c>
      <x:c r="H260" s="23" t="str">
        <x:v>山岳ガード</x:v>
      </x:c>
      <x:c r="I260" s="23" t="str">
        <x:v>山岳牽引</x:v>
      </x:c>
      <x:c r="J260" s="23" t="str">
        <x:v>山岳番手</x:v>
      </x:c>
      <x:c r="K260" s="23" t="str">
        <x:v>登坂チェイス</x:v>
      </x:c>
      <x:c r="L260" s="23" t="str">
        <x:v>山岳先導</x:v>
      </x:c>
      <x:c r="M260" s="23" t="str">
        <x:v>山岳救援</x:v>
      </x:c>
    </x:row>
    <x:row r="261" ht="40" customHeight="1">
      <x:c r="A261" s="23" t="str">
        <x:v>現役</x:v>
      </x:c>
      <x:c r="B261" s="26" t="n">
        <x:v>257</x:v>
      </x:c>
      <x:c r="C261" s="23" t="str">
        <x:v>Alessandro Covi</x:v>
      </x:c>
      <x:c r="D261" s="23" t="str">
        <x:v>TT・ルーラー型</x:v>
      </x:c>
      <x:c r="E261" s="23" t="str">
        <x:v>スプリンター</x:v>
      </x:c>
      <x:c r="F261" s="23" t="str">
        <x:v>アシスト型</x:v>
      </x:c>
      <x:c r="G261" s="23" t="str">
        <x:v>スプリントトレイン / 平坦アシスト / TT牽引</x:v>
      </x:c>
      <x:c r="H261" s="23" t="str">
        <x:v>風よけ</x:v>
      </x:c>
      <x:c r="I261" s="23" t="str">
        <x:v>平坦牽引</x:v>
      </x:c>
      <x:c r="J261" s="23" t="str">
        <x:v>トラブル復帰</x:v>
      </x:c>
      <x:c r="K261" s="23" t="str">
        <x:v>ローテーション牽引</x:v>
      </x:c>
      <x:c r="L261" s="23" t="str">
        <x:v>高速牽引</x:v>
      </x:c>
      <x:c r="M261" s="23" t="str">
        <x:v>全開牽引</x:v>
      </x:c>
    </x:row>
    <x:row r="262" ht="40" customHeight="1">
      <x:c r="A262" s="23" t="str">
        <x:v>現役</x:v>
      </x:c>
      <x:c r="B262" s="26" t="n">
        <x:v>258</x:v>
      </x:c>
      <x:c r="C262" s="23" t="str">
        <x:v>Darren van Bekkum</x:v>
      </x:c>
      <x:c r="D262" s="23" t="str">
        <x:v>クライマー</x:v>
      </x:c>
      <x:c r="E262" s="23" t="str">
        <x:v>クラシック型</x:v>
      </x:c>
      <x:c r="F262" s="23" t="str">
        <x:v>アシスト型</x:v>
      </x:c>
      <x:c r="G262" s="23" t="str">
        <x:v>山岳賞ハンター / 山岳アシスト / 山岳番手</x:v>
      </x:c>
      <x:c r="H262" s="23" t="str">
        <x:v>山岳ガード</x:v>
      </x:c>
      <x:c r="I262" s="23" t="str">
        <x:v>山岳牽引</x:v>
      </x:c>
      <x:c r="J262" s="23" t="str">
        <x:v>山岳番手</x:v>
      </x:c>
      <x:c r="K262" s="23" t="str">
        <x:v>登坂チェイス</x:v>
      </x:c>
      <x:c r="L262" s="23" t="str">
        <x:v>山岳先導</x:v>
      </x:c>
      <x:c r="M262" s="23" t="str">
        <x:v>山岳救援</x:v>
      </x:c>
    </x:row>
    <x:row r="263" ht="40" customHeight="1">
      <x:c r="A263" s="23" t="str">
        <x:v>現役</x:v>
      </x:c>
      <x:c r="B263" s="26" t="n">
        <x:v>259</x:v>
      </x:c>
      <x:c r="C263" s="23" t="str">
        <x:v>Anton Kuzmin</x:v>
      </x:c>
      <x:c r="D263" s="23" t="str">
        <x:v>TT・ルーラー型</x:v>
      </x:c>
      <x:c r="E263" s="23" t="str">
        <x:v>総合型</x:v>
      </x:c>
      <x:c r="F263" s="23" t="str">
        <x:v>アシスト型</x:v>
      </x:c>
      <x:c r="G263" s="23" t="str">
        <x:v>TT牽引 / 集団コントローラー / TTスペシャリスト</x:v>
      </x:c>
      <x:c r="H263" s="23" t="str">
        <x:v>平坦牽引</x:v>
      </x:c>
      <x:c r="I263" s="23" t="str">
        <x:v>風よけ</x:v>
      </x:c>
      <x:c r="J263" s="23" t="str">
        <x:v>トラブル復帰</x:v>
      </x:c>
      <x:c r="K263" s="23" t="str">
        <x:v>ローテーション牽引</x:v>
      </x:c>
      <x:c r="L263" s="23" t="str">
        <x:v>高速牽引</x:v>
      </x:c>
      <x:c r="M263" s="23" t="str">
        <x:v>全開牽引</x:v>
      </x:c>
    </x:row>
    <x:row r="264" ht="40" customHeight="1">
      <x:c r="A264" s="23" t="str">
        <x:v>現役</x:v>
      </x:c>
      <x:c r="B264" s="26" t="n">
        <x:v>260</x:v>
      </x:c>
      <x:c r="C264" s="23" t="str">
        <x:v>Alessandro Borgo</x:v>
      </x:c>
      <x:c r="D264" s="23" t="str">
        <x:v>TT・ルーラー型</x:v>
      </x:c>
      <x:c r="E264" s="23" t="str">
        <x:v>クラシック型</x:v>
      </x:c>
      <x:c r="F264" s="23" t="str">
        <x:v>アシスト型</x:v>
      </x:c>
      <x:c r="G264" s="23" t="str">
        <x:v>TT牽引 / 集団コントローラー / TTスペシャリスト</x:v>
      </x:c>
      <x:c r="H264" s="23" t="str">
        <x:v>平坦牽引</x:v>
      </x:c>
      <x:c r="I264" s="23" t="str">
        <x:v>風よけ</x:v>
      </x:c>
      <x:c r="J264" s="23" t="str">
        <x:v>前方誘導</x:v>
      </x:c>
      <x:c r="K264" s="23" t="str">
        <x:v>ローテーション牽引</x:v>
      </x:c>
      <x:c r="L264" s="23" t="str">
        <x:v>高速牽引</x:v>
      </x:c>
      <x:c r="M264" s="23" t="str">
        <x:v>全開牽引</x:v>
      </x:c>
    </x:row>
    <x:row r="265" ht="40" customHeight="1">
      <x:c r="A265" s="23" t="str">
        <x:v>現役</x:v>
      </x:c>
      <x:c r="B265" s="26" t="n">
        <x:v>261</x:v>
      </x:c>
      <x:c r="C265" s="23" t="str">
        <x:v>Luke Plapp</x:v>
      </x:c>
      <x:c r="D265" s="23" t="str">
        <x:v>TT・ルーラー型</x:v>
      </x:c>
      <x:c r="E265" s="23" t="str">
        <x:v>総合型</x:v>
      </x:c>
      <x:c r="F265" s="23" t="str">
        <x:v>アシスト型</x:v>
      </x:c>
      <x:c r="G265" s="23" t="str">
        <x:v>ロードキャプテン / 平坦アシスト / TT牽引</x:v>
      </x:c>
      <x:c r="H265" s="23" t="str">
        <x:v>平坦牽引</x:v>
      </x:c>
      <x:c r="I265" s="23" t="str">
        <x:v>風よけ</x:v>
      </x:c>
      <x:c r="J265" s="23" t="str">
        <x:v>前方誘導</x:v>
      </x:c>
      <x:c r="K265" s="23" t="str">
        <x:v>ローテーション牽引</x:v>
      </x:c>
      <x:c r="L265" s="23" t="str">
        <x:v>高速牽引</x:v>
      </x:c>
      <x:c r="M265" s="23" t="str">
        <x:v>全開牽引</x:v>
      </x:c>
    </x:row>
    <x:row r="266" ht="40" customHeight="1">
      <x:c r="A266" s="23" t="str">
        <x:v>現役</x:v>
      </x:c>
      <x:c r="B266" s="26" t="n">
        <x:v>262</x:v>
      </x:c>
      <x:c r="C266" s="23" t="str">
        <x:v>Adam Yates</x:v>
      </x:c>
      <x:c r="D266" s="23" t="str">
        <x:v>クライマー</x:v>
      </x:c>
      <x:c r="E266" s="23" t="str">
        <x:v>総合型</x:v>
      </x:c>
      <x:c r="F266" s="23" t="str">
        <x:v>アシスト型</x:v>
      </x:c>
      <x:c r="G266" s="23" t="str">
        <x:v>山岳賞ハンター / 山岳アシスト / 集団コントローラー</x:v>
      </x:c>
      <x:c r="H266" s="23" t="str">
        <x:v>山岳ガード</x:v>
      </x:c>
      <x:c r="I266" s="23" t="str">
        <x:v>山岳牽引</x:v>
      </x:c>
      <x:c r="J266" s="23" t="str">
        <x:v>山岳番手</x:v>
      </x:c>
      <x:c r="K266" s="23" t="str">
        <x:v>登坂チェイス</x:v>
      </x:c>
      <x:c r="L266" s="23" t="str">
        <x:v>山岳先導</x:v>
      </x:c>
      <x:c r="M266" s="23" t="str">
        <x:v>山岳救援</x:v>
      </x:c>
    </x:row>
    <x:row r="267" ht="40" customHeight="1">
      <x:c r="A267" s="23" t="str">
        <x:v>現役</x:v>
      </x:c>
      <x:c r="B267" s="26" t="n">
        <x:v>263</x:v>
      </x:c>
      <x:c r="C267" s="23" t="str">
        <x:v>Anders Halland Johannessen</x:v>
      </x:c>
      <x:c r="D267" s="23" t="str">
        <x:v>TT・ルーラー型</x:v>
      </x:c>
      <x:c r="E267" s="23" t="str">
        <x:v>クラシック型</x:v>
      </x:c>
      <x:c r="F267" s="23" t="str">
        <x:v>アシスト型</x:v>
      </x:c>
      <x:c r="G267" s="23" t="str">
        <x:v>平坦ペースメーカー / 集団コントローラー / TTスペシャリスト</x:v>
      </x:c>
      <x:c r="H267" s="23" t="str">
        <x:v>平坦牽引</x:v>
      </x:c>
      <x:c r="I267" s="23" t="str">
        <x:v>風よけ</x:v>
      </x:c>
      <x:c r="J267" s="23" t="str">
        <x:v>トラブル復帰</x:v>
      </x:c>
      <x:c r="K267" s="23" t="str">
        <x:v>ローテーション牽引</x:v>
      </x:c>
      <x:c r="L267" s="23" t="str">
        <x:v>高速牽引</x:v>
      </x:c>
      <x:c r="M267" s="23" t="str">
        <x:v>全開牽引</x:v>
      </x:c>
    </x:row>
    <x:row r="268" ht="40" customHeight="1">
      <x:c r="A268" s="23" t="str">
        <x:v>現役</x:v>
      </x:c>
      <x:c r="B268" s="26" t="n">
        <x:v>264</x:v>
      </x:c>
      <x:c r="C268" s="23" t="str">
        <x:v>Tobias Foss</x:v>
      </x:c>
      <x:c r="D268" s="23" t="str">
        <x:v>TT・ルーラー型</x:v>
      </x:c>
      <x:c r="E268" s="23" t="str">
        <x:v>総合型</x:v>
      </x:c>
      <x:c r="F268" s="23" t="str">
        <x:v>アシスト型</x:v>
      </x:c>
      <x:c r="G268" s="23" t="str">
        <x:v>ロードキャプテン / TTスペシャリスト / 平坦アシスト</x:v>
      </x:c>
      <x:c r="H268" s="23" t="str">
        <x:v>平坦牽引</x:v>
      </x:c>
      <x:c r="I268" s="23" t="str">
        <x:v>風よけ</x:v>
      </x:c>
      <x:c r="J268" s="23" t="str">
        <x:v>トラブル復帰</x:v>
      </x:c>
      <x:c r="K268" s="23" t="str">
        <x:v>ローテーション牽引</x:v>
      </x:c>
      <x:c r="L268" s="23" t="str">
        <x:v>高速牽引</x:v>
      </x:c>
      <x:c r="M268" s="23" t="str">
        <x:v>クロノ王の隊列再編</x:v>
      </x:c>
    </x:row>
    <x:row r="269" ht="40" customHeight="1">
      <x:c r="A269" s="23" t="str">
        <x:v>現役</x:v>
      </x:c>
      <x:c r="B269" s="26" t="n">
        <x:v>265</x:v>
      </x:c>
      <x:c r="C269" s="23" t="str">
        <x:v>Damiano Caruso</x:v>
      </x:c>
      <x:c r="D269" s="23" t="str">
        <x:v>クライマー</x:v>
      </x:c>
      <x:c r="E269" s="23" t="str">
        <x:v>総合型</x:v>
      </x:c>
      <x:c r="F269" s="23" t="str">
        <x:v>アシスト型</x:v>
      </x:c>
      <x:c r="G269" s="23" t="str">
        <x:v>山岳賞ハンター / 山岳アシスト / 集団コントローラー</x:v>
      </x:c>
      <x:c r="H269" s="23" t="str">
        <x:v>山岳ガード</x:v>
      </x:c>
      <x:c r="I269" s="23" t="str">
        <x:v>山岳牽引</x:v>
      </x:c>
      <x:c r="J269" s="23" t="str">
        <x:v>山岳番手</x:v>
      </x:c>
      <x:c r="K269" s="23" t="str">
        <x:v>登坂チェイス</x:v>
      </x:c>
      <x:c r="L269" s="23" t="str">
        <x:v>山岳先導</x:v>
      </x:c>
      <x:c r="M269" s="23" t="str">
        <x:v>山岳救援</x:v>
      </x:c>
    </x:row>
    <x:row r="270" ht="40" customHeight="1">
      <x:c r="A270" s="23" t="str">
        <x:v>現役</x:v>
      </x:c>
      <x:c r="B270" s="26" t="n">
        <x:v>266</x:v>
      </x:c>
      <x:c r="C270" s="23" t="str">
        <x:v>Carlos Verona</x:v>
      </x:c>
      <x:c r="D270" s="23" t="str">
        <x:v>クライマー</x:v>
      </x:c>
      <x:c r="E270" s="23" t="str">
        <x:v>総合型</x:v>
      </x:c>
      <x:c r="F270" s="23" t="str">
        <x:v>アシスト型</x:v>
      </x:c>
      <x:c r="G270" s="23" t="str">
        <x:v>山岳賞ハンター / 山岳アシスト / 山岳番手</x:v>
      </x:c>
      <x:c r="H270" s="23" t="str">
        <x:v>山岳ガード</x:v>
      </x:c>
      <x:c r="I270" s="23" t="str">
        <x:v>山岳牽引</x:v>
      </x:c>
      <x:c r="J270" s="23" t="str">
        <x:v>山岳番手</x:v>
      </x:c>
      <x:c r="K270" s="23" t="str">
        <x:v>登坂チェイス</x:v>
      </x:c>
      <x:c r="L270" s="23" t="str">
        <x:v>最後の山岳牽引</x:v>
      </x:c>
      <x:c r="M270" s="23" t="str">
        <x:v>山岳救援</x:v>
      </x:c>
    </x:row>
    <x:row r="271" ht="40" customHeight="1">
      <x:c r="A271" s="23" t="str">
        <x:v>現役</x:v>
      </x:c>
      <x:c r="B271" s="26" t="n">
        <x:v>267</x:v>
      </x:c>
      <x:c r="C271" s="23" t="str">
        <x:v>Mike Teunissen</x:v>
      </x:c>
      <x:c r="D271" s="23" t="str">
        <x:v>スプリンター</x:v>
      </x:c>
      <x:c r="E271" s="23" t="str">
        <x:v>TT・ルーラー型</x:v>
      </x:c>
      <x:c r="F271" s="23" t="str">
        <x:v>アシスト型</x:v>
      </x:c>
      <x:c r="G271" s="23" t="str">
        <x:v>リードアウト / 最終発射台 / スプリントトレイン</x:v>
      </x:c>
      <x:c r="H271" s="23" t="str">
        <x:v>前方誘導</x:v>
      </x:c>
      <x:c r="I271" s="23" t="str">
        <x:v>パヴェ護衛</x:v>
      </x:c>
      <x:c r="J271" s="23" t="str">
        <x:v>位置引き上げ</x:v>
      </x:c>
      <x:c r="K271" s="23" t="str">
        <x:v>トレイン加速</x:v>
      </x:c>
      <x:c r="L271" s="23" t="str">
        <x:v>高速リードアウト</x:v>
      </x:c>
      <x:c r="M271" s="23" t="str">
        <x:v>最終発射</x:v>
      </x:c>
    </x:row>
    <x:row r="272" ht="40" customHeight="1">
      <x:c r="A272" s="23" t="str">
        <x:v>現役</x:v>
      </x:c>
      <x:c r="B272" s="26" t="n">
        <x:v>268</x:v>
      </x:c>
      <x:c r="C272" s="23" t="str">
        <x:v>Baptiste Veistroffer</x:v>
      </x:c>
      <x:c r="D272" s="23" t="str">
        <x:v>TT・ルーラー型</x:v>
      </x:c>
      <x:c r="E272" s="23" t="str">
        <x:v>クラシック型</x:v>
      </x:c>
      <x:c r="F272" s="23" t="str">
        <x:v>アシスト型</x:v>
      </x:c>
      <x:c r="G272" s="23" t="str">
        <x:v>ロードキャプテン / TT牽引 / TTスペシャリスト</x:v>
      </x:c>
      <x:c r="H272" s="23" t="str">
        <x:v>平坦牽引</x:v>
      </x:c>
      <x:c r="I272" s="23" t="str">
        <x:v>風よけ</x:v>
      </x:c>
      <x:c r="J272" s="23" t="str">
        <x:v>トラブル復帰</x:v>
      </x:c>
      <x:c r="K272" s="23" t="str">
        <x:v>ローテーション牽引</x:v>
      </x:c>
      <x:c r="L272" s="23" t="str">
        <x:v>高速牽引</x:v>
      </x:c>
      <x:c r="M272" s="23" t="str">
        <x:v>全開牽引</x:v>
      </x:c>
    </x:row>
    <x:row r="273" ht="40" customHeight="1">
      <x:c r="A273" s="23" t="str">
        <x:v>現役</x:v>
      </x:c>
      <x:c r="B273" s="26" t="n">
        <x:v>269</x:v>
      </x:c>
      <x:c r="C273" s="23" t="str">
        <x:v>Bob Jungels</x:v>
      </x:c>
      <x:c r="D273" s="23" t="str">
        <x:v>TT・ルーラー型</x:v>
      </x:c>
      <x:c r="E273" s="23" t="str">
        <x:v>総合型</x:v>
      </x:c>
      <x:c r="F273" s="23" t="str">
        <x:v>アシスト型</x:v>
      </x:c>
      <x:c r="G273" s="23" t="str">
        <x:v>ロードキャプテン / 平坦アシスト / 平坦ペースメーカー</x:v>
      </x:c>
      <x:c r="H273" s="23" t="str">
        <x:v>平坦牽引</x:v>
      </x:c>
      <x:c r="I273" s="23" t="str">
        <x:v>風よけ</x:v>
      </x:c>
      <x:c r="J273" s="23" t="str">
        <x:v>前方誘導</x:v>
      </x:c>
      <x:c r="K273" s="23" t="str">
        <x:v>ローテーション牽引</x:v>
      </x:c>
      <x:c r="L273" s="23" t="str">
        <x:v>高速牽引</x:v>
      </x:c>
      <x:c r="M273" s="23" t="str">
        <x:v>逃げ完全吸収</x:v>
      </x:c>
    </x:row>
    <x:row r="274" ht="40" customHeight="1">
      <x:c r="A274" s="23" t="str">
        <x:v>現役</x:v>
      </x:c>
      <x:c r="B274" s="26" t="n">
        <x:v>270</x:v>
      </x:c>
      <x:c r="C274" s="23" t="str">
        <x:v>Santiago Buitrago</x:v>
      </x:c>
      <x:c r="D274" s="23" t="str">
        <x:v>クライマー</x:v>
      </x:c>
      <x:c r="E274" s="23" t="str">
        <x:v>総合型</x:v>
      </x:c>
      <x:c r="F274" s="23" t="str">
        <x:v>アシスト型</x:v>
      </x:c>
      <x:c r="G274" s="23" t="str">
        <x:v>山岳賞ハンター / 山岳アシスト / 山岳ペースメーカー</x:v>
      </x:c>
      <x:c r="H274" s="23" t="str">
        <x:v>山岳ガード</x:v>
      </x:c>
      <x:c r="I274" s="23" t="str">
        <x:v>山岳牽引</x:v>
      </x:c>
      <x:c r="J274" s="23" t="str">
        <x:v>山岳番手</x:v>
      </x:c>
      <x:c r="K274" s="23" t="str">
        <x:v>登坂チェイス</x:v>
      </x:c>
      <x:c r="L274" s="23" t="str">
        <x:v>山岳先導</x:v>
      </x:c>
      <x:c r="M274" s="23" t="str">
        <x:v>山岳救援</x:v>
      </x:c>
    </x:row>
    <x:row r="275" ht="40" customHeight="1">
      <x:c r="A275" s="23" t="str">
        <x:v>現役</x:v>
      </x:c>
      <x:c r="B275" s="26" t="n">
        <x:v>271</x:v>
      </x:c>
      <x:c r="C275" s="23" t="str">
        <x:v>Wilco Kelderman</x:v>
      </x:c>
      <x:c r="D275" s="23" t="str">
        <x:v>クライマー</x:v>
      </x:c>
      <x:c r="E275" s="23" t="str">
        <x:v>総合型</x:v>
      </x:c>
      <x:c r="F275" s="23" t="str">
        <x:v>アシスト型</x:v>
      </x:c>
      <x:c r="G275" s="23" t="str">
        <x:v>山岳賞ハンター / 山岳アシスト / 集団コントローラー</x:v>
      </x:c>
      <x:c r="H275" s="23" t="str">
        <x:v>山岳ガード</x:v>
      </x:c>
      <x:c r="I275" s="23" t="str">
        <x:v>山岳牽引</x:v>
      </x:c>
      <x:c r="J275" s="23" t="str">
        <x:v>山岳番手</x:v>
      </x:c>
      <x:c r="K275" s="23" t="str">
        <x:v>登坂チェイス</x:v>
      </x:c>
      <x:c r="L275" s="23" t="str">
        <x:v>山岳先導</x:v>
      </x:c>
      <x:c r="M275" s="23" t="str">
        <x:v>山岳救援</x:v>
      </x:c>
    </x:row>
    <x:row r="276" ht="40" customHeight="1">
      <x:c r="A276" s="23" t="str">
        <x:v>現役</x:v>
      </x:c>
      <x:c r="B276" s="26" t="n">
        <x:v>272</x:v>
      </x:c>
      <x:c r="C276" s="23" t="str">
        <x:v>Thymen Arensman</x:v>
      </x:c>
      <x:c r="D276" s="23" t="str">
        <x:v>クライマー</x:v>
      </x:c>
      <x:c r="E276" s="23" t="str">
        <x:v>総合型</x:v>
      </x:c>
      <x:c r="F276" s="23" t="str">
        <x:v>アシスト型</x:v>
      </x:c>
      <x:c r="G276" s="23" t="str">
        <x:v>山岳賞ハンター / 山岳アシスト / 集団コントローラー</x:v>
      </x:c>
      <x:c r="H276" s="23" t="str">
        <x:v>山岳ガード</x:v>
      </x:c>
      <x:c r="I276" s="23" t="str">
        <x:v>山岳牽引</x:v>
      </x:c>
      <x:c r="J276" s="23" t="str">
        <x:v>山岳番手</x:v>
      </x:c>
      <x:c r="K276" s="23" t="str">
        <x:v>登坂チェイス</x:v>
      </x:c>
      <x:c r="L276" s="23" t="str">
        <x:v>山岳先導</x:v>
      </x:c>
      <x:c r="M276" s="23" t="str">
        <x:v>山岳救援</x:v>
      </x:c>
    </x:row>
    <x:row r="277" ht="40" customHeight="1">
      <x:c r="A277" s="23" t="str">
        <x:v>現役</x:v>
      </x:c>
      <x:c r="B277" s="26" t="n">
        <x:v>273</x:v>
      </x:c>
      <x:c r="C277" s="23" t="str">
        <x:v>Taco van der Hoorn</x:v>
      </x:c>
      <x:c r="D277" s="23" t="str">
        <x:v>クラシック型</x:v>
      </x:c>
      <x:c r="E277" s="23" t="str">
        <x:v>パンチャー</x:v>
      </x:c>
      <x:c r="F277" s="23" t="str">
        <x:v>アシスト型</x:v>
      </x:c>
      <x:c r="G277" s="23" t="str">
        <x:v>ロードキャプテン / 平坦アシスト / 石畳護衛</x:v>
      </x:c>
      <x:c r="H277" s="23" t="str">
        <x:v>進路確保</x:v>
      </x:c>
      <x:c r="I277" s="23" t="str">
        <x:v>トラブル復帰</x:v>
      </x:c>
      <x:c r="J277" s="23" t="str">
        <x:v>前方誘導</x:v>
      </x:c>
      <x:c r="K277" s="23" t="str">
        <x:v>隊列再編</x:v>
      </x:c>
      <x:c r="L277" s="23" t="str">
        <x:v>仕掛け封じ</x:v>
      </x:c>
      <x:c r="M277" s="23" t="str">
        <x:v>緊急再編</x:v>
      </x:c>
    </x:row>
    <x:row r="278" ht="40" customHeight="1">
      <x:c r="A278" s="23" t="str">
        <x:v>現役</x:v>
      </x:c>
      <x:c r="B278" s="26" t="n">
        <x:v>274</x:v>
      </x:c>
      <x:c r="C278" s="23" t="str">
        <x:v>Jordan Labrosse</x:v>
      </x:c>
      <x:c r="D278" s="23" t="str">
        <x:v>TT・ルーラー型</x:v>
      </x:c>
      <x:c r="E278" s="23" t="str">
        <x:v>クラシック型</x:v>
      </x:c>
      <x:c r="F278" s="23" t="str">
        <x:v>アシスト型</x:v>
      </x:c>
      <x:c r="G278" s="23" t="str">
        <x:v>集団コントローラー / TTスペシャリスト / TT牽引</x:v>
      </x:c>
      <x:c r="H278" s="23" t="str">
        <x:v>平坦牽引</x:v>
      </x:c>
      <x:c r="I278" s="23" t="str">
        <x:v>風よけ</x:v>
      </x:c>
      <x:c r="J278" s="23" t="str">
        <x:v>前方誘導</x:v>
      </x:c>
      <x:c r="K278" s="23" t="str">
        <x:v>ローテーション牽引</x:v>
      </x:c>
      <x:c r="L278" s="23" t="str">
        <x:v>高速牽引</x:v>
      </x:c>
      <x:c r="M278" s="23" t="str">
        <x:v>全開牽引</x:v>
      </x:c>
    </x:row>
    <x:row r="279" ht="40" customHeight="1">
      <x:c r="A279" s="23" t="str">
        <x:v>現役</x:v>
      </x:c>
      <x:c r="B279" s="26" t="n">
        <x:v>275</x:v>
      </x:c>
      <x:c r="C279" s="23" t="str">
        <x:v>Tao Geoghegan Hart</x:v>
      </x:c>
      <x:c r="D279" s="23" t="str">
        <x:v>クライマー</x:v>
      </x:c>
      <x:c r="E279" s="23" t="str">
        <x:v>総合型</x:v>
      </x:c>
      <x:c r="F279" s="23" t="str">
        <x:v>アシスト型</x:v>
      </x:c>
      <x:c r="G279" s="23" t="str">
        <x:v>山岳賞ハンター / 山岳アシスト / 山岳番手</x:v>
      </x:c>
      <x:c r="H279" s="23" t="str">
        <x:v>山岳ガード</x:v>
      </x:c>
      <x:c r="I279" s="23" t="str">
        <x:v>山岳牽引</x:v>
      </x:c>
      <x:c r="J279" s="23" t="str">
        <x:v>山岳番手</x:v>
      </x:c>
      <x:c r="K279" s="23" t="str">
        <x:v>登坂チェイス</x:v>
      </x:c>
      <x:c r="L279" s="23" t="str">
        <x:v>最後の山岳牽引</x:v>
      </x:c>
      <x:c r="M279" s="23" t="str">
        <x:v>山岳救援</x:v>
      </x:c>
    </x:row>
    <x:row r="280" ht="40" customHeight="1">
      <x:c r="A280" s="23" t="str">
        <x:v>現役</x:v>
      </x:c>
      <x:c r="B280" s="26" t="n">
        <x:v>276</x:v>
      </x:c>
      <x:c r="C280" s="23" t="str">
        <x:v>Remi Cavagna</x:v>
      </x:c>
      <x:c r="D280" s="23" t="str">
        <x:v>TT・ルーラー型</x:v>
      </x:c>
      <x:c r="E280" s="23" t="str">
        <x:v>総合型</x:v>
      </x:c>
      <x:c r="F280" s="23" t="str">
        <x:v>アシスト型</x:v>
      </x:c>
      <x:c r="G280" s="23" t="str">
        <x:v>ロードキャプテン / 平坦アシスト / TT牽引</x:v>
      </x:c>
      <x:c r="H280" s="23" t="str">
        <x:v>平坦牽引</x:v>
      </x:c>
      <x:c r="I280" s="23" t="str">
        <x:v>風よけ</x:v>
      </x:c>
      <x:c r="J280" s="23" t="str">
        <x:v>トラブル復帰</x:v>
      </x:c>
      <x:c r="K280" s="23" t="str">
        <x:v>ローテーション牽引</x:v>
      </x:c>
      <x:c r="L280" s="23" t="str">
        <x:v>高速牽引</x:v>
      </x:c>
      <x:c r="M280" s="23" t="str">
        <x:v>全開牽引</x:v>
      </x:c>
    </x:row>
    <x:row r="281" ht="40" customHeight="1">
      <x:c r="A281" s="23" t="str">
        <x:v>現役</x:v>
      </x:c>
      <x:c r="B281" s="26" t="n">
        <x:v>277</x:v>
      </x:c>
      <x:c r="C281" s="23" t="str">
        <x:v>Brandon McNulty</x:v>
      </x:c>
      <x:c r="D281" s="23" t="str">
        <x:v>クライマー</x:v>
      </x:c>
      <x:c r="E281" s="23" t="str">
        <x:v>総合型</x:v>
      </x:c>
      <x:c r="F281" s="23" t="str">
        <x:v>アシスト型</x:v>
      </x:c>
      <x:c r="G281" s="23" t="str">
        <x:v>山岳賞ハンター / 山岳アシスト / 集団コントローラー</x:v>
      </x:c>
      <x:c r="H281" s="23" t="str">
        <x:v>山岳ガード</x:v>
      </x:c>
      <x:c r="I281" s="23" t="str">
        <x:v>山岳牽引</x:v>
      </x:c>
      <x:c r="J281" s="23" t="str">
        <x:v>山岳番手</x:v>
      </x:c>
      <x:c r="K281" s="23" t="str">
        <x:v>登坂チェイス</x:v>
      </x:c>
      <x:c r="L281" s="23" t="str">
        <x:v>山岳先導</x:v>
      </x:c>
      <x:c r="M281" s="23" t="str">
        <x:v>山岳救援</x:v>
      </x:c>
    </x:row>
    <x:row r="282" ht="40" customHeight="1">
      <x:c r="A282" s="23" t="str">
        <x:v>現役</x:v>
      </x:c>
      <x:c r="B282" s="26" t="n">
        <x:v>278</x:v>
      </x:c>
      <x:c r="C282" s="23" t="str">
        <x:v>Luka Mezgec</x:v>
      </x:c>
      <x:c r="D282" s="23" t="str">
        <x:v>スプリンター</x:v>
      </x:c>
      <x:c r="E282" s="23" t="str">
        <x:v>TT・ルーラー型</x:v>
      </x:c>
      <x:c r="F282" s="23" t="str">
        <x:v>アシスト型</x:v>
      </x:c>
      <x:c r="G282" s="23" t="str">
        <x:v>リードアウト / 最終発射台 / スプリントトレイン</x:v>
      </x:c>
      <x:c r="H282" s="23" t="str">
        <x:v>前方誘導</x:v>
      </x:c>
      <x:c r="I282" s="23" t="str">
        <x:v>位置引き上げ</x:v>
      </x:c>
      <x:c r="J282" s="23" t="str">
        <x:v>平坦牽引</x:v>
      </x:c>
      <x:c r="K282" s="23" t="str">
        <x:v>トレイン加速</x:v>
      </x:c>
      <x:c r="L282" s="23" t="str">
        <x:v>高速リードアウト</x:v>
      </x:c>
      <x:c r="M282" s="23" t="str">
        <x:v>最終発射</x:v>
      </x:c>
    </x:row>
    <x:row r="283" ht="40" customHeight="1">
      <x:c r="A283" s="23" t="str">
        <x:v>現役</x:v>
      </x:c>
      <x:c r="B283" s="26" t="n">
        <x:v>279</x:v>
      </x:c>
      <x:c r="C283" s="23" t="str">
        <x:v>Pavel Sivakov</x:v>
      </x:c>
      <x:c r="D283" s="23" t="str">
        <x:v>クライマー</x:v>
      </x:c>
      <x:c r="E283" s="23" t="str">
        <x:v>総合型</x:v>
      </x:c>
      <x:c r="F283" s="23" t="str">
        <x:v>アシスト型</x:v>
      </x:c>
      <x:c r="G283" s="23" t="str">
        <x:v>山岳賞ハンター / 山岳アシスト / 集団コントローラー</x:v>
      </x:c>
      <x:c r="H283" s="23" t="str">
        <x:v>山岳ガード</x:v>
      </x:c>
      <x:c r="I283" s="23" t="str">
        <x:v>山岳牽引</x:v>
      </x:c>
      <x:c r="J283" s="23" t="str">
        <x:v>山岳番手</x:v>
      </x:c>
      <x:c r="K283" s="23" t="str">
        <x:v>登坂チェイス</x:v>
      </x:c>
      <x:c r="L283" s="23" t="str">
        <x:v>山岳先導</x:v>
      </x:c>
      <x:c r="M283" s="23" t="str">
        <x:v>山岳救援</x:v>
      </x:c>
    </x:row>
    <x:row r="284" ht="40" customHeight="1">
      <x:c r="A284" s="23" t="str">
        <x:v>現役</x:v>
      </x:c>
      <x:c r="B284" s="26" t="n">
        <x:v>280</x:v>
      </x:c>
      <x:c r="C284" s="23" t="str">
        <x:v>Danny van Poppel</x:v>
      </x:c>
      <x:c r="D284" s="23" t="str">
        <x:v>スプリンター</x:v>
      </x:c>
      <x:c r="E284" s="23" t="str">
        <x:v>TT・ルーラー型</x:v>
      </x:c>
      <x:c r="F284" s="23" t="str">
        <x:v>アシスト型</x:v>
      </x:c>
      <x:c r="G284" s="23" t="str">
        <x:v>リードアウト / 最終発射台 / スプリントトレイン</x:v>
      </x:c>
      <x:c r="H284" s="23" t="str">
        <x:v>前方誘導</x:v>
      </x:c>
      <x:c r="I284" s="23" t="str">
        <x:v>平坦牽引</x:v>
      </x:c>
      <x:c r="J284" s="23" t="str">
        <x:v>位置引き上げ</x:v>
      </x:c>
      <x:c r="K284" s="23" t="str">
        <x:v>トレイン加速</x:v>
      </x:c>
      <x:c r="L284" s="23" t="str">
        <x:v>高速リードアウト</x:v>
      </x:c>
      <x:c r="M284" s="23" t="str">
        <x:v>最終発射</x:v>
      </x:c>
    </x:row>
    <x:row r="285" ht="40" customHeight="1">
      <x:c r="A285" s="23" t="str">
        <x:v>現役</x:v>
      </x:c>
      <x:c r="B285" s="26" t="n">
        <x:v>281</x:v>
      </x:c>
      <x:c r="C285" s="23" t="str">
        <x:v>Simone Consonni</x:v>
      </x:c>
      <x:c r="D285" s="23" t="str">
        <x:v>スプリンター</x:v>
      </x:c>
      <x:c r="E285" s="23" t="str">
        <x:v>TT・ルーラー型</x:v>
      </x:c>
      <x:c r="F285" s="23" t="str">
        <x:v>アシスト型</x:v>
      </x:c>
      <x:c r="G285" s="23" t="str">
        <x:v>リードアウト / 最終発射台 / スプリントトレイン</x:v>
      </x:c>
      <x:c r="H285" s="23" t="str">
        <x:v>前方誘導</x:v>
      </x:c>
      <x:c r="I285" s="23" t="str">
        <x:v>平坦牽引</x:v>
      </x:c>
      <x:c r="J285" s="23" t="str">
        <x:v>位置引き上げ</x:v>
      </x:c>
      <x:c r="K285" s="23" t="str">
        <x:v>トレイン加速</x:v>
      </x:c>
      <x:c r="L285" s="23" t="str">
        <x:v>高速リードアウト</x:v>
      </x:c>
      <x:c r="M285" s="23" t="str">
        <x:v>最終発射</x:v>
      </x:c>
    </x:row>
    <x:row r="286" ht="40" customHeight="1">
      <x:c r="A286" s="23" t="str">
        <x:v>現役</x:v>
      </x:c>
      <x:c r="B286" s="26" t="n">
        <x:v>282</x:v>
      </x:c>
      <x:c r="C286" s="23" t="str">
        <x:v>Davide Ballerini</x:v>
      </x:c>
      <x:c r="D286" s="23" t="str">
        <x:v>スプリンター</x:v>
      </x:c>
      <x:c r="E286" s="23" t="str">
        <x:v>TT・ルーラー型</x:v>
      </x:c>
      <x:c r="F286" s="23" t="str">
        <x:v>アシスト型</x:v>
      </x:c>
      <x:c r="G286" s="23" t="str">
        <x:v>リードアウト / 最終発射台 / スプリントトレイン</x:v>
      </x:c>
      <x:c r="H286" s="23" t="str">
        <x:v>前方誘導</x:v>
      </x:c>
      <x:c r="I286" s="23" t="str">
        <x:v>平坦牽引</x:v>
      </x:c>
      <x:c r="J286" s="23" t="str">
        <x:v>位置引き上げ</x:v>
      </x:c>
      <x:c r="K286" s="23" t="str">
        <x:v>トレイン加速</x:v>
      </x:c>
      <x:c r="L286" s="23" t="str">
        <x:v>高速リードアウト</x:v>
      </x:c>
      <x:c r="M286" s="23" t="str">
        <x:v>最終発射</x:v>
      </x:c>
    </x:row>
    <x:row r="287" ht="40" customHeight="1">
      <x:c r="A287" s="23" t="str">
        <x:v>現役</x:v>
      </x:c>
      <x:c r="B287" s="26" t="n">
        <x:v>283</x:v>
      </x:c>
      <x:c r="C287" s="23" t="str">
        <x:v>Florian Vermeersch</x:v>
      </x:c>
      <x:c r="D287" s="23" t="str">
        <x:v>クラシック型</x:v>
      </x:c>
      <x:c r="E287" s="23" t="str">
        <x:v>パンチャー</x:v>
      </x:c>
      <x:c r="F287" s="23" t="str">
        <x:v>アシスト型</x:v>
      </x:c>
      <x:c r="G287" s="23" t="str">
        <x:v>ロードキャプテン / 平坦アシスト / 石畳護衛</x:v>
      </x:c>
      <x:c r="H287" s="23" t="str">
        <x:v>進路確保</x:v>
      </x:c>
      <x:c r="I287" s="23" t="str">
        <x:v>トラブル復帰</x:v>
      </x:c>
      <x:c r="J287" s="23" t="str">
        <x:v>前方誘導</x:v>
      </x:c>
      <x:c r="K287" s="23" t="str">
        <x:v>隊列再編</x:v>
      </x:c>
      <x:c r="L287" s="23" t="str">
        <x:v>位置取り護衛</x:v>
      </x:c>
      <x:c r="M287" s="23" t="str">
        <x:v>緊急再編</x:v>
      </x:c>
    </x:row>
    <x:row r="288" ht="40" customHeight="1">
      <x:c r="A288" s="23" t="str">
        <x:v>現役</x:v>
      </x:c>
      <x:c r="B288" s="26" t="n">
        <x:v>284</x:v>
      </x:c>
      <x:c r="C288" s="23" t="str">
        <x:v>Dylan van Baarle</x:v>
      </x:c>
      <x:c r="D288" s="23" t="str">
        <x:v>TT・ルーラー型</x:v>
      </x:c>
      <x:c r="E288" s="23" t="str">
        <x:v>クラシック型</x:v>
      </x:c>
      <x:c r="F288" s="23" t="str">
        <x:v>アシスト型</x:v>
      </x:c>
      <x:c r="G288" s="23" t="str">
        <x:v>平坦アシスト / TT牽引 / ブレイクアウェイキラー</x:v>
      </x:c>
      <x:c r="H288" s="23" t="str">
        <x:v>平坦牽引</x:v>
      </x:c>
      <x:c r="I288" s="23" t="str">
        <x:v>風よけ</x:v>
      </x:c>
      <x:c r="J288" s="23" t="str">
        <x:v>パヴェ護衛</x:v>
      </x:c>
      <x:c r="K288" s="23" t="str">
        <x:v>逃げ吸収</x:v>
      </x:c>
      <x:c r="L288" s="23" t="str">
        <x:v>ローテーション牽引</x:v>
      </x:c>
      <x:c r="M288" s="23" t="str">
        <x:v>石畳の追撃</x:v>
      </x:c>
    </x:row>
    <x:row r="289" ht="40" customHeight="1">
      <x:c r="A289" s="23" t="str">
        <x:v>現役</x:v>
      </x:c>
      <x:c r="B289" s="26" t="n">
        <x:v>285</x:v>
      </x:c>
      <x:c r="C289" s="23" t="str">
        <x:v>Edoardo Affini</x:v>
      </x:c>
      <x:c r="D289" s="23" t="str">
        <x:v>TT・ルーラー型</x:v>
      </x:c>
      <x:c r="E289" s="23" t="str">
        <x:v>総合型</x:v>
      </x:c>
      <x:c r="F289" s="23" t="str">
        <x:v>アシスト型</x:v>
      </x:c>
      <x:c r="G289" s="23" t="str">
        <x:v>ロードキャプテン / TTスペシャリスト / 平坦アシスト</x:v>
      </x:c>
      <x:c r="H289" s="23" t="str">
        <x:v>平坦牽引</x:v>
      </x:c>
      <x:c r="I289" s="23" t="str">
        <x:v>風よけ</x:v>
      </x:c>
      <x:c r="J289" s="23" t="str">
        <x:v>トラブル復帰</x:v>
      </x:c>
      <x:c r="K289" s="23" t="str">
        <x:v>ローテーション牽引</x:v>
      </x:c>
      <x:c r="L289" s="23" t="str">
        <x:v>高速牽引</x:v>
      </x:c>
      <x:c r="M289" s="23" t="str">
        <x:v>高速再編</x:v>
      </x:c>
    </x:row>
    <x:row r="290" ht="40" customHeight="1">
      <x:c r="A290" s="23" t="str">
        <x:v>現役</x:v>
      </x:c>
      <x:c r="B290" s="26" t="n">
        <x:v>286</x:v>
      </x:c>
      <x:c r="C290" s="23" t="str">
        <x:v>Nils Politt</x:v>
      </x:c>
      <x:c r="D290" s="23" t="str">
        <x:v>TT・ルーラー型</x:v>
      </x:c>
      <x:c r="E290" s="23" t="str">
        <x:v>クラシック型</x:v>
      </x:c>
      <x:c r="F290" s="23" t="str">
        <x:v>アシスト型</x:v>
      </x:c>
      <x:c r="G290" s="23" t="str">
        <x:v>平坦アシスト / TT牽引 / 石畳護衛</x:v>
      </x:c>
      <x:c r="H290" s="23" t="str">
        <x:v>平坦牽引</x:v>
      </x:c>
      <x:c r="I290" s="23" t="str">
        <x:v>風よけ</x:v>
      </x:c>
      <x:c r="J290" s="23" t="str">
        <x:v>パヴェ護衛</x:v>
      </x:c>
      <x:c r="K290" s="23" t="str">
        <x:v>ローテーション牽引</x:v>
      </x:c>
      <x:c r="L290" s="23" t="str">
        <x:v>高速牽引</x:v>
      </x:c>
      <x:c r="M290" s="23" t="str">
        <x:v>全開牽引</x:v>
      </x:c>
    </x:row>
    <x:row r="291" ht="40" customHeight="1">
      <x:c r="A291" s="23" t="str">
        <x:v>現役</x:v>
      </x:c>
      <x:c r="B291" s="26" t="n">
        <x:v>287</x:v>
      </x:c>
      <x:c r="C291" s="23" t="str">
        <x:v>Magnus Sheffield</x:v>
      </x:c>
      <x:c r="D291" s="23" t="str">
        <x:v>TT・ルーラー型</x:v>
      </x:c>
      <x:c r="E291" s="23" t="str">
        <x:v>総合型</x:v>
      </x:c>
      <x:c r="F291" s="23" t="str">
        <x:v>アシスト型</x:v>
      </x:c>
      <x:c r="G291" s="23" t="str">
        <x:v>ロードキャプテン / 平坦アシスト / 平坦ペースメーカー</x:v>
      </x:c>
      <x:c r="H291" s="23" t="str">
        <x:v>平坦牽引</x:v>
      </x:c>
      <x:c r="I291" s="23" t="str">
        <x:v>風よけ</x:v>
      </x:c>
      <x:c r="J291" s="23" t="str">
        <x:v>トラブル復帰</x:v>
      </x:c>
      <x:c r="K291" s="23" t="str">
        <x:v>ローテーション牽引</x:v>
      </x:c>
      <x:c r="L291" s="23" t="str">
        <x:v>高速牽引</x:v>
      </x:c>
      <x:c r="M291" s="23" t="str">
        <x:v>全開牽引</x:v>
      </x:c>
    </x:row>
    <x:row r="292" ht="40" customHeight="1">
      <x:c r="A292" s="23" t="str">
        <x:v>現役</x:v>
      </x:c>
      <x:c r="B292" s="26" t="n">
        <x:v>288</x:v>
      </x:c>
      <x:c r="C292" s="23" t="str">
        <x:v>Christophe Laporte</x:v>
      </x:c>
      <x:c r="D292" s="23" t="str">
        <x:v>スプリンター</x:v>
      </x:c>
      <x:c r="E292" s="23" t="str">
        <x:v>TT・ルーラー型</x:v>
      </x:c>
      <x:c r="F292" s="23" t="str">
        <x:v>アシスト型</x:v>
      </x:c>
      <x:c r="G292" s="23" t="str">
        <x:v>リードアウト / 最終発射台 / スプリントトレイン</x:v>
      </x:c>
      <x:c r="H292" s="23" t="str">
        <x:v>パヴェ護衛</x:v>
      </x:c>
      <x:c r="I292" s="23" t="str">
        <x:v>前方誘導</x:v>
      </x:c>
      <x:c r="J292" s="23" t="str">
        <x:v>平坦牽引</x:v>
      </x:c>
      <x:c r="K292" s="23" t="str">
        <x:v>トレイン加速</x:v>
      </x:c>
      <x:c r="L292" s="23" t="str">
        <x:v>高速リードアウト</x:v>
      </x:c>
      <x:c r="M292" s="23" t="str">
        <x:v>最終発射</x:v>
      </x:c>
    </x:row>
    <x:row r="293" ht="40" customHeight="1">
      <x:c r="A293" s="23" t="str">
        <x:v>現役</x:v>
      </x:c>
      <x:c r="B293" s="26" t="n">
        <x:v>289</x:v>
      </x:c>
      <x:c r="C293" s="23" t="str">
        <x:v>Marc Soler</x:v>
      </x:c>
      <x:c r="D293" s="23" t="str">
        <x:v>クライマー</x:v>
      </x:c>
      <x:c r="E293" s="23" t="str">
        <x:v>総合型</x:v>
      </x:c>
      <x:c r="F293" s="23" t="str">
        <x:v>アシスト型</x:v>
      </x:c>
      <x:c r="G293" s="23" t="str">
        <x:v>山岳賞ハンター / 山岳アシスト / 集団コントローラー</x:v>
      </x:c>
      <x:c r="H293" s="23" t="str">
        <x:v>山岳ガード</x:v>
      </x:c>
      <x:c r="I293" s="23" t="str">
        <x:v>山岳牽引</x:v>
      </x:c>
      <x:c r="J293" s="23" t="str">
        <x:v>山岳番手</x:v>
      </x:c>
      <x:c r="K293" s="23" t="str">
        <x:v>登坂チェイス</x:v>
      </x:c>
      <x:c r="L293" s="23" t="str">
        <x:v>山岳先導</x:v>
      </x:c>
      <x:c r="M293" s="23" t="str">
        <x:v>山岳救援</x:v>
      </x:c>
    </x:row>
    <x:row r="294" ht="40" customHeight="1">
      <x:c r="A294" s="23" t="str">
        <x:v>現役</x:v>
      </x:c>
      <x:c r="B294" s="26" t="n">
        <x:v>290</x:v>
      </x:c>
      <x:c r="C294" s="23" t="str">
        <x:v>Edward Theuns</x:v>
      </x:c>
      <x:c r="D294" s="23" t="str">
        <x:v>スプリンター</x:v>
      </x:c>
      <x:c r="E294" s="23" t="str">
        <x:v>TT・ルーラー型</x:v>
      </x:c>
      <x:c r="F294" s="23" t="str">
        <x:v>アシスト型</x:v>
      </x:c>
      <x:c r="G294" s="23" t="str">
        <x:v>リードアウト / 最終発射台 / スプリントトレイン</x:v>
      </x:c>
      <x:c r="H294" s="23" t="str">
        <x:v>前方誘導</x:v>
      </x:c>
      <x:c r="I294" s="23" t="str">
        <x:v>位置引き上げ</x:v>
      </x:c>
      <x:c r="J294" s="23" t="str">
        <x:v>平坦牽引</x:v>
      </x:c>
      <x:c r="K294" s="23" t="str">
        <x:v>トレイン加速</x:v>
      </x:c>
      <x:c r="L294" s="23" t="str">
        <x:v>高速リードアウト</x:v>
      </x:c>
      <x:c r="M294" s="23" t="str">
        <x:v>最終発射</x:v>
      </x:c>
    </x:row>
    <x:row r="295" ht="40" customHeight="1">
      <x:c r="A295" s="23" t="str">
        <x:v>現役</x:v>
      </x:c>
      <x:c r="B295" s="26" t="n">
        <x:v>291</x:v>
      </x:c>
      <x:c r="C295" s="23" t="str">
        <x:v>Bert Van Lerberghe</x:v>
      </x:c>
      <x:c r="D295" s="23" t="str">
        <x:v>スプリンター</x:v>
      </x:c>
      <x:c r="E295" s="23" t="str">
        <x:v>TT・ルーラー型</x:v>
      </x:c>
      <x:c r="F295" s="23" t="str">
        <x:v>アシスト型</x:v>
      </x:c>
      <x:c r="G295" s="23" t="str">
        <x:v>リードアウト / 最終発射台 / スプリントトレイン</x:v>
      </x:c>
      <x:c r="H295" s="23" t="str">
        <x:v>前方誘導</x:v>
      </x:c>
      <x:c r="I295" s="23" t="str">
        <x:v>平坦牽引</x:v>
      </x:c>
      <x:c r="J295" s="23" t="str">
        <x:v>位置引き上げ</x:v>
      </x:c>
      <x:c r="K295" s="23" t="str">
        <x:v>トレイン加速</x:v>
      </x:c>
      <x:c r="L295" s="23" t="str">
        <x:v>高速リードアウト</x:v>
      </x:c>
      <x:c r="M295" s="23" t="str">
        <x:v>最終発射</x:v>
      </x:c>
    </x:row>
    <x:row r="296" ht="40" customHeight="1">
      <x:c r="A296" s="23" t="str">
        <x:v>現役</x:v>
      </x:c>
      <x:c r="B296" s="26" t="n">
        <x:v>292</x:v>
      </x:c>
      <x:c r="C296" s="23" t="str">
        <x:v>Nikias Arndt</x:v>
      </x:c>
      <x:c r="D296" s="23" t="str">
        <x:v>スプリンター</x:v>
      </x:c>
      <x:c r="E296" s="23" t="str">
        <x:v>TT・ルーラー型</x:v>
      </x:c>
      <x:c r="F296" s="23" t="str">
        <x:v>アシスト型</x:v>
      </x:c>
      <x:c r="G296" s="23" t="str">
        <x:v>リードアウト / 最終発射台 / スプリントトレイン</x:v>
      </x:c>
      <x:c r="H296" s="23" t="str">
        <x:v>前方誘導</x:v>
      </x:c>
      <x:c r="I296" s="23" t="str">
        <x:v>位置引き上げ</x:v>
      </x:c>
      <x:c r="J296" s="23" t="str">
        <x:v>平坦牽引</x:v>
      </x:c>
      <x:c r="K296" s="23" t="str">
        <x:v>トレイン加速</x:v>
      </x:c>
      <x:c r="L296" s="23" t="str">
        <x:v>高速リードアウト</x:v>
      </x:c>
      <x:c r="M296" s="23" t="str">
        <x:v>最終発射</x:v>
      </x:c>
    </x:row>
    <x:row r="297" ht="40" customHeight="1">
      <x:c r="A297" s="23" t="str">
        <x:v>現役</x:v>
      </x:c>
      <x:c r="B297" s="26" t="n">
        <x:v>293</x:v>
      </x:c>
      <x:c r="C297" s="23" t="str">
        <x:v>Yves Lampaert</x:v>
      </x:c>
      <x:c r="D297" s="23" t="str">
        <x:v>TT・ルーラー型</x:v>
      </x:c>
      <x:c r="E297" s="23" t="str">
        <x:v>クラシック型</x:v>
      </x:c>
      <x:c r="F297" s="23" t="str">
        <x:v>アシスト型</x:v>
      </x:c>
      <x:c r="G297" s="23" t="str">
        <x:v>平坦アシスト / TT牽引 / 石畳護衛</x:v>
      </x:c>
      <x:c r="H297" s="23" t="str">
        <x:v>平坦牽引</x:v>
      </x:c>
      <x:c r="I297" s="23" t="str">
        <x:v>風よけ</x:v>
      </x:c>
      <x:c r="J297" s="23" t="str">
        <x:v>パヴェ護衛</x:v>
      </x:c>
      <x:c r="K297" s="23" t="str">
        <x:v>ローテーション牽引</x:v>
      </x:c>
      <x:c r="L297" s="23" t="str">
        <x:v>高速牽引</x:v>
      </x:c>
      <x:c r="M297" s="23" t="str">
        <x:v>全開牽引</x:v>
      </x:c>
    </x:row>
    <x:row r="298" ht="40" customHeight="1">
      <x:c r="A298" s="23" t="str">
        <x:v>現役</x:v>
      </x:c>
      <x:c r="B298" s="26" t="n">
        <x:v>294</x:v>
      </x:c>
      <x:c r="C298" s="23" t="str">
        <x:v>Jan Tratnik</x:v>
      </x:c>
      <x:c r="D298" s="23" t="str">
        <x:v>TT・ルーラー型</x:v>
      </x:c>
      <x:c r="E298" s="23" t="str">
        <x:v>総合型</x:v>
      </x:c>
      <x:c r="F298" s="23" t="str">
        <x:v>アシスト型</x:v>
      </x:c>
      <x:c r="G298" s="23" t="str">
        <x:v>ロードキャプテン / 平坦アシスト / 平坦ペースメーカー</x:v>
      </x:c>
      <x:c r="H298" s="23" t="str">
        <x:v>平坦牽引</x:v>
      </x:c>
      <x:c r="I298" s="23" t="str">
        <x:v>風よけ</x:v>
      </x:c>
      <x:c r="J298" s="23" t="str">
        <x:v>トラブル復帰</x:v>
      </x:c>
      <x:c r="K298" s="23" t="str">
        <x:v>ローテーション牽引</x:v>
      </x:c>
      <x:c r="L298" s="23" t="str">
        <x:v>高速牽引</x:v>
      </x:c>
      <x:c r="M298" s="23" t="str">
        <x:v>全開牽引</x:v>
      </x:c>
    </x:row>
    <x:row r="299" ht="40" customHeight="1">
      <x:c r="A299" s="23" t="str">
        <x:v>現役</x:v>
      </x:c>
      <x:c r="B299" s="26" t="n">
        <x:v>295</x:v>
      </x:c>
      <x:c r="C299" s="23" t="str">
        <x:v>Mikel Landa</x:v>
      </x:c>
      <x:c r="D299" s="23" t="str">
        <x:v>クライマー</x:v>
      </x:c>
      <x:c r="E299" s="23" t="str">
        <x:v>総合型</x:v>
      </x:c>
      <x:c r="F299" s="23" t="str">
        <x:v>アシスト型</x:v>
      </x:c>
      <x:c r="G299" s="23" t="str">
        <x:v>山岳賞ハンター / 山岳アシスト / 山岳ペースメーカー</x:v>
      </x:c>
      <x:c r="H299" s="23" t="str">
        <x:v>山岳ガード</x:v>
      </x:c>
      <x:c r="I299" s="23" t="str">
        <x:v>山岳牽引</x:v>
      </x:c>
      <x:c r="J299" s="23" t="str">
        <x:v>山岳番手</x:v>
      </x:c>
      <x:c r="K299" s="23" t="str">
        <x:v>登坂チェイス</x:v>
      </x:c>
      <x:c r="L299" s="23" t="str">
        <x:v>山岳先導</x:v>
      </x:c>
      <x:c r="M299" s="23" t="str">
        <x:v>山岳救援</x:v>
      </x:c>
    </x:row>
    <x:row r="300" ht="40" customHeight="1">
      <x:c r="A300" s="23" t="str">
        <x:v>現役</x:v>
      </x:c>
      <x:c r="B300" s="26" t="n">
        <x:v>296</x:v>
      </x:c>
      <x:c r="C300" s="23" t="str">
        <x:v>Jasper De Buyst</x:v>
      </x:c>
      <x:c r="D300" s="23" t="str">
        <x:v>スプリンター</x:v>
      </x:c>
      <x:c r="E300" s="23" t="str">
        <x:v>TT・ルーラー型</x:v>
      </x:c>
      <x:c r="F300" s="23" t="str">
        <x:v>アシスト型</x:v>
      </x:c>
      <x:c r="G300" s="23" t="str">
        <x:v>リードアウト / 最終発射台 / スプリントトレイン</x:v>
      </x:c>
      <x:c r="H300" s="23" t="str">
        <x:v>位置引き上げ</x:v>
      </x:c>
      <x:c r="I300" s="23" t="str">
        <x:v>前方誘導</x:v>
      </x:c>
      <x:c r="J300" s="23" t="str">
        <x:v>平坦牽引</x:v>
      </x:c>
      <x:c r="K300" s="23" t="str">
        <x:v>トレイン加速</x:v>
      </x:c>
      <x:c r="L300" s="23" t="str">
        <x:v>高速リードアウト</x:v>
      </x:c>
      <x:c r="M300" s="23" t="str">
        <x:v>最終発射</x:v>
      </x:c>
    </x:row>
    <x:row r="301" ht="40" customHeight="1">
      <x:c r="A301" s="23" t="str">
        <x:v>現役</x:v>
      </x:c>
      <x:c r="B301" s="26" t="n">
        <x:v>297</x:v>
      </x:c>
      <x:c r="C301" s="23" t="str">
        <x:v>Mikkel Bjerg</x:v>
      </x:c>
      <x:c r="D301" s="23" t="str">
        <x:v>TT・ルーラー型</x:v>
      </x:c>
      <x:c r="E301" s="23" t="str">
        <x:v>クラシック型</x:v>
      </x:c>
      <x:c r="F301" s="23" t="str">
        <x:v>アシスト型</x:v>
      </x:c>
      <x:c r="G301" s="23" t="str">
        <x:v>平坦アシスト / TT牽引 / 集団コントローラー</x:v>
      </x:c>
      <x:c r="H301" s="23" t="str">
        <x:v>平坦牽引</x:v>
      </x:c>
      <x:c r="I301" s="23" t="str">
        <x:v>風よけ</x:v>
      </x:c>
      <x:c r="J301" s="23" t="str">
        <x:v>前方誘導</x:v>
      </x:c>
      <x:c r="K301" s="23" t="str">
        <x:v>ローテーション牽引</x:v>
      </x:c>
      <x:c r="L301" s="23" t="str">
        <x:v>高速牽引</x:v>
      </x:c>
      <x:c r="M301" s="23" t="str">
        <x:v>全開牽引</x:v>
      </x:c>
    </x:row>
    <x:row r="302" ht="40" customHeight="1">
      <x:c r="A302" s="23" t="str">
        <x:v>現役</x:v>
      </x:c>
      <x:c r="B302" s="26" t="n">
        <x:v>298</x:v>
      </x:c>
      <x:c r="C302" s="23" t="str">
        <x:v>Luke Durbridge</x:v>
      </x:c>
      <x:c r="D302" s="23" t="str">
        <x:v>TT・ルーラー型</x:v>
      </x:c>
      <x:c r="E302" s="23" t="str">
        <x:v>クラシック型</x:v>
      </x:c>
      <x:c r="F302" s="23" t="str">
        <x:v>アシスト型</x:v>
      </x:c>
      <x:c r="G302" s="23" t="str">
        <x:v>平坦アシスト / 平坦ペースメーカー / TT牽引</x:v>
      </x:c>
      <x:c r="H302" s="23" t="str">
        <x:v>平坦牽引</x:v>
      </x:c>
      <x:c r="I302" s="23" t="str">
        <x:v>風よけ</x:v>
      </x:c>
      <x:c r="J302" s="23" t="str">
        <x:v>トラブル復帰</x:v>
      </x:c>
      <x:c r="K302" s="23" t="str">
        <x:v>ローテーション牽引</x:v>
      </x:c>
      <x:c r="L302" s="23" t="str">
        <x:v>高速牽引</x:v>
      </x:c>
      <x:c r="M302" s="23" t="str">
        <x:v>全開牽引</x:v>
      </x:c>
    </x:row>
    <x:row r="303" ht="40" customHeight="1">
      <x:c r="A303" s="23" t="str">
        <x:v>現役</x:v>
      </x:c>
      <x:c r="B303" s="26" t="n">
        <x:v>299</x:v>
      </x:c>
      <x:c r="C303" s="23" t="str">
        <x:v>Vegard Stake Laengen</x:v>
      </x:c>
      <x:c r="D303" s="23" t="str">
        <x:v>TT・ルーラー型</x:v>
      </x:c>
      <x:c r="E303" s="23" t="str">
        <x:v>クラシック型</x:v>
      </x:c>
      <x:c r="F303" s="23" t="str">
        <x:v>アシスト型</x:v>
      </x:c>
      <x:c r="G303" s="23" t="str">
        <x:v>平坦アシスト / TT牽引 / 集団コントローラー</x:v>
      </x:c>
      <x:c r="H303" s="23" t="str">
        <x:v>平坦牽引</x:v>
      </x:c>
      <x:c r="I303" s="23" t="str">
        <x:v>風よけ</x:v>
      </x:c>
      <x:c r="J303" s="23" t="str">
        <x:v>前方誘導</x:v>
      </x:c>
      <x:c r="K303" s="23" t="str">
        <x:v>ローテーション牽引</x:v>
      </x:c>
      <x:c r="L303" s="23" t="str">
        <x:v>高速牽引</x:v>
      </x:c>
      <x:c r="M303" s="23" t="str">
        <x:v>全開牽引</x:v>
      </x:c>
    </x:row>
    <x:row r="304" ht="40" customHeight="1">
      <x:c r="A304" s="23" t="str">
        <x:v>現役</x:v>
      </x:c>
      <x:c r="B304" s="26" t="n">
        <x:v>300</x:v>
      </x:c>
      <x:c r="C304" s="23" t="str">
        <x:v>Kasper Asgreen</x:v>
      </x:c>
      <x:c r="D304" s="23" t="str">
        <x:v>TT・ルーラー型</x:v>
      </x:c>
      <x:c r="E304" s="23" t="str">
        <x:v>クラシック型</x:v>
      </x:c>
      <x:c r="F304" s="23" t="str">
        <x:v>アシスト型</x:v>
      </x:c>
      <x:c r="G304" s="23" t="str">
        <x:v>平坦アシスト / TT牽引 / ブレイクアウェイキラー</x:v>
      </x:c>
      <x:c r="H304" s="23" t="str">
        <x:v>平坦牽引</x:v>
      </x:c>
      <x:c r="I304" s="23" t="str">
        <x:v>風よけ</x:v>
      </x:c>
      <x:c r="J304" s="23" t="str">
        <x:v>パヴェ護衛</x:v>
      </x:c>
      <x:c r="K304" s="23" t="str">
        <x:v>逃げ吸収</x:v>
      </x:c>
      <x:c r="L304" s="23" t="str">
        <x:v>ローテーション牽引</x:v>
      </x:c>
      <x:c r="M304" s="23" t="str">
        <x:v>完全吸収</x:v>
      </x:c>
    </x:row>
    <x:row r="305" ht="40" customHeight="1">
      <x:c r="A305" s="23" t="str">
        <x:v>引退</x:v>
      </x:c>
      <x:c r="B305" s="26" t="n">
        <x:v>1</x:v>
      </x:c>
      <x:c r="C305" s="23" t="str">
        <x:v>Miguel Indurain</x:v>
      </x:c>
      <x:c r="D305" s="23" t="str">
        <x:v>総合型</x:v>
      </x:c>
      <x:c r="E305" s="23" t="str">
        <x:v>クライマー</x:v>
      </x:c>
      <x:c r="F305" s="23" t="str">
        <x:v>エース型</x:v>
      </x:c>
      <x:c r="G305" s="23" t="str">
        <x:v>総合エース / 山岳賞ハンター / 山岳番手</x:v>
      </x:c>
      <x:c r="H305" s="23" t="str">
        <x:v>急勾配対応</x:v>
      </x:c>
      <x:c r="I305" s="23" t="str">
        <x:v>登坂リズム</x:v>
      </x:c>
      <x:c r="J305" s="23" t="str">
        <x:v>山岳待機</x:v>
      </x:c>
      <x:c r="K305" s="23" t="str">
        <x:v>登坂ペースアップ</x:v>
      </x:c>
      <x:c r="L305" s="23" t="str">
        <x:v>最後の山岳牽引</x:v>
      </x:c>
      <x:c r="M305" s="23" t="str">
        <x:v>山岳決戦</x:v>
      </x:c>
    </x:row>
    <x:row r="306" ht="40" customHeight="1">
      <x:c r="A306" s="23" t="str">
        <x:v>引退</x:v>
      </x:c>
      <x:c r="B306" s="26" t="n">
        <x:v>2</x:v>
      </x:c>
      <x:c r="C306" s="23" t="str">
        <x:v>Chris Froome</x:v>
      </x:c>
      <x:c r="D306" s="23" t="str">
        <x:v>総合型</x:v>
      </x:c>
      <x:c r="E306" s="23" t="str">
        <x:v>クライマー</x:v>
      </x:c>
      <x:c r="F306" s="23" t="str">
        <x:v>エース型</x:v>
      </x:c>
      <x:c r="G306" s="23" t="str">
        <x:v>総合エース / 山岳賞ハンター / 山岳番手</x:v>
      </x:c>
      <x:c r="H306" s="23" t="str">
        <x:v>急勾配対応</x:v>
      </x:c>
      <x:c r="I306" s="23" t="str">
        <x:v>登坂リズム</x:v>
      </x:c>
      <x:c r="J306" s="23" t="str">
        <x:v>山岳待機</x:v>
      </x:c>
      <x:c r="K306" s="23" t="str">
        <x:v>登坂ペースアップ</x:v>
      </x:c>
      <x:c r="L306" s="23" t="str">
        <x:v>最後の山岳牽引</x:v>
      </x:c>
      <x:c r="M306" s="23" t="str">
        <x:v>山岳決戦</x:v>
      </x:c>
    </x:row>
    <x:row r="307" ht="40" customHeight="1">
      <x:c r="A307" s="23" t="str">
        <x:v>引退</x:v>
      </x:c>
      <x:c r="B307" s="26" t="n">
        <x:v>3</x:v>
      </x:c>
      <x:c r="C307" s="23" t="str">
        <x:v>Roberto Heras</x:v>
      </x:c>
      <x:c r="D307" s="23" t="str">
        <x:v>総合型</x:v>
      </x:c>
      <x:c r="E307" s="23" t="str">
        <x:v>クライマー</x:v>
      </x:c>
      <x:c r="F307" s="23" t="str">
        <x:v>エース型</x:v>
      </x:c>
      <x:c r="G307" s="23" t="str">
        <x:v>総合エース / 山岳賞ハンター / 山岳番手</x:v>
      </x:c>
      <x:c r="H307" s="23" t="str">
        <x:v>急勾配対応</x:v>
      </x:c>
      <x:c r="I307" s="23" t="str">
        <x:v>登坂リズム</x:v>
      </x:c>
      <x:c r="J307" s="23" t="str">
        <x:v>山岳待機</x:v>
      </x:c>
      <x:c r="K307" s="23" t="str">
        <x:v>登坂ペースアップ</x:v>
      </x:c>
      <x:c r="L307" s="23" t="str">
        <x:v>最後の山岳牽引</x:v>
      </x:c>
      <x:c r="M307" s="23" t="str">
        <x:v>山岳決戦</x:v>
      </x:c>
    </x:row>
    <x:row r="308" ht="40" customHeight="1">
      <x:c r="A308" s="23" t="str">
        <x:v>引退</x:v>
      </x:c>
      <x:c r="B308" s="26" t="n">
        <x:v>4</x:v>
      </x:c>
      <x:c r="C308" s="23" t="str">
        <x:v>Alberto Contador</x:v>
      </x:c>
      <x:c r="D308" s="23" t="str">
        <x:v>総合型</x:v>
      </x:c>
      <x:c r="E308" s="23" t="str">
        <x:v>クライマー</x:v>
      </x:c>
      <x:c r="F308" s="23" t="str">
        <x:v>エース型</x:v>
      </x:c>
      <x:c r="G308" s="23" t="str">
        <x:v>総合エース / 山岳賞ハンター / 山岳番手</x:v>
      </x:c>
      <x:c r="H308" s="23" t="str">
        <x:v>急勾配対応</x:v>
      </x:c>
      <x:c r="I308" s="23" t="str">
        <x:v>登坂リズム</x:v>
      </x:c>
      <x:c r="J308" s="23" t="str">
        <x:v>山岳待機</x:v>
      </x:c>
      <x:c r="K308" s="23" t="str">
        <x:v>登坂ペースアップ</x:v>
      </x:c>
      <x:c r="L308" s="23" t="str">
        <x:v>最後の山岳牽引</x:v>
      </x:c>
      <x:c r="M308" s="23" t="str">
        <x:v>山岳決戦</x:v>
      </x:c>
    </x:row>
    <x:row r="309" ht="40" customHeight="1">
      <x:c r="A309" s="23" t="str">
        <x:v>引退</x:v>
      </x:c>
      <x:c r="B309" s="26" t="n">
        <x:v>5</x:v>
      </x:c>
      <x:c r="C309" s="23" t="str">
        <x:v>Vincenzo Nibali</x:v>
      </x:c>
      <x:c r="D309" s="23" t="str">
        <x:v>総合型</x:v>
      </x:c>
      <x:c r="E309" s="23" t="str">
        <x:v>クライマー</x:v>
      </x:c>
      <x:c r="F309" s="23" t="str">
        <x:v>エース型</x:v>
      </x:c>
      <x:c r="G309" s="23" t="str">
        <x:v>総合エース / 山岳賞ハンター / 山岳番手</x:v>
      </x:c>
      <x:c r="H309" s="23" t="str">
        <x:v>急勾配対応</x:v>
      </x:c>
      <x:c r="I309" s="23" t="str">
        <x:v>登坂リズム</x:v>
      </x:c>
      <x:c r="J309" s="23" t="str">
        <x:v>山岳待機</x:v>
      </x:c>
      <x:c r="K309" s="23" t="str">
        <x:v>登坂ペースアップ</x:v>
      </x:c>
      <x:c r="L309" s="23" t="str">
        <x:v>最後の山岳牽引</x:v>
      </x:c>
      <x:c r="M309" s="23" t="str">
        <x:v>山岳決戦</x:v>
      </x:c>
    </x:row>
    <x:row r="310" ht="40" customHeight="1">
      <x:c r="A310" s="23" t="str">
        <x:v>引退</x:v>
      </x:c>
      <x:c r="B310" s="26" t="n">
        <x:v>6</x:v>
      </x:c>
      <x:c r="C310" s="23" t="str">
        <x:v>Andre Greipel</x:v>
      </x:c>
      <x:c r="D310" s="23" t="str">
        <x:v>スプリンター</x:v>
      </x:c>
      <x:c r="E310" s="23" t="str">
        <x:v>クラシック型</x:v>
      </x:c>
      <x:c r="F310" s="23" t="str">
        <x:v>エース型</x:v>
      </x:c>
      <x:c r="G310" s="23" t="str">
        <x:v>スプリントエース / ステージハンター / リードアウト</x:v>
      </x:c>
      <x:c r="H310" s="23" t="str">
        <x:v>車輪キープ</x:v>
      </x:c>
      <x:c r="I310" s="23" t="str">
        <x:v>ポジション確保</x:v>
      </x:c>
      <x:c r="J310" s="23" t="str">
        <x:v>巡航温存</x:v>
      </x:c>
      <x:c r="K310" s="23" t="str">
        <x:v>高速リードアウト</x:v>
      </x:c>
      <x:c r="L310" s="23" t="str">
        <x:v>平坦カウンター</x:v>
      </x:c>
      <x:c r="M310" s="23" t="str">
        <x:v>スプリント決戦</x:v>
      </x:c>
    </x:row>
    <x:row r="311" ht="40" customHeight="1">
      <x:c r="A311" s="23" t="str">
        <x:v>引退</x:v>
      </x:c>
      <x:c r="B311" s="26" t="n">
        <x:v>7</x:v>
      </x:c>
      <x:c r="C311" s="23" t="str">
        <x:v>Jan Ullrich</x:v>
      </x:c>
      <x:c r="D311" s="23" t="str">
        <x:v>総合型</x:v>
      </x:c>
      <x:c r="E311" s="23" t="str">
        <x:v>クライマー</x:v>
      </x:c>
      <x:c r="F311" s="23" t="str">
        <x:v>エース型</x:v>
      </x:c>
      <x:c r="G311" s="23" t="str">
        <x:v>総合エース / 山岳賞ハンター / TTスペシャリスト</x:v>
      </x:c>
      <x:c r="H311" s="23" t="str">
        <x:v>急勾配対応</x:v>
      </x:c>
      <x:c r="I311" s="23" t="str">
        <x:v>登坂リズム</x:v>
      </x:c>
      <x:c r="J311" s="23" t="str">
        <x:v>山岳待機</x:v>
      </x:c>
      <x:c r="K311" s="23" t="str">
        <x:v>登坂ペースアップ</x:v>
      </x:c>
      <x:c r="L311" s="23" t="str">
        <x:v>頂上前加速</x:v>
      </x:c>
      <x:c r="M311" s="23" t="str">
        <x:v>山岳決戦</x:v>
      </x:c>
    </x:row>
    <x:row r="312" ht="40" customHeight="1">
      <x:c r="A312" s="23" t="str">
        <x:v>引退</x:v>
      </x:c>
      <x:c r="B312" s="26" t="n">
        <x:v>8</x:v>
      </x:c>
      <x:c r="C312" s="23" t="str">
        <x:v>Alex Zulle</x:v>
      </x:c>
      <x:c r="D312" s="23" t="str">
        <x:v>総合型</x:v>
      </x:c>
      <x:c r="E312" s="23" t="str">
        <x:v>TT・ルーラー型</x:v>
      </x:c>
      <x:c r="F312" s="23" t="str">
        <x:v>エース型</x:v>
      </x:c>
      <x:c r="G312" s="23" t="str">
        <x:v>総合エース / TTスペシャリスト / 集団コントローラー</x:v>
      </x:c>
      <x:c r="H312" s="23" t="str">
        <x:v>急勾配対応</x:v>
      </x:c>
      <x:c r="I312" s="23" t="str">
        <x:v>登坂リズム</x:v>
      </x:c>
      <x:c r="J312" s="23" t="str">
        <x:v>山岳待機</x:v>
      </x:c>
      <x:c r="K312" s="23" t="str">
        <x:v>登坂ペースアップ</x:v>
      </x:c>
      <x:c r="L312" s="23" t="str">
        <x:v>頂上前加速</x:v>
      </x:c>
      <x:c r="M312" s="23" t="str">
        <x:v>山岳決戦</x:v>
      </x:c>
    </x:row>
    <x:row r="313" ht="40" customHeight="1">
      <x:c r="A313" s="23" t="str">
        <x:v>引退</x:v>
      </x:c>
      <x:c r="B313" s="26" t="n">
        <x:v>9</x:v>
      </x:c>
      <x:c r="C313" s="23" t="str">
        <x:v>Denis Menchov</x:v>
      </x:c>
      <x:c r="D313" s="23" t="str">
        <x:v>総合型</x:v>
      </x:c>
      <x:c r="E313" s="23" t="str">
        <x:v>TT・ルーラー型</x:v>
      </x:c>
      <x:c r="F313" s="23" t="str">
        <x:v>エース型</x:v>
      </x:c>
      <x:c r="G313" s="23" t="str">
        <x:v>総合エース / 山岳番手 / 集団コントローラー</x:v>
      </x:c>
      <x:c r="H313" s="23" t="str">
        <x:v>急勾配対応</x:v>
      </x:c>
      <x:c r="I313" s="23" t="str">
        <x:v>登坂リズム</x:v>
      </x:c>
      <x:c r="J313" s="23" t="str">
        <x:v>山岳待機</x:v>
      </x:c>
      <x:c r="K313" s="23" t="str">
        <x:v>登坂ペースアップ</x:v>
      </x:c>
      <x:c r="L313" s="23" t="str">
        <x:v>最後の山岳牽引</x:v>
      </x:c>
      <x:c r="M313" s="23" t="str">
        <x:v>山岳決戦</x:v>
      </x:c>
    </x:row>
    <x:row r="314" ht="40" customHeight="1">
      <x:c r="A314" s="23" t="str">
        <x:v>引退</x:v>
      </x:c>
      <x:c r="B314" s="26" t="n">
        <x:v>10</x:v>
      </x:c>
      <x:c r="C314" s="23" t="str">
        <x:v>Gilberto Simoni</x:v>
      </x:c>
      <x:c r="D314" s="23" t="str">
        <x:v>総合型</x:v>
      </x:c>
      <x:c r="E314" s="23" t="str">
        <x:v>クライマー</x:v>
      </x:c>
      <x:c r="F314" s="23" t="str">
        <x:v>エース型</x:v>
      </x:c>
      <x:c r="G314" s="23" t="str">
        <x:v>総合エース / 山岳賞ハンター / 山岳番手</x:v>
      </x:c>
      <x:c r="H314" s="23" t="str">
        <x:v>急勾配対応</x:v>
      </x:c>
      <x:c r="I314" s="23" t="str">
        <x:v>登坂リズム</x:v>
      </x:c>
      <x:c r="J314" s="23" t="str">
        <x:v>山岳待機</x:v>
      </x:c>
      <x:c r="K314" s="23" t="str">
        <x:v>登坂ペースアップ</x:v>
      </x:c>
      <x:c r="L314" s="23" t="str">
        <x:v>最後の山岳牽引</x:v>
      </x:c>
      <x:c r="M314" s="23" t="str">
        <x:v>山岳決戦</x:v>
      </x:c>
    </x:row>
    <x:row r="315" ht="40" customHeight="1">
      <x:c r="A315" s="23" t="str">
        <x:v>引退</x:v>
      </x:c>
      <x:c r="B315" s="26" t="n">
        <x:v>11</x:v>
      </x:c>
      <x:c r="C315" s="23" t="str">
        <x:v>Marco Pantani</x:v>
      </x:c>
      <x:c r="D315" s="23" t="str">
        <x:v>クライマー</x:v>
      </x:c>
      <x:c r="E315" s="23" t="str">
        <x:v>パンチャー</x:v>
      </x:c>
      <x:c r="F315" s="23" t="str">
        <x:v>エース型</x:v>
      </x:c>
      <x:c r="G315" s="23" t="str">
        <x:v>山岳エース / 下り牽引 / 山岳賞ハンター</x:v>
      </x:c>
      <x:c r="H315" s="23" t="str">
        <x:v>急勾配対応</x:v>
      </x:c>
      <x:c r="I315" s="23" t="str">
        <x:v>登坂リズム</x:v>
      </x:c>
      <x:c r="J315" s="23" t="str">
        <x:v>山岳待機</x:v>
      </x:c>
      <x:c r="K315" s="23" t="str">
        <x:v>登坂ペースアップ</x:v>
      </x:c>
      <x:c r="L315" s="23" t="str">
        <x:v>頂上前加速</x:v>
      </x:c>
      <x:c r="M315" s="23" t="str">
        <x:v>山岳決戦</x:v>
      </x:c>
    </x:row>
    <x:row r="316" ht="40" customHeight="1">
      <x:c r="A316" s="23" t="str">
        <x:v>引退</x:v>
      </x:c>
      <x:c r="B316" s="26" t="n">
        <x:v>12</x:v>
      </x:c>
      <x:c r="C316" s="23" t="str">
        <x:v>Simon Yates</x:v>
      </x:c>
      <x:c r="D316" s="23" t="str">
        <x:v>総合型</x:v>
      </x:c>
      <x:c r="E316" s="23" t="str">
        <x:v>クライマー</x:v>
      </x:c>
      <x:c r="F316" s="23" t="str">
        <x:v>エース型</x:v>
      </x:c>
      <x:c r="G316" s="23" t="str">
        <x:v>総合エース / 山岳賞ハンター / 山岳番手</x:v>
      </x:c>
      <x:c r="H316" s="23" t="str">
        <x:v>急勾配対応</x:v>
      </x:c>
      <x:c r="I316" s="23" t="str">
        <x:v>登坂リズム</x:v>
      </x:c>
      <x:c r="J316" s="23" t="str">
        <x:v>山岳待機</x:v>
      </x:c>
      <x:c r="K316" s="23" t="str">
        <x:v>登坂ペースアップ</x:v>
      </x:c>
      <x:c r="L316" s="23" t="str">
        <x:v>最後の山岳牽引</x:v>
      </x:c>
      <x:c r="M316" s="23" t="str">
        <x:v>山岳決戦</x:v>
      </x:c>
    </x:row>
    <x:row r="317" ht="40" customHeight="1">
      <x:c r="A317" s="23" t="str">
        <x:v>引退</x:v>
      </x:c>
      <x:c r="B317" s="26" t="n">
        <x:v>13</x:v>
      </x:c>
      <x:c r="C317" s="23" t="str">
        <x:v>Ivan Basso</x:v>
      </x:c>
      <x:c r="D317" s="23" t="str">
        <x:v>総合型</x:v>
      </x:c>
      <x:c r="E317" s="23" t="str">
        <x:v>クライマー</x:v>
      </x:c>
      <x:c r="F317" s="23" t="str">
        <x:v>エース型</x:v>
      </x:c>
      <x:c r="G317" s="23" t="str">
        <x:v>総合エース / 山岳賞ハンター / 山岳番手</x:v>
      </x:c>
      <x:c r="H317" s="23" t="str">
        <x:v>急勾配対応</x:v>
      </x:c>
      <x:c r="I317" s="23" t="str">
        <x:v>登坂リズム</x:v>
      </x:c>
      <x:c r="J317" s="23" t="str">
        <x:v>山岳待機</x:v>
      </x:c>
      <x:c r="K317" s="23" t="str">
        <x:v>登坂ペースアップ</x:v>
      </x:c>
      <x:c r="L317" s="23" t="str">
        <x:v>最後の山岳牽引</x:v>
      </x:c>
      <x:c r="M317" s="23" t="str">
        <x:v>山岳決戦</x:v>
      </x:c>
    </x:row>
    <x:row r="318" ht="40" customHeight="1">
      <x:c r="A318" s="23" t="str">
        <x:v>引退</x:v>
      </x:c>
      <x:c r="B318" s="26" t="n">
        <x:v>14</x:v>
      </x:c>
      <x:c r="C318" s="23" t="str">
        <x:v>Alessandro Petacchi</x:v>
      </x:c>
      <x:c r="D318" s="23" t="str">
        <x:v>スプリンター</x:v>
      </x:c>
      <x:c r="E318" s="23" t="str">
        <x:v>クラシック型</x:v>
      </x:c>
      <x:c r="F318" s="23" t="str">
        <x:v>エース型</x:v>
      </x:c>
      <x:c r="G318" s="23" t="str">
        <x:v>スプリントエース / リードアウト / 最終発射台</x:v>
      </x:c>
      <x:c r="H318" s="23" t="str">
        <x:v>車輪キープ</x:v>
      </x:c>
      <x:c r="I318" s="23" t="str">
        <x:v>ポジション確保</x:v>
      </x:c>
      <x:c r="J318" s="23" t="str">
        <x:v>巡航温存</x:v>
      </x:c>
      <x:c r="K318" s="23" t="str">
        <x:v>高速リードアウト</x:v>
      </x:c>
      <x:c r="L318" s="23" t="str">
        <x:v>平坦カウンター</x:v>
      </x:c>
      <x:c r="M318" s="23" t="str">
        <x:v>スプリント決戦</x:v>
      </x:c>
    </x:row>
    <x:row r="319" ht="40" customHeight="1">
      <x:c r="A319" s="23" t="str">
        <x:v>引退</x:v>
      </x:c>
      <x:c r="B319" s="26" t="n">
        <x:v>15</x:v>
      </x:c>
      <x:c r="C319" s="23" t="str">
        <x:v>Mario Cipollini</x:v>
      </x:c>
      <x:c r="D319" s="23" t="str">
        <x:v>スプリンター</x:v>
      </x:c>
      <x:c r="E319" s="23" t="str">
        <x:v>クラシック型</x:v>
      </x:c>
      <x:c r="F319" s="23" t="str">
        <x:v>エース型</x:v>
      </x:c>
      <x:c r="G319" s="23" t="str">
        <x:v>スプリントエース / リードアウト / 最終発射台</x:v>
      </x:c>
      <x:c r="H319" s="23" t="str">
        <x:v>車輪キープ</x:v>
      </x:c>
      <x:c r="I319" s="23" t="str">
        <x:v>ポジション確保</x:v>
      </x:c>
      <x:c r="J319" s="23" t="str">
        <x:v>巡航温存</x:v>
      </x:c>
      <x:c r="K319" s="23" t="str">
        <x:v>高速リードアウト</x:v>
      </x:c>
      <x:c r="L319" s="23" t="str">
        <x:v>平坦カウンター</x:v>
      </x:c>
      <x:c r="M319" s="23" t="str">
        <x:v>スプリント決戦</x:v>
      </x:c>
    </x:row>
    <x:row r="320" ht="40" customHeight="1">
      <x:c r="A320" s="23" t="str">
        <x:v>引退</x:v>
      </x:c>
      <x:c r="B320" s="26" t="n">
        <x:v>16</x:v>
      </x:c>
      <x:c r="C320" s="23" t="str">
        <x:v>Mark Cavendish</x:v>
      </x:c>
      <x:c r="D320" s="23" t="str">
        <x:v>スプリンター</x:v>
      </x:c>
      <x:c r="E320" s="23" t="str">
        <x:v>クラシック型</x:v>
      </x:c>
      <x:c r="F320" s="23" t="str">
        <x:v>エース型</x:v>
      </x:c>
      <x:c r="G320" s="23" t="str">
        <x:v>スプリントエース / リードアウト / 最終発射台</x:v>
      </x:c>
      <x:c r="H320" s="23" t="str">
        <x:v>車輪キープ</x:v>
      </x:c>
      <x:c r="I320" s="23" t="str">
        <x:v>ポジション確保</x:v>
      </x:c>
      <x:c r="J320" s="23" t="str">
        <x:v>仕掛け待ち</x:v>
      </x:c>
      <x:c r="K320" s="23" t="str">
        <x:v>平坦カウンター</x:v>
      </x:c>
      <x:c r="L320" s="23" t="str">
        <x:v>高速リードアウト</x:v>
      </x:c>
      <x:c r="M320" s="23" t="str">
        <x:v>スプリント決戦</x:v>
      </x:c>
    </x:row>
    <x:row r="321" ht="40" customHeight="1">
      <x:c r="A321" s="23" t="str">
        <x:v>引退</x:v>
      </x:c>
      <x:c r="B321" s="26" t="n">
        <x:v>17</x:v>
      </x:c>
      <x:c r="C321" s="23" t="str">
        <x:v>Robbie McEwen</x:v>
      </x:c>
      <x:c r="D321" s="23" t="str">
        <x:v>スプリンター</x:v>
      </x:c>
      <x:c r="E321" s="23" t="str">
        <x:v>クラシック型</x:v>
      </x:c>
      <x:c r="F321" s="23" t="str">
        <x:v>エース型</x:v>
      </x:c>
      <x:c r="G321" s="23" t="str">
        <x:v>スプリントエース / リードアウト / 最終発射台</x:v>
      </x:c>
      <x:c r="H321" s="23" t="str">
        <x:v>車輪キープ</x:v>
      </x:c>
      <x:c r="I321" s="23" t="str">
        <x:v>ポジション確保</x:v>
      </x:c>
      <x:c r="J321" s="23" t="str">
        <x:v>巡航温存</x:v>
      </x:c>
      <x:c r="K321" s="23" t="str">
        <x:v>平坦カウンター</x:v>
      </x:c>
      <x:c r="L321" s="23" t="str">
        <x:v>高速リードアウト</x:v>
      </x:c>
      <x:c r="M321" s="23" t="str">
        <x:v>スプリント決戦</x:v>
      </x:c>
    </x:row>
    <x:row r="322" ht="40" customHeight="1">
      <x:c r="A322" s="23" t="str">
        <x:v>引退</x:v>
      </x:c>
      <x:c r="B322" s="26" t="n">
        <x:v>18</x:v>
      </x:c>
      <x:c r="C322" s="23" t="str">
        <x:v>Andy Schleck</x:v>
      </x:c>
      <x:c r="D322" s="23" t="str">
        <x:v>クライマー</x:v>
      </x:c>
      <x:c r="E322" s="23" t="str">
        <x:v>パンチャー</x:v>
      </x:c>
      <x:c r="F322" s="23" t="str">
        <x:v>エース型</x:v>
      </x:c>
      <x:c r="G322" s="23" t="str">
        <x:v>山岳エース / 山岳賞ハンター / 山岳アシスト</x:v>
      </x:c>
      <x:c r="H322" s="23" t="str">
        <x:v>急勾配対応</x:v>
      </x:c>
      <x:c r="I322" s="23" t="str">
        <x:v>登坂リズム</x:v>
      </x:c>
      <x:c r="J322" s="23" t="str">
        <x:v>山岳待機</x:v>
      </x:c>
      <x:c r="K322" s="23" t="str">
        <x:v>登坂ペースアップ</x:v>
      </x:c>
      <x:c r="L322" s="23" t="str">
        <x:v>頂上前加速</x:v>
      </x:c>
      <x:c r="M322" s="23" t="str">
        <x:v>山岳決戦</x:v>
      </x:c>
    </x:row>
    <x:row r="323" ht="40" customHeight="1">
      <x:c r="A323" s="23" t="str">
        <x:v>引退</x:v>
      </x:c>
      <x:c r="B323" s="26" t="n">
        <x:v>19</x:v>
      </x:c>
      <x:c r="C323" s="23" t="str">
        <x:v>Fabian Cancellara</x:v>
      </x:c>
      <x:c r="D323" s="23" t="str">
        <x:v>クラシック型</x:v>
      </x:c>
      <x:c r="E323" s="23" t="str">
        <x:v>TT・ルーラー型</x:v>
      </x:c>
      <x:c r="F323" s="23" t="str">
        <x:v>エース型</x:v>
      </x:c>
      <x:c r="G323" s="23" t="str">
        <x:v>丘陵エース / TTスペシャリスト / 石畳護衛</x:v>
      </x:c>
      <x:c r="H323" s="23" t="str">
        <x:v>悪路ライン</x:v>
      </x:c>
      <x:c r="I323" s="23" t="str">
        <x:v>衝撃吸収</x:v>
      </x:c>
      <x:c r="J323" s="23" t="str">
        <x:v>前方進入</x:v>
      </x:c>
      <x:c r="K323" s="23" t="str">
        <x:v>悪路アタック</x:v>
      </x:c>
      <x:c r="L323" s="23" t="str">
        <x:v>石畳加速</x:v>
      </x:c>
      <x:c r="M323" s="23" t="str">
        <x:v>石畳決戦</x:v>
      </x:c>
    </x:row>
    <x:row r="324" ht="40" customHeight="1">
      <x:c r="A324" s="23" t="str">
        <x:v>引退</x:v>
      </x:c>
      <x:c r="B324" s="26" t="n">
        <x:v>20</x:v>
      </x:c>
      <x:c r="C324" s="23" t="str">
        <x:v>Michele Bartoli</x:v>
      </x:c>
      <x:c r="D324" s="23" t="str">
        <x:v>パンチャー</x:v>
      </x:c>
      <x:c r="E324" s="23" t="str">
        <x:v>クライマー</x:v>
      </x:c>
      <x:c r="F324" s="23" t="str">
        <x:v>エース型</x:v>
      </x:c>
      <x:c r="G324" s="23" t="str">
        <x:v>丘陵エース / ステージハンター / 山岳賞ハンター</x:v>
      </x:c>
      <x:c r="H324" s="23" t="str">
        <x:v>仕掛け待ち</x:v>
      </x:c>
      <x:c r="I324" s="23" t="str">
        <x:v>丘陵リズム</x:v>
      </x:c>
      <x:c r="J324" s="23" t="str">
        <x:v>短坂対応</x:v>
      </x:c>
      <x:c r="K324" s="23" t="str">
        <x:v>丘陵加速</x:v>
      </x:c>
      <x:c r="L324" s="23" t="str">
        <x:v>短坂アタック</x:v>
      </x:c>
      <x:c r="M324" s="23" t="str">
        <x:v>丘陵決戦</x:v>
      </x:c>
    </x:row>
    <x:row r="325" ht="40" customHeight="1">
      <x:c r="A325" s="23" t="str">
        <x:v>引退</x:v>
      </x:c>
      <x:c r="B325" s="26" t="n">
        <x:v>21</x:v>
      </x:c>
      <x:c r="C325" s="23" t="str">
        <x:v>Joaquim Rodriguez</x:v>
      </x:c>
      <x:c r="D325" s="23" t="str">
        <x:v>パンチャー</x:v>
      </x:c>
      <x:c r="E325" s="23" t="str">
        <x:v>クライマー</x:v>
      </x:c>
      <x:c r="F325" s="23" t="str">
        <x:v>エース型</x:v>
      </x:c>
      <x:c r="G325" s="23" t="str">
        <x:v>丘陵エース / ステージハンター / 山岳賞ハンター</x:v>
      </x:c>
      <x:c r="H325" s="23" t="str">
        <x:v>仕掛け待ち</x:v>
      </x:c>
      <x:c r="I325" s="23" t="str">
        <x:v>丘陵リズム</x:v>
      </x:c>
      <x:c r="J325" s="23" t="str">
        <x:v>短坂対応</x:v>
      </x:c>
      <x:c r="K325" s="23" t="str">
        <x:v>短坂アタック</x:v>
      </x:c>
      <x:c r="L325" s="23" t="str">
        <x:v>丘陵加速</x:v>
      </x:c>
      <x:c r="M325" s="23" t="str">
        <x:v>丘陵決戦</x:v>
      </x:c>
    </x:row>
    <x:row r="326" ht="40" customHeight="1">
      <x:c r="A326" s="23" t="str">
        <x:v>引退</x:v>
      </x:c>
      <x:c r="B326" s="26" t="n">
        <x:v>22</x:v>
      </x:c>
      <x:c r="C326" s="23" t="str">
        <x:v>Erik Zabel</x:v>
      </x:c>
      <x:c r="D326" s="23" t="str">
        <x:v>クラシック型</x:v>
      </x:c>
      <x:c r="E326" s="23" t="str">
        <x:v>パンチャー</x:v>
      </x:c>
      <x:c r="F326" s="23" t="str">
        <x:v>エース型</x:v>
      </x:c>
      <x:c r="G326" s="23" t="str">
        <x:v>丘陵エース / 石畳護衛 / 逃げ屋</x:v>
      </x:c>
      <x:c r="H326" s="23" t="str">
        <x:v>ポジション確保</x:v>
      </x:c>
      <x:c r="I326" s="23" t="str">
        <x:v>ペース調整</x:v>
      </x:c>
      <x:c r="J326" s="23" t="str">
        <x:v>仕掛け待ち</x:v>
      </x:c>
      <x:c r="K326" s="23" t="str">
        <x:v>ブリッジ</x:v>
      </x:c>
      <x:c r="L326" s="23" t="str">
        <x:v>逃げ参加</x:v>
      </x:c>
      <x:c r="M326" s="23" t="str">
        <x:v>単独ブリッジ</x:v>
      </x:c>
    </x:row>
    <x:row r="327" ht="40" customHeight="1">
      <x:c r="A327" s="23" t="str">
        <x:v>引退</x:v>
      </x:c>
      <x:c r="B327" s="26" t="n">
        <x:v>23</x:v>
      </x:c>
      <x:c r="C327" s="23" t="str">
        <x:v>Cadel Evans</x:v>
      </x:c>
      <x:c r="D327" s="23" t="str">
        <x:v>パンチャー</x:v>
      </x:c>
      <x:c r="E327" s="23" t="str">
        <x:v>クライマー</x:v>
      </x:c>
      <x:c r="F327" s="23" t="str">
        <x:v>エース型</x:v>
      </x:c>
      <x:c r="G327" s="23" t="str">
        <x:v>丘陵エース / ステージハンター / 山岳賞ハンター</x:v>
      </x:c>
      <x:c r="H327" s="23" t="str">
        <x:v>仕掛け待ち</x:v>
      </x:c>
      <x:c r="I327" s="23" t="str">
        <x:v>丘陵リズム</x:v>
      </x:c>
      <x:c r="J327" s="23" t="str">
        <x:v>短坂対応</x:v>
      </x:c>
      <x:c r="K327" s="23" t="str">
        <x:v>丘陵加速</x:v>
      </x:c>
      <x:c r="L327" s="23" t="str">
        <x:v>短坂アタック</x:v>
      </x:c>
      <x:c r="M327" s="23" t="str">
        <x:v>丘陵決戦</x:v>
      </x:c>
    </x:row>
    <x:row r="328" ht="40" customHeight="1">
      <x:c r="A328" s="23" t="str">
        <x:v>引退</x:v>
      </x:c>
      <x:c r="B328" s="26" t="n">
        <x:v>24</x:v>
      </x:c>
      <x:c r="C328" s="23" t="str">
        <x:v>Carlos Sastre</x:v>
      </x:c>
      <x:c r="D328" s="23" t="str">
        <x:v>クライマー</x:v>
      </x:c>
      <x:c r="E328" s="23" t="str">
        <x:v>パンチャー</x:v>
      </x:c>
      <x:c r="F328" s="23" t="str">
        <x:v>エース型</x:v>
      </x:c>
      <x:c r="G328" s="23" t="str">
        <x:v>山岳エース / 山岳賞ハンター / 山岳アシスト</x:v>
      </x:c>
      <x:c r="H328" s="23" t="str">
        <x:v>急勾配対応</x:v>
      </x:c>
      <x:c r="I328" s="23" t="str">
        <x:v>登坂リズム</x:v>
      </x:c>
      <x:c r="J328" s="23" t="str">
        <x:v>山岳待機</x:v>
      </x:c>
      <x:c r="K328" s="23" t="str">
        <x:v>登坂ペースアップ</x:v>
      </x:c>
      <x:c r="L328" s="23" t="str">
        <x:v>頂上前加速</x:v>
      </x:c>
      <x:c r="M328" s="23" t="str">
        <x:v>山岳決戦</x:v>
      </x:c>
    </x:row>
    <x:row r="329" ht="40" customHeight="1">
      <x:c r="A329" s="23" t="str">
        <x:v>引退</x:v>
      </x:c>
      <x:c r="B329" s="26" t="n">
        <x:v>25</x:v>
      </x:c>
      <x:c r="C329" s="23" t="str">
        <x:v>Paolo Bettini</x:v>
      </x:c>
      <x:c r="D329" s="23" t="str">
        <x:v>パンチャー</x:v>
      </x:c>
      <x:c r="E329" s="23" t="str">
        <x:v>クライマー</x:v>
      </x:c>
      <x:c r="F329" s="23" t="str">
        <x:v>エース型</x:v>
      </x:c>
      <x:c r="G329" s="23" t="str">
        <x:v>丘陵エース / ステージハンター / 山岳賞ハンター</x:v>
      </x:c>
      <x:c r="H329" s="23" t="str">
        <x:v>仕掛け待ち</x:v>
      </x:c>
      <x:c r="I329" s="23" t="str">
        <x:v>丘陵リズム</x:v>
      </x:c>
      <x:c r="J329" s="23" t="str">
        <x:v>短坂対応</x:v>
      </x:c>
      <x:c r="K329" s="23" t="str">
        <x:v>短坂アタック</x:v>
      </x:c>
      <x:c r="L329" s="23" t="str">
        <x:v>丘陵加速</x:v>
      </x:c>
      <x:c r="M329" s="23" t="str">
        <x:v>丘陵決戦</x:v>
      </x:c>
    </x:row>
    <x:row r="330" ht="40" customHeight="1">
      <x:c r="A330" s="23" t="str">
        <x:v>引退</x:v>
      </x:c>
      <x:c r="B330" s="26" t="n">
        <x:v>26</x:v>
      </x:c>
      <x:c r="C330" s="23" t="str">
        <x:v>Simon Gerrans</x:v>
      </x:c>
      <x:c r="D330" s="23" t="str">
        <x:v>パンチャー</x:v>
      </x:c>
      <x:c r="E330" s="23" t="str">
        <x:v>クライマー</x:v>
      </x:c>
      <x:c r="F330" s="23" t="str">
        <x:v>エース型</x:v>
      </x:c>
      <x:c r="G330" s="23" t="str">
        <x:v>丘陵エース / ステージハンター / 山岳賞ハンター</x:v>
      </x:c>
      <x:c r="H330" s="23" t="str">
        <x:v>仕掛け待ち</x:v>
      </x:c>
      <x:c r="I330" s="23" t="str">
        <x:v>短坂対応</x:v>
      </x:c>
      <x:c r="J330" s="23" t="str">
        <x:v>丘陵リズム</x:v>
      </x:c>
      <x:c r="K330" s="23" t="str">
        <x:v>短坂アタック</x:v>
      </x:c>
      <x:c r="L330" s="23" t="str">
        <x:v>丘陵加速</x:v>
      </x:c>
      <x:c r="M330" s="23" t="str">
        <x:v>丘陵決戦</x:v>
      </x:c>
    </x:row>
    <x:row r="331" ht="40" customHeight="1">
      <x:c r="A331" s="23" t="str">
        <x:v>引退</x:v>
      </x:c>
      <x:c r="B331" s="26" t="n">
        <x:v>27</x:v>
      </x:c>
      <x:c r="C331" s="23" t="str">
        <x:v>Djamolidine Abdoujaparov</x:v>
      </x:c>
      <x:c r="D331" s="23" t="str">
        <x:v>スプリンター</x:v>
      </x:c>
      <x:c r="E331" s="23" t="str">
        <x:v>クラシック型</x:v>
      </x:c>
      <x:c r="F331" s="23" t="str">
        <x:v>エース型</x:v>
      </x:c>
      <x:c r="G331" s="23" t="str">
        <x:v>スプリントエース / リードアウト / 最終発射台</x:v>
      </x:c>
      <x:c r="H331" s="23" t="str">
        <x:v>車輪キープ</x:v>
      </x:c>
      <x:c r="I331" s="23" t="str">
        <x:v>ポジション確保</x:v>
      </x:c>
      <x:c r="J331" s="23" t="str">
        <x:v>巡航温存</x:v>
      </x:c>
      <x:c r="K331" s="23" t="str">
        <x:v>高速リードアウト</x:v>
      </x:c>
      <x:c r="L331" s="23" t="str">
        <x:v>平坦カウンター</x:v>
      </x:c>
      <x:c r="M331" s="23" t="str">
        <x:v>スプリント決戦</x:v>
      </x:c>
    </x:row>
    <x:row r="332" ht="40" customHeight="1">
      <x:c r="A332" s="23" t="str">
        <x:v>引退</x:v>
      </x:c>
      <x:c r="B332" s="26" t="n">
        <x:v>28</x:v>
      </x:c>
      <x:c r="C332" s="23" t="str">
        <x:v>Arnaud Demare</x:v>
      </x:c>
      <x:c r="D332" s="23" t="str">
        <x:v>スプリンター</x:v>
      </x:c>
      <x:c r="E332" s="23" t="str">
        <x:v>クラシック型</x:v>
      </x:c>
      <x:c r="F332" s="23" t="str">
        <x:v>エース型</x:v>
      </x:c>
      <x:c r="G332" s="23" t="str">
        <x:v>スプリントエース / ステージハンター / リードアウト</x:v>
      </x:c>
      <x:c r="H332" s="23" t="str">
        <x:v>車輪キープ</x:v>
      </x:c>
      <x:c r="I332" s="23" t="str">
        <x:v>ポジション確保</x:v>
      </x:c>
      <x:c r="J332" s="23" t="str">
        <x:v>前方進入</x:v>
      </x:c>
      <x:c r="K332" s="23" t="str">
        <x:v>高速リードアウト</x:v>
      </x:c>
      <x:c r="L332" s="23" t="str">
        <x:v>平坦カウンター</x:v>
      </x:c>
      <x:c r="M332" s="23" t="str">
        <x:v>スプリント決戦</x:v>
      </x:c>
    </x:row>
    <x:row r="333" ht="40" customHeight="1">
      <x:c r="A333" s="23" t="str">
        <x:v>引退</x:v>
      </x:c>
      <x:c r="B333" s="26" t="n">
        <x:v>29</x:v>
      </x:c>
      <x:c r="C333" s="23" t="str">
        <x:v>Tom Boonen</x:v>
      </x:c>
      <x:c r="D333" s="23" t="str">
        <x:v>クラシック型</x:v>
      </x:c>
      <x:c r="E333" s="23" t="str">
        <x:v>パンチャー</x:v>
      </x:c>
      <x:c r="F333" s="23" t="str">
        <x:v>エース型</x:v>
      </x:c>
      <x:c r="G333" s="23" t="str">
        <x:v>丘陵エース / 石畳護衛 / 横風要員</x:v>
      </x:c>
      <x:c r="H333" s="23" t="str">
        <x:v>衝撃吸収</x:v>
      </x:c>
      <x:c r="I333" s="23" t="str">
        <x:v>悪路ライン</x:v>
      </x:c>
      <x:c r="J333" s="23" t="str">
        <x:v>前方進入</x:v>
      </x:c>
      <x:c r="K333" s="23" t="str">
        <x:v>悪路アタック</x:v>
      </x:c>
      <x:c r="L333" s="23" t="str">
        <x:v>石畳加速</x:v>
      </x:c>
      <x:c r="M333" s="23" t="str">
        <x:v>石畳決戦</x:v>
      </x:c>
    </x:row>
    <x:row r="334" ht="40" customHeight="1">
      <x:c r="A334" s="23" t="str">
        <x:v>引退</x:v>
      </x:c>
      <x:c r="B334" s="26" t="n">
        <x:v>30</x:v>
      </x:c>
      <x:c r="C334" s="23" t="str">
        <x:v>Franco Ballerini</x:v>
      </x:c>
      <x:c r="D334" s="23" t="str">
        <x:v>クラシック型</x:v>
      </x:c>
      <x:c r="E334" s="23" t="str">
        <x:v>TT・ルーラー型</x:v>
      </x:c>
      <x:c r="F334" s="23" t="str">
        <x:v>エース型</x:v>
      </x:c>
      <x:c r="G334" s="23" t="str">
        <x:v>丘陵エース / 石畳護衛 / 横風要員</x:v>
      </x:c>
      <x:c r="H334" s="23" t="str">
        <x:v>衝撃吸収</x:v>
      </x:c>
      <x:c r="I334" s="23" t="str">
        <x:v>悪路ライン</x:v>
      </x:c>
      <x:c r="J334" s="23" t="str">
        <x:v>前方進入</x:v>
      </x:c>
      <x:c r="K334" s="23" t="str">
        <x:v>悪路アタック</x:v>
      </x:c>
      <x:c r="L334" s="23" t="str">
        <x:v>石畳加速</x:v>
      </x:c>
      <x:c r="M334" s="23" t="str">
        <x:v>石畳決戦</x:v>
      </x:c>
    </x:row>
    <x:row r="335" ht="40" customHeight="1">
      <x:c r="A335" s="23" t="str">
        <x:v>引退</x:v>
      </x:c>
      <x:c r="B335" s="26" t="n">
        <x:v>31</x:v>
      </x:c>
      <x:c r="C335" s="23" t="str">
        <x:v>Chris Boardman</x:v>
      </x:c>
      <x:c r="D335" s="23" t="str">
        <x:v>TT・ルーラー型</x:v>
      </x:c>
      <x:c r="E335" s="23" t="str">
        <x:v>クラシック型</x:v>
      </x:c>
      <x:c r="F335" s="23" t="str">
        <x:v>エース型</x:v>
      </x:c>
      <x:c r="G335" s="23" t="str">
        <x:v>丘陵エース / TTスペシャリスト / 逃げ屋</x:v>
      </x:c>
      <x:c r="H335" s="23" t="str">
        <x:v>巡航温存</x:v>
      </x:c>
      <x:c r="I335" s="23" t="str">
        <x:v>ペース調整</x:v>
      </x:c>
      <x:c r="J335" s="23" t="str">
        <x:v>先頭交代</x:v>
      </x:c>
      <x:c r="K335" s="23" t="str">
        <x:v>高速巡航</x:v>
      </x:c>
      <x:c r="L335" s="23" t="str">
        <x:v>ブリッジ</x:v>
      </x:c>
      <x:c r="M335" s="23" t="str">
        <x:v>全開独走</x:v>
      </x:c>
    </x:row>
    <x:row r="336" ht="40" customHeight="1">
      <x:c r="A336" s="23" t="str">
        <x:v>引退</x:v>
      </x:c>
      <x:c r="B336" s="26" t="n">
        <x:v>32</x:v>
      </x:c>
      <x:c r="C336" s="23" t="str">
        <x:v>Alejandro Valverde</x:v>
      </x:c>
      <x:c r="D336" s="23" t="str">
        <x:v>パンチャー</x:v>
      </x:c>
      <x:c r="E336" s="23" t="str">
        <x:v>クライマー</x:v>
      </x:c>
      <x:c r="F336" s="23" t="str">
        <x:v>エース型</x:v>
      </x:c>
      <x:c r="G336" s="23" t="str">
        <x:v>丘陵エース / ステージハンター / 山岳賞ハンター</x:v>
      </x:c>
      <x:c r="H336" s="23" t="str">
        <x:v>仕掛け待ち</x:v>
      </x:c>
      <x:c r="I336" s="23" t="str">
        <x:v>丘陵リズム</x:v>
      </x:c>
      <x:c r="J336" s="23" t="str">
        <x:v>短坂対応</x:v>
      </x:c>
      <x:c r="K336" s="23" t="str">
        <x:v>短坂アタック</x:v>
      </x:c>
      <x:c r="L336" s="23" t="str">
        <x:v>丘陵加速</x:v>
      </x:c>
      <x:c r="M336" s="23" t="str">
        <x:v>丘陵決戦</x:v>
      </x:c>
    </x:row>
    <x:row r="337" ht="40" customHeight="1">
      <x:c r="A337" s="23" t="str">
        <x:v>引退</x:v>
      </x:c>
      <x:c r="B337" s="26" t="n">
        <x:v>33</x:v>
      </x:c>
      <x:c r="C337" s="23" t="str">
        <x:v>Stijn Devolder</x:v>
      </x:c>
      <x:c r="D337" s="23" t="str">
        <x:v>クラシック型</x:v>
      </x:c>
      <x:c r="E337" s="23" t="str">
        <x:v>TT・ルーラー型</x:v>
      </x:c>
      <x:c r="F337" s="23" t="str">
        <x:v>エース型</x:v>
      </x:c>
      <x:c r="G337" s="23" t="str">
        <x:v>丘陵エース / 石畳護衛 / 横風要員</x:v>
      </x:c>
      <x:c r="H337" s="23" t="str">
        <x:v>悪路ライン</x:v>
      </x:c>
      <x:c r="I337" s="23" t="str">
        <x:v>衝撃吸収</x:v>
      </x:c>
      <x:c r="J337" s="23" t="str">
        <x:v>前方進入</x:v>
      </x:c>
      <x:c r="K337" s="23" t="str">
        <x:v>悪路アタック</x:v>
      </x:c>
      <x:c r="L337" s="23" t="str">
        <x:v>石畳加速</x:v>
      </x:c>
      <x:c r="M337" s="23" t="str">
        <x:v>石畳決戦</x:v>
      </x:c>
    </x:row>
    <x:row r="338" ht="40" customHeight="1">
      <x:c r="A338" s="23" t="str">
        <x:v>引退</x:v>
      </x:c>
      <x:c r="B338" s="26" t="n">
        <x:v>34</x:v>
      </x:c>
      <x:c r="C338" s="23" t="str">
        <x:v>Rui Costa</x:v>
      </x:c>
      <x:c r="D338" s="23" t="str">
        <x:v>パンチャー</x:v>
      </x:c>
      <x:c r="E338" s="23" t="str">
        <x:v>総合型</x:v>
      </x:c>
      <x:c r="F338" s="23" t="str">
        <x:v>エース型</x:v>
      </x:c>
      <x:c r="G338" s="23" t="str">
        <x:v>丘陵エース / ステージハンター / 集団コントローラー</x:v>
      </x:c>
      <x:c r="H338" s="23" t="str">
        <x:v>仕掛け待ち</x:v>
      </x:c>
      <x:c r="I338" s="23" t="str">
        <x:v>短坂対応</x:v>
      </x:c>
      <x:c r="J338" s="23" t="str">
        <x:v>丘陵リズム</x:v>
      </x:c>
      <x:c r="K338" s="23" t="str">
        <x:v>短坂アタック</x:v>
      </x:c>
      <x:c r="L338" s="23" t="str">
        <x:v>丘陵加速</x:v>
      </x:c>
      <x:c r="M338" s="23" t="str">
        <x:v>丘陵決戦</x:v>
      </x:c>
    </x:row>
    <x:row r="339" ht="40" customHeight="1">
      <x:c r="A339" s="23" t="str">
        <x:v>引退</x:v>
      </x:c>
      <x:c r="B339" s="26" t="n">
        <x:v>35</x:v>
      </x:c>
      <x:c r="C339" s="23" t="str">
        <x:v>Maurizio Fondriest</x:v>
      </x:c>
      <x:c r="D339" s="23" t="str">
        <x:v>パンチャー</x:v>
      </x:c>
      <x:c r="E339" s="23" t="str">
        <x:v>クライマー</x:v>
      </x:c>
      <x:c r="F339" s="23" t="str">
        <x:v>エース型</x:v>
      </x:c>
      <x:c r="G339" s="23" t="str">
        <x:v>丘陵エース / ステージハンター / 山岳賞ハンター</x:v>
      </x:c>
      <x:c r="H339" s="23" t="str">
        <x:v>仕掛け待ち</x:v>
      </x:c>
      <x:c r="I339" s="23" t="str">
        <x:v>短坂対応</x:v>
      </x:c>
      <x:c r="J339" s="23" t="str">
        <x:v>丘陵リズム</x:v>
      </x:c>
      <x:c r="K339" s="23" t="str">
        <x:v>丘陵加速</x:v>
      </x:c>
      <x:c r="L339" s="23" t="str">
        <x:v>短坂アタック</x:v>
      </x:c>
      <x:c r="M339" s="23" t="str">
        <x:v>丘陵決戦</x:v>
      </x:c>
    </x:row>
    <x:row r="340" ht="40" customHeight="1">
      <x:c r="A340" s="23" t="str">
        <x:v>引退</x:v>
      </x:c>
      <x:c r="B340" s="26" t="n">
        <x:v>36</x:v>
      </x:c>
      <x:c r="C340" s="23" t="str">
        <x:v>Marc Hirschi</x:v>
      </x:c>
      <x:c r="D340" s="23" t="str">
        <x:v>パンチャー</x:v>
      </x:c>
      <x:c r="E340" s="23" t="str">
        <x:v>クラシック型</x:v>
      </x:c>
      <x:c r="F340" s="23" t="str">
        <x:v>エース型</x:v>
      </x:c>
      <x:c r="G340" s="23" t="str">
        <x:v>丘陵エース / ステージハンター / 逃げ屋</x:v>
      </x:c>
      <x:c r="H340" s="23" t="str">
        <x:v>仕掛け待ち</x:v>
      </x:c>
      <x:c r="I340" s="23" t="str">
        <x:v>丘陵リズム</x:v>
      </x:c>
      <x:c r="J340" s="23" t="str">
        <x:v>短坂対応</x:v>
      </x:c>
      <x:c r="K340" s="23" t="str">
        <x:v>丘陵加速</x:v>
      </x:c>
      <x:c r="L340" s="23" t="str">
        <x:v>短坂アタック</x:v>
      </x:c>
      <x:c r="M340" s="23" t="str">
        <x:v>丘陵決戦</x:v>
      </x:c>
    </x:row>
    <x:row r="341" ht="40" customHeight="1">
      <x:c r="A341" s="23" t="str">
        <x:v>引退</x:v>
      </x:c>
      <x:c r="B341" s="26" t="n">
        <x:v>37</x:v>
      </x:c>
      <x:c r="C341" s="23" t="str">
        <x:v>Chris Horner</x:v>
      </x:c>
      <x:c r="D341" s="23" t="str">
        <x:v>総合型</x:v>
      </x:c>
      <x:c r="E341" s="23" t="str">
        <x:v>クライマー</x:v>
      </x:c>
      <x:c r="F341" s="23" t="str">
        <x:v>エース型</x:v>
      </x:c>
      <x:c r="G341" s="23" t="str">
        <x:v>総合エース / 山岳賞ハンター / 山岳番手</x:v>
      </x:c>
      <x:c r="H341" s="23" t="str">
        <x:v>急勾配対応</x:v>
      </x:c>
      <x:c r="I341" s="23" t="str">
        <x:v>登坂リズム</x:v>
      </x:c>
      <x:c r="J341" s="23" t="str">
        <x:v>山岳待機</x:v>
      </x:c>
      <x:c r="K341" s="23" t="str">
        <x:v>登坂ペースアップ</x:v>
      </x:c>
      <x:c r="L341" s="23" t="str">
        <x:v>最後の山岳牽引</x:v>
      </x:c>
      <x:c r="M341" s="23" t="str">
        <x:v>山岳決戦</x:v>
      </x:c>
    </x:row>
    <x:row r="342" ht="40" customHeight="1">
      <x:c r="A342" s="23" t="str">
        <x:v>引退</x:v>
      </x:c>
      <x:c r="B342" s="26" t="n">
        <x:v>38</x:v>
      </x:c>
      <x:c r="C342" s="23" t="str">
        <x:v>Aleksandr Vlasov</x:v>
      </x:c>
      <x:c r="D342" s="23" t="str">
        <x:v>総合型</x:v>
      </x:c>
      <x:c r="E342" s="23" t="str">
        <x:v>クライマー</x:v>
      </x:c>
      <x:c r="F342" s="23" t="str">
        <x:v>エース型</x:v>
      </x:c>
      <x:c r="G342" s="23" t="str">
        <x:v>総合エース / 山岳賞ハンター / 山岳番手</x:v>
      </x:c>
      <x:c r="H342" s="23" t="str">
        <x:v>急勾配対応</x:v>
      </x:c>
      <x:c r="I342" s="23" t="str">
        <x:v>登坂リズム</x:v>
      </x:c>
      <x:c r="J342" s="23" t="str">
        <x:v>山岳待機</x:v>
      </x:c>
      <x:c r="K342" s="23" t="str">
        <x:v>登坂ペースアップ</x:v>
      </x:c>
      <x:c r="L342" s="23" t="str">
        <x:v>最後の山岳牽引</x:v>
      </x:c>
      <x:c r="M342" s="23" t="str">
        <x:v>山岳決戦</x:v>
      </x:c>
    </x:row>
    <x:row r="343" ht="40" customHeight="1">
      <x:c r="A343" s="23" t="str">
        <x:v>引退</x:v>
      </x:c>
      <x:c r="B343" s="26" t="n">
        <x:v>39</x:v>
      </x:c>
      <x:c r="C343" s="23" t="str">
        <x:v>Thibaut Pinot</x:v>
      </x:c>
      <x:c r="D343" s="23" t="str">
        <x:v>クライマー</x:v>
      </x:c>
      <x:c r="E343" s="23" t="str">
        <x:v>パンチャー</x:v>
      </x:c>
      <x:c r="F343" s="23" t="str">
        <x:v>エース型</x:v>
      </x:c>
      <x:c r="G343" s="23" t="str">
        <x:v>山岳エース / 山岳賞ハンター / 山岳アシスト</x:v>
      </x:c>
      <x:c r="H343" s="23" t="str">
        <x:v>急勾配対応</x:v>
      </x:c>
      <x:c r="I343" s="23" t="str">
        <x:v>登坂リズム</x:v>
      </x:c>
      <x:c r="J343" s="23" t="str">
        <x:v>山岳待機</x:v>
      </x:c>
      <x:c r="K343" s="23" t="str">
        <x:v>登坂ペースアップ</x:v>
      </x:c>
      <x:c r="L343" s="23" t="str">
        <x:v>頂上前加速</x:v>
      </x:c>
      <x:c r="M343" s="23" t="str">
        <x:v>山岳決戦</x:v>
      </x:c>
    </x:row>
    <x:row r="344" ht="40" customHeight="1">
      <x:c r="A344" s="23" t="str">
        <x:v>引退</x:v>
      </x:c>
      <x:c r="B344" s="26" t="n">
        <x:v>40</x:v>
      </x:c>
      <x:c r="C344" s="23" t="str">
        <x:v>Andreas Kloden</x:v>
      </x:c>
      <x:c r="D344" s="23" t="str">
        <x:v>総合型</x:v>
      </x:c>
      <x:c r="E344" s="23" t="str">
        <x:v>TT・ルーラー型</x:v>
      </x:c>
      <x:c r="F344" s="23" t="str">
        <x:v>エース型</x:v>
      </x:c>
      <x:c r="G344" s="23" t="str">
        <x:v>総合エース / ロードキャプテン / 山岳番手</x:v>
      </x:c>
      <x:c r="H344" s="23" t="str">
        <x:v>急勾配対応</x:v>
      </x:c>
      <x:c r="I344" s="23" t="str">
        <x:v>登坂リズム</x:v>
      </x:c>
      <x:c r="J344" s="23" t="str">
        <x:v>山岳待機</x:v>
      </x:c>
      <x:c r="K344" s="23" t="str">
        <x:v>登坂ペースアップ</x:v>
      </x:c>
      <x:c r="L344" s="23" t="str">
        <x:v>最後の山岳牽引</x:v>
      </x:c>
      <x:c r="M344" s="23" t="str">
        <x:v>山岳決戦</x:v>
      </x:c>
    </x:row>
    <x:row r="345" ht="40" customHeight="1">
      <x:c r="A345" s="23" t="str">
        <x:v>引退</x:v>
      </x:c>
      <x:c r="B345" s="26" t="n">
        <x:v>41</x:v>
      </x:c>
      <x:c r="C345" s="23" t="str">
        <x:v>Tom Steels</x:v>
      </x:c>
      <x:c r="D345" s="23" t="str">
        <x:v>スプリンター</x:v>
      </x:c>
      <x:c r="E345" s="23" t="str">
        <x:v>クラシック型</x:v>
      </x:c>
      <x:c r="F345" s="23" t="str">
        <x:v>エース型</x:v>
      </x:c>
      <x:c r="G345" s="23" t="str">
        <x:v>スプリントエース / リードアウト / 最終発射台</x:v>
      </x:c>
      <x:c r="H345" s="23" t="str">
        <x:v>車輪キープ</x:v>
      </x:c>
      <x:c r="I345" s="23" t="str">
        <x:v>ポジション確保</x:v>
      </x:c>
      <x:c r="J345" s="23" t="str">
        <x:v>巡航温存</x:v>
      </x:c>
      <x:c r="K345" s="23" t="str">
        <x:v>高速リードアウト</x:v>
      </x:c>
      <x:c r="L345" s="23" t="str">
        <x:v>平坦カウンター</x:v>
      </x:c>
      <x:c r="M345" s="23" t="str">
        <x:v>スプリント決戦</x:v>
      </x:c>
    </x:row>
    <x:row r="346" ht="40" customHeight="1">
      <x:c r="A346" s="23" t="str">
        <x:v>引退</x:v>
      </x:c>
      <x:c r="B346" s="26" t="n">
        <x:v>42</x:v>
      </x:c>
      <x:c r="C346" s="23" t="str">
        <x:v>Dylan Groenewegen</x:v>
      </x:c>
      <x:c r="D346" s="23" t="str">
        <x:v>スプリンター</x:v>
      </x:c>
      <x:c r="E346" s="23" t="str">
        <x:v>クラシック型</x:v>
      </x:c>
      <x:c r="F346" s="23" t="str">
        <x:v>エース型</x:v>
      </x:c>
      <x:c r="G346" s="23" t="str">
        <x:v>スプリントエース / リードアウト / 最終発射台</x:v>
      </x:c>
      <x:c r="H346" s="23" t="str">
        <x:v>車輪キープ</x:v>
      </x:c>
      <x:c r="I346" s="23" t="str">
        <x:v>ポジション確保</x:v>
      </x:c>
      <x:c r="J346" s="23" t="str">
        <x:v>前方進入</x:v>
      </x:c>
      <x:c r="K346" s="23" t="str">
        <x:v>高速リードアウト</x:v>
      </x:c>
      <x:c r="L346" s="23" t="str">
        <x:v>平坦カウンター</x:v>
      </x:c>
      <x:c r="M346" s="23" t="str">
        <x:v>スプリント決戦</x:v>
      </x:c>
    </x:row>
    <x:row r="347" ht="40" customHeight="1">
      <x:c r="A347" s="23" t="str">
        <x:v>引退</x:v>
      </x:c>
      <x:c r="B347" s="26" t="n">
        <x:v>43</x:v>
      </x:c>
      <x:c r="C347" s="23" t="str">
        <x:v>Johan Museeuw</x:v>
      </x:c>
      <x:c r="D347" s="23" t="str">
        <x:v>クラシック型</x:v>
      </x:c>
      <x:c r="E347" s="23" t="str">
        <x:v>パンチャー</x:v>
      </x:c>
      <x:c r="F347" s="23" t="str">
        <x:v>エース型</x:v>
      </x:c>
      <x:c r="G347" s="23" t="str">
        <x:v>丘陵エース / 石畳護衛 / 横風要員</x:v>
      </x:c>
      <x:c r="H347" s="23" t="str">
        <x:v>衝撃吸収</x:v>
      </x:c>
      <x:c r="I347" s="23" t="str">
        <x:v>悪路ライン</x:v>
      </x:c>
      <x:c r="J347" s="23" t="str">
        <x:v>前方進入</x:v>
      </x:c>
      <x:c r="K347" s="23" t="str">
        <x:v>悪路アタック</x:v>
      </x:c>
      <x:c r="L347" s="23" t="str">
        <x:v>石畳加速</x:v>
      </x:c>
      <x:c r="M347" s="23" t="str">
        <x:v>石畳決戦</x:v>
      </x:c>
    </x:row>
    <x:row r="348" ht="40" customHeight="1">
      <x:c r="A348" s="23" t="str">
        <x:v>引退</x:v>
      </x:c>
      <x:c r="B348" s="26" t="n">
        <x:v>44</x:v>
      </x:c>
      <x:c r="C348" s="23" t="str">
        <x:v>Andrea Tafi</x:v>
      </x:c>
      <x:c r="D348" s="23" t="str">
        <x:v>クラシック型</x:v>
      </x:c>
      <x:c r="E348" s="23" t="str">
        <x:v>TT・ルーラー型</x:v>
      </x:c>
      <x:c r="F348" s="23" t="str">
        <x:v>エース型</x:v>
      </x:c>
      <x:c r="G348" s="23" t="str">
        <x:v>丘陵エース / 石畳護衛 / 横風要員</x:v>
      </x:c>
      <x:c r="H348" s="23" t="str">
        <x:v>悪路ライン</x:v>
      </x:c>
      <x:c r="I348" s="23" t="str">
        <x:v>衝撃吸収</x:v>
      </x:c>
      <x:c r="J348" s="23" t="str">
        <x:v>前方進入</x:v>
      </x:c>
      <x:c r="K348" s="23" t="str">
        <x:v>悪路アタック</x:v>
      </x:c>
      <x:c r="L348" s="23" t="str">
        <x:v>石畳加速</x:v>
      </x:c>
      <x:c r="M348" s="23" t="str">
        <x:v>石畳決戦</x:v>
      </x:c>
    </x:row>
    <x:row r="349" ht="40" customHeight="1">
      <x:c r="A349" s="23" t="str">
        <x:v>引退</x:v>
      </x:c>
      <x:c r="B349" s="26" t="n">
        <x:v>45</x:v>
      </x:c>
      <x:c r="C349" s="23" t="str">
        <x:v>Niki Terpstra</x:v>
      </x:c>
      <x:c r="D349" s="23" t="str">
        <x:v>クラシック型</x:v>
      </x:c>
      <x:c r="E349" s="23" t="str">
        <x:v>TT・ルーラー型</x:v>
      </x:c>
      <x:c r="F349" s="23" t="str">
        <x:v>エース型</x:v>
      </x:c>
      <x:c r="G349" s="23" t="str">
        <x:v>丘陵エース / 石畳護衛 / 横風要員</x:v>
      </x:c>
      <x:c r="H349" s="23" t="str">
        <x:v>悪路ライン</x:v>
      </x:c>
      <x:c r="I349" s="23" t="str">
        <x:v>衝撃吸収</x:v>
      </x:c>
      <x:c r="J349" s="23" t="str">
        <x:v>前方進入</x:v>
      </x:c>
      <x:c r="K349" s="23" t="str">
        <x:v>悪路アタック</x:v>
      </x:c>
      <x:c r="L349" s="23" t="str">
        <x:v>石畳加速</x:v>
      </x:c>
      <x:c r="M349" s="23" t="str">
        <x:v>石畳決戦</x:v>
      </x:c>
    </x:row>
    <x:row r="350" ht="40" customHeight="1">
      <x:c r="A350" s="23" t="str">
        <x:v>引退</x:v>
      </x:c>
      <x:c r="B350" s="26" t="n">
        <x:v>46</x:v>
      </x:c>
      <x:c r="C350" s="23" t="str">
        <x:v>Tom Dumoulin</x:v>
      </x:c>
      <x:c r="D350" s="23" t="str">
        <x:v>総合型</x:v>
      </x:c>
      <x:c r="E350" s="23" t="str">
        <x:v>TT・ルーラー型</x:v>
      </x:c>
      <x:c r="F350" s="23" t="str">
        <x:v>エース型</x:v>
      </x:c>
      <x:c r="G350" s="23" t="str">
        <x:v>総合エース / TTスペシャリスト / 山岳アシスト</x:v>
      </x:c>
      <x:c r="H350" s="23" t="str">
        <x:v>急勾配対応</x:v>
      </x:c>
      <x:c r="I350" s="23" t="str">
        <x:v>登坂リズム</x:v>
      </x:c>
      <x:c r="J350" s="23" t="str">
        <x:v>山岳待機</x:v>
      </x:c>
      <x:c r="K350" s="23" t="str">
        <x:v>登坂ペースアップ</x:v>
      </x:c>
      <x:c r="L350" s="23" t="str">
        <x:v>頂上前加速</x:v>
      </x:c>
      <x:c r="M350" s="23" t="str">
        <x:v>山岳決戦</x:v>
      </x:c>
    </x:row>
    <x:row r="351" ht="40" customHeight="1">
      <x:c r="A351" s="23" t="str">
        <x:v>引退</x:v>
      </x:c>
      <x:c r="B351" s="26" t="n">
        <x:v>47</x:v>
      </x:c>
      <x:c r="C351" s="23" t="str">
        <x:v>Laurent Jalabert</x:v>
      </x:c>
      <x:c r="D351" s="23" t="str">
        <x:v>クラシック型</x:v>
      </x:c>
      <x:c r="E351" s="23" t="str">
        <x:v>パンチャー</x:v>
      </x:c>
      <x:c r="F351" s="23" t="str">
        <x:v>エース型</x:v>
      </x:c>
      <x:c r="G351" s="23" t="str">
        <x:v>丘陵エース / 石畳護衛 / 逃げ屋</x:v>
      </x:c>
      <x:c r="H351" s="23" t="str">
        <x:v>ポジション確保</x:v>
      </x:c>
      <x:c r="I351" s="23" t="str">
        <x:v>ペース調整</x:v>
      </x:c>
      <x:c r="J351" s="23" t="str">
        <x:v>先頭交代</x:v>
      </x:c>
      <x:c r="K351" s="23" t="str">
        <x:v>ブリッジ</x:v>
      </x:c>
      <x:c r="L351" s="23" t="str">
        <x:v>逃げ参加</x:v>
      </x:c>
      <x:c r="M351" s="23" t="str">
        <x:v>単独ブリッジ</x:v>
      </x:c>
    </x:row>
    <x:row r="352" ht="40" customHeight="1">
      <x:c r="A352" s="23" t="str">
        <x:v>引退</x:v>
      </x:c>
      <x:c r="B352" s="26" t="n">
        <x:v>48</x:v>
      </x:c>
      <x:c r="C352" s="23" t="str">
        <x:v>Alexander Kristoff</x:v>
      </x:c>
      <x:c r="D352" s="23" t="str">
        <x:v>クラシック型</x:v>
      </x:c>
      <x:c r="E352" s="23" t="str">
        <x:v>スプリンター</x:v>
      </x:c>
      <x:c r="F352" s="23" t="str">
        <x:v>エース型</x:v>
      </x:c>
      <x:c r="G352" s="23" t="str">
        <x:v>丘陵エース / スプリントトレイン / 石畳護衛</x:v>
      </x:c>
      <x:c r="H352" s="23" t="str">
        <x:v>悪路ライン</x:v>
      </x:c>
      <x:c r="I352" s="23" t="str">
        <x:v>衝撃吸収</x:v>
      </x:c>
      <x:c r="J352" s="23" t="str">
        <x:v>前方進入</x:v>
      </x:c>
      <x:c r="K352" s="23" t="str">
        <x:v>悪路アタック</x:v>
      </x:c>
      <x:c r="L352" s="23" t="str">
        <x:v>石畳加速</x:v>
      </x:c>
      <x:c r="M352" s="23" t="str">
        <x:v>石畳決戦</x:v>
      </x:c>
    </x:row>
    <x:row r="353" ht="40" customHeight="1">
      <x:c r="A353" s="23" t="str">
        <x:v>引退</x:v>
      </x:c>
      <x:c r="B353" s="26" t="n">
        <x:v>49</x:v>
      </x:c>
      <x:c r="C353" s="23" t="str">
        <x:v>Philippe Gilbert</x:v>
      </x:c>
      <x:c r="D353" s="23" t="str">
        <x:v>パンチャー</x:v>
      </x:c>
      <x:c r="E353" s="23" t="str">
        <x:v>クライマー</x:v>
      </x:c>
      <x:c r="F353" s="23" t="str">
        <x:v>エース型</x:v>
      </x:c>
      <x:c r="G353" s="23" t="str">
        <x:v>丘陵エース / ステージハンター / 山岳賞ハンター</x:v>
      </x:c>
      <x:c r="H353" s="23" t="str">
        <x:v>仕掛け待ち</x:v>
      </x:c>
      <x:c r="I353" s="23" t="str">
        <x:v>丘陵リズム</x:v>
      </x:c>
      <x:c r="J353" s="23" t="str">
        <x:v>短坂対応</x:v>
      </x:c>
      <x:c r="K353" s="23" t="str">
        <x:v>短坂アタック</x:v>
      </x:c>
      <x:c r="L353" s="23" t="str">
        <x:v>丘陵加速</x:v>
      </x:c>
      <x:c r="M353" s="23" t="str">
        <x:v>丘陵決戦</x:v>
      </x:c>
    </x:row>
    <x:row r="354" ht="40" customHeight="1">
      <x:c r="A354" s="23" t="str">
        <x:v>引退</x:v>
      </x:c>
      <x:c r="B354" s="26" t="n">
        <x:v>50</x:v>
      </x:c>
      <x:c r="C354" s="23" t="str">
        <x:v>Thor Hushovd</x:v>
      </x:c>
      <x:c r="D354" s="23" t="str">
        <x:v>スプリンター</x:v>
      </x:c>
      <x:c r="E354" s="23" t="str">
        <x:v>クラシック型</x:v>
      </x:c>
      <x:c r="F354" s="23" t="str">
        <x:v>エース型</x:v>
      </x:c>
      <x:c r="G354" s="23" t="str">
        <x:v>スプリントエース / リードアウト / 最終発射台</x:v>
      </x:c>
      <x:c r="H354" s="23" t="str">
        <x:v>車輪キープ</x:v>
      </x:c>
      <x:c r="I354" s="23" t="str">
        <x:v>ポジション確保</x:v>
      </x:c>
      <x:c r="J354" s="23" t="str">
        <x:v>前方進入</x:v>
      </x:c>
      <x:c r="K354" s="23" t="str">
        <x:v>高速リードアウト</x:v>
      </x:c>
      <x:c r="L354" s="23" t="str">
        <x:v>平坦カウンター</x:v>
      </x:c>
      <x:c r="M354" s="23" t="str">
        <x:v>スプリント決戦</x:v>
      </x:c>
    </x:row>
    <x:row r="355" ht="40" customHeight="1">
      <x:c r="A355" s="23" t="str">
        <x:v>引退</x:v>
      </x:c>
      <x:c r="B355" s="26" t="n">
        <x:v>51</x:v>
      </x:c>
      <x:c r="C355" s="23" t="str">
        <x:v>Nick Nuyens</x:v>
      </x:c>
      <x:c r="D355" s="23" t="str">
        <x:v>クラシック型</x:v>
      </x:c>
      <x:c r="E355" s="23" t="str">
        <x:v>パンチャー</x:v>
      </x:c>
      <x:c r="F355" s="23" t="str">
        <x:v>エース型</x:v>
      </x:c>
      <x:c r="G355" s="23" t="str">
        <x:v>丘陵エース / 石畳護衛 / 逃げ屋</x:v>
      </x:c>
      <x:c r="H355" s="23" t="str">
        <x:v>悪路ライン</x:v>
      </x:c>
      <x:c r="I355" s="23" t="str">
        <x:v>衝撃吸収</x:v>
      </x:c>
      <x:c r="J355" s="23" t="str">
        <x:v>前方進入</x:v>
      </x:c>
      <x:c r="K355" s="23" t="str">
        <x:v>悪路アタック</x:v>
      </x:c>
      <x:c r="L355" s="23" t="str">
        <x:v>石畳加速</x:v>
      </x:c>
      <x:c r="M355" s="23" t="str">
        <x:v>石畳決戦</x:v>
      </x:c>
    </x:row>
    <x:row r="356" ht="40" customHeight="1">
      <x:c r="A356" s="23" t="str">
        <x:v>引退</x:v>
      </x:c>
      <x:c r="B356" s="26" t="n">
        <x:v>52</x:v>
      </x:c>
      <x:c r="C356" s="23" t="str">
        <x:v>Danilo Di Luca</x:v>
      </x:c>
      <x:c r="D356" s="23" t="str">
        <x:v>パンチャー</x:v>
      </x:c>
      <x:c r="E356" s="23" t="str">
        <x:v>総合型</x:v>
      </x:c>
      <x:c r="F356" s="23" t="str">
        <x:v>エース型</x:v>
      </x:c>
      <x:c r="G356" s="23" t="str">
        <x:v>丘陵エース / ステージハンター / 集団コントローラー</x:v>
      </x:c>
      <x:c r="H356" s="23" t="str">
        <x:v>丘陵リズム</x:v>
      </x:c>
      <x:c r="I356" s="23" t="str">
        <x:v>仕掛け待ち</x:v>
      </x:c>
      <x:c r="J356" s="23" t="str">
        <x:v>短坂対応</x:v>
      </x:c>
      <x:c r="K356" s="23" t="str">
        <x:v>丘陵加速</x:v>
      </x:c>
      <x:c r="L356" s="23" t="str">
        <x:v>短坂アタック</x:v>
      </x:c>
      <x:c r="M356" s="23" t="str">
        <x:v>丘陵決戦</x:v>
      </x:c>
    </x:row>
    <x:row r="357" ht="40" customHeight="1">
      <x:c r="A357" s="23" t="str">
        <x:v>引退</x:v>
      </x:c>
      <x:c r="B357" s="26" t="n">
        <x:v>53</x:v>
      </x:c>
      <x:c r="C357" s="23" t="str">
        <x:v>Michael Woods</x:v>
      </x:c>
      <x:c r="D357" s="23" t="str">
        <x:v>パンチャー</x:v>
      </x:c>
      <x:c r="E357" s="23" t="str">
        <x:v>クライマー</x:v>
      </x:c>
      <x:c r="F357" s="23" t="str">
        <x:v>エース型</x:v>
      </x:c>
      <x:c r="G357" s="23" t="str">
        <x:v>丘陵エース / ステージハンター / 山岳賞ハンター</x:v>
      </x:c>
      <x:c r="H357" s="23" t="str">
        <x:v>仕掛け待ち</x:v>
      </x:c>
      <x:c r="I357" s="23" t="str">
        <x:v>短坂対応</x:v>
      </x:c>
      <x:c r="J357" s="23" t="str">
        <x:v>丘陵リズム</x:v>
      </x:c>
      <x:c r="K357" s="23" t="str">
        <x:v>丘陵加速</x:v>
      </x:c>
      <x:c r="L357" s="23" t="str">
        <x:v>短坂アタック</x:v>
      </x:c>
      <x:c r="M357" s="23" t="str">
        <x:v>丘陵決戦</x:v>
      </x:c>
    </x:row>
    <x:row r="358" ht="40" customHeight="1">
      <x:c r="A358" s="23" t="str">
        <x:v>引退</x:v>
      </x:c>
      <x:c r="B358" s="26" t="n">
        <x:v>54</x:v>
      </x:c>
      <x:c r="C358" s="23" t="str">
        <x:v>Esteban Chaves</x:v>
      </x:c>
      <x:c r="D358" s="23" t="str">
        <x:v>クライマー</x:v>
      </x:c>
      <x:c r="E358" s="23" t="str">
        <x:v>パンチャー</x:v>
      </x:c>
      <x:c r="F358" s="23" t="str">
        <x:v>エース型</x:v>
      </x:c>
      <x:c r="G358" s="23" t="str">
        <x:v>山岳エース / 山岳賞ハンター / 山岳アシスト</x:v>
      </x:c>
      <x:c r="H358" s="23" t="str">
        <x:v>急勾配対応</x:v>
      </x:c>
      <x:c r="I358" s="23" t="str">
        <x:v>登坂リズム</x:v>
      </x:c>
      <x:c r="J358" s="23" t="str">
        <x:v>山岳待機</x:v>
      </x:c>
      <x:c r="K358" s="23" t="str">
        <x:v>登坂ペースアップ</x:v>
      </x:c>
      <x:c r="L358" s="23" t="str">
        <x:v>頂上前加速</x:v>
      </x:c>
      <x:c r="M358" s="23" t="str">
        <x:v>山岳決戦</x:v>
      </x:c>
    </x:row>
    <x:row r="359" ht="40" customHeight="1">
      <x:c r="A359" s="23" t="str">
        <x:v>引退</x:v>
      </x:c>
      <x:c r="B359" s="26" t="n">
        <x:v>55</x:v>
      </x:c>
      <x:c r="C359" s="23" t="str">
        <x:v>Rigoberto Uran</x:v>
      </x:c>
      <x:c r="D359" s="23" t="str">
        <x:v>総合型</x:v>
      </x:c>
      <x:c r="E359" s="23" t="str">
        <x:v>クライマー</x:v>
      </x:c>
      <x:c r="F359" s="23" t="str">
        <x:v>エース型</x:v>
      </x:c>
      <x:c r="G359" s="23" t="str">
        <x:v>総合エース / 山岳賞ハンター / 山岳アシスト</x:v>
      </x:c>
      <x:c r="H359" s="23" t="str">
        <x:v>急勾配対応</x:v>
      </x:c>
      <x:c r="I359" s="23" t="str">
        <x:v>登坂リズム</x:v>
      </x:c>
      <x:c r="J359" s="23" t="str">
        <x:v>山岳待機</x:v>
      </x:c>
      <x:c r="K359" s="23" t="str">
        <x:v>登坂ペースアップ</x:v>
      </x:c>
      <x:c r="L359" s="23" t="str">
        <x:v>頂上前加速</x:v>
      </x:c>
      <x:c r="M359" s="23" t="str">
        <x:v>山岳決戦</x:v>
      </x:c>
    </x:row>
    <x:row r="360" ht="40" customHeight="1">
      <x:c r="A360" s="23" t="str">
        <x:v>引退</x:v>
      </x:c>
      <x:c r="B360" s="26" t="n">
        <x:v>56</x:v>
      </x:c>
      <x:c r="C360" s="23" t="str">
        <x:v>Levi Leipheimer</x:v>
      </x:c>
      <x:c r="D360" s="23" t="str">
        <x:v>総合型</x:v>
      </x:c>
      <x:c r="E360" s="23" t="str">
        <x:v>TT・ルーラー型</x:v>
      </x:c>
      <x:c r="F360" s="23" t="str">
        <x:v>エース型</x:v>
      </x:c>
      <x:c r="G360" s="23" t="str">
        <x:v>総合エース / 山岳アシスト / 山岳番手</x:v>
      </x:c>
      <x:c r="H360" s="23" t="str">
        <x:v>急勾配対応</x:v>
      </x:c>
      <x:c r="I360" s="23" t="str">
        <x:v>登坂リズム</x:v>
      </x:c>
      <x:c r="J360" s="23" t="str">
        <x:v>山岳待機</x:v>
      </x:c>
      <x:c r="K360" s="23" t="str">
        <x:v>登坂ペースアップ</x:v>
      </x:c>
      <x:c r="L360" s="23" t="str">
        <x:v>最後の山岳牽引</x:v>
      </x:c>
      <x:c r="M360" s="23" t="str">
        <x:v>山岳決戦</x:v>
      </x:c>
    </x:row>
    <x:row r="361" ht="40" customHeight="1">
      <x:c r="A361" s="23" t="str">
        <x:v>引退</x:v>
      </x:c>
      <x:c r="B361" s="26" t="n">
        <x:v>57</x:v>
      </x:c>
      <x:c r="C361" s="23" t="str">
        <x:v>Dylan Teuns</x:v>
      </x:c>
      <x:c r="D361" s="23" t="str">
        <x:v>パンチャー</x:v>
      </x:c>
      <x:c r="E361" s="23" t="str">
        <x:v>クライマー</x:v>
      </x:c>
      <x:c r="F361" s="23" t="str">
        <x:v>エース型</x:v>
      </x:c>
      <x:c r="G361" s="23" t="str">
        <x:v>丘陵エース / ステージハンター / 山岳賞ハンター</x:v>
      </x:c>
      <x:c r="H361" s="23" t="str">
        <x:v>仕掛け待ち</x:v>
      </x:c>
      <x:c r="I361" s="23" t="str">
        <x:v>短坂対応</x:v>
      </x:c>
      <x:c r="J361" s="23" t="str">
        <x:v>丘陵リズム</x:v>
      </x:c>
      <x:c r="K361" s="23" t="str">
        <x:v>丘陵加速</x:v>
      </x:c>
      <x:c r="L361" s="23" t="str">
        <x:v>短坂アタック</x:v>
      </x:c>
      <x:c r="M361" s="23" t="str">
        <x:v>丘陵決戦</x:v>
      </x:c>
    </x:row>
    <x:row r="362" ht="40" customHeight="1">
      <x:c r="A362" s="23" t="str">
        <x:v>引退</x:v>
      </x:c>
      <x:c r="B362" s="26" t="n">
        <x:v>58</x:v>
      </x:c>
      <x:c r="C362" s="23" t="str">
        <x:v>Nacer Bouhanni</x:v>
      </x:c>
      <x:c r="D362" s="23" t="str">
        <x:v>スプリンター</x:v>
      </x:c>
      <x:c r="E362" s="23" t="str">
        <x:v>パンチャー</x:v>
      </x:c>
      <x:c r="F362" s="23" t="str">
        <x:v>エース型</x:v>
      </x:c>
      <x:c r="G362" s="23" t="str">
        <x:v>スプリントエース / リードアウト / 最終発射台</x:v>
      </x:c>
      <x:c r="H362" s="23" t="str">
        <x:v>車輪キープ</x:v>
      </x:c>
      <x:c r="I362" s="23" t="str">
        <x:v>ポジション確保</x:v>
      </x:c>
      <x:c r="J362" s="23" t="str">
        <x:v>短坂対応</x:v>
      </x:c>
      <x:c r="K362" s="23" t="str">
        <x:v>高速リードアウト</x:v>
      </x:c>
      <x:c r="L362" s="23" t="str">
        <x:v>平坦カウンター</x:v>
      </x:c>
      <x:c r="M362" s="23" t="str">
        <x:v>スプリント決戦</x:v>
      </x:c>
    </x:row>
    <x:row r="363" ht="40" customHeight="1">
      <x:c r="A363" s="23" t="str">
        <x:v>引退</x:v>
      </x:c>
      <x:c r="B363" s="26" t="n">
        <x:v>59</x:v>
      </x:c>
      <x:c r="C363" s="23" t="str">
        <x:v>Elia Viviani</x:v>
      </x:c>
      <x:c r="D363" s="23" t="str">
        <x:v>スプリンター</x:v>
      </x:c>
      <x:c r="E363" s="23" t="str">
        <x:v>TT・ルーラー型</x:v>
      </x:c>
      <x:c r="F363" s="23" t="str">
        <x:v>エース型</x:v>
      </x:c>
      <x:c r="G363" s="23" t="str">
        <x:v>スプリントエース / リードアウト / 最終発射台</x:v>
      </x:c>
      <x:c r="H363" s="23" t="str">
        <x:v>車輪キープ</x:v>
      </x:c>
      <x:c r="I363" s="23" t="str">
        <x:v>ポジション確保</x:v>
      </x:c>
      <x:c r="J363" s="23" t="str">
        <x:v>巡航温存</x:v>
      </x:c>
      <x:c r="K363" s="23" t="str">
        <x:v>高速リードアウト</x:v>
      </x:c>
      <x:c r="L363" s="23" t="str">
        <x:v>平坦カウンター</x:v>
      </x:c>
      <x:c r="M363" s="23" t="str">
        <x:v>スプリント決戦</x:v>
      </x:c>
    </x:row>
    <x:row r="364" ht="40" customHeight="1">
      <x:c r="A364" s="23" t="str">
        <x:v>引退</x:v>
      </x:c>
      <x:c r="B364" s="26" t="n">
        <x:v>60</x:v>
      </x:c>
      <x:c r="C364" s="23" t="str">
        <x:v>Davide Rebellin</x:v>
      </x:c>
      <x:c r="D364" s="23" t="str">
        <x:v>パンチャー</x:v>
      </x:c>
      <x:c r="E364" s="23" t="str">
        <x:v>クライマー</x:v>
      </x:c>
      <x:c r="F364" s="23" t="str">
        <x:v>エース型</x:v>
      </x:c>
      <x:c r="G364" s="23" t="str">
        <x:v>丘陵エース / ステージハンター / 山岳賞ハンター</x:v>
      </x:c>
      <x:c r="H364" s="23" t="str">
        <x:v>仕掛け待ち</x:v>
      </x:c>
      <x:c r="I364" s="23" t="str">
        <x:v>短坂対応</x:v>
      </x:c>
      <x:c r="J364" s="23" t="str">
        <x:v>丘陵リズム</x:v>
      </x:c>
      <x:c r="K364" s="23" t="str">
        <x:v>丘陵加速</x:v>
      </x:c>
      <x:c r="L364" s="23" t="str">
        <x:v>短坂アタック</x:v>
      </x:c>
      <x:c r="M364" s="23" t="str">
        <x:v>丘陵決戦</x:v>
      </x:c>
    </x:row>
    <x:row r="365" ht="40" customHeight="1">
      <x:c r="A365" s="23" t="str">
        <x:v>引退</x:v>
      </x:c>
      <x:c r="B365" s="26" t="n">
        <x:v>61</x:v>
      </x:c>
      <x:c r="C365" s="23" t="str">
        <x:v>Tony Martin</x:v>
      </x:c>
      <x:c r="D365" s="23" t="str">
        <x:v>TT・ルーラー型</x:v>
      </x:c>
      <x:c r="E365" s="23" t="str">
        <x:v>クラシック型</x:v>
      </x:c>
      <x:c r="F365" s="23" t="str">
        <x:v>エース型</x:v>
      </x:c>
      <x:c r="G365" s="23" t="str">
        <x:v>丘陵エース / TTスペシャリスト / 集団コントローラー</x:v>
      </x:c>
      <x:c r="H365" s="23" t="str">
        <x:v>巡航温存</x:v>
      </x:c>
      <x:c r="I365" s="23" t="str">
        <x:v>ポジション確保</x:v>
      </x:c>
      <x:c r="J365" s="23" t="str">
        <x:v>車輪キープ</x:v>
      </x:c>
      <x:c r="K365" s="23" t="str">
        <x:v>高速巡航</x:v>
      </x:c>
      <x:c r="L365" s="23" t="str">
        <x:v>平坦カウンター</x:v>
      </x:c>
      <x:c r="M365" s="23" t="str">
        <x:v>全開独走</x:v>
      </x:c>
    </x:row>
    <x:row r="366" ht="40" customHeight="1">
      <x:c r="A366" s="23" t="str">
        <x:v>引退</x:v>
      </x:c>
      <x:c r="B366" s="26" t="n">
        <x:v>62</x:v>
      </x:c>
      <x:c r="C366" s="23" t="str">
        <x:v>Andrei Tchmil</x:v>
      </x:c>
      <x:c r="D366" s="23" t="str">
        <x:v>クラシック型</x:v>
      </x:c>
      <x:c r="E366" s="23" t="str">
        <x:v>TT・ルーラー型</x:v>
      </x:c>
      <x:c r="F366" s="23" t="str">
        <x:v>エース型</x:v>
      </x:c>
      <x:c r="G366" s="23" t="str">
        <x:v>丘陵エース / TT牽引 / 石畳護衛</x:v>
      </x:c>
      <x:c r="H366" s="23" t="str">
        <x:v>衝撃吸収</x:v>
      </x:c>
      <x:c r="I366" s="23" t="str">
        <x:v>悪路ライン</x:v>
      </x:c>
      <x:c r="J366" s="23" t="str">
        <x:v>前方進入</x:v>
      </x:c>
      <x:c r="K366" s="23" t="str">
        <x:v>悪路アタック</x:v>
      </x:c>
      <x:c r="L366" s="23" t="str">
        <x:v>石畳加速</x:v>
      </x:c>
      <x:c r="M366" s="23" t="str">
        <x:v>石畳決戦</x:v>
      </x:c>
    </x:row>
    <x:row r="367" ht="40" customHeight="1">
      <x:c r="A367" s="23" t="str">
        <x:v>引退</x:v>
      </x:c>
      <x:c r="B367" s="26" t="n">
        <x:v>63</x:v>
      </x:c>
      <x:c r="C367" s="23" t="str">
        <x:v>Johan Vansummeren</x:v>
      </x:c>
      <x:c r="D367" s="23" t="str">
        <x:v>クラシック型</x:v>
      </x:c>
      <x:c r="E367" s="23" t="str">
        <x:v>TT・ルーラー型</x:v>
      </x:c>
      <x:c r="F367" s="23" t="str">
        <x:v>エース型</x:v>
      </x:c>
      <x:c r="G367" s="23" t="str">
        <x:v>丘陵エース / TT牽引 / 石畳護衛</x:v>
      </x:c>
      <x:c r="H367" s="23" t="str">
        <x:v>衝撃吸収</x:v>
      </x:c>
      <x:c r="I367" s="23" t="str">
        <x:v>悪路ライン</x:v>
      </x:c>
      <x:c r="J367" s="23" t="str">
        <x:v>前方進入</x:v>
      </x:c>
      <x:c r="K367" s="23" t="str">
        <x:v>悪路アタック</x:v>
      </x:c>
      <x:c r="L367" s="23" t="str">
        <x:v>石畳加速</x:v>
      </x:c>
      <x:c r="M367" s="23" t="str">
        <x:v>石畳決戦</x:v>
      </x:c>
    </x:row>
    <x:row r="368" ht="40" customHeight="1">
      <x:c r="A368" s="23" t="str">
        <x:v>引退</x:v>
      </x:c>
      <x:c r="B368" s="26" t="n">
        <x:v>64</x:v>
      </x:c>
      <x:c r="C368" s="23" t="str">
        <x:v>Oscar Freire</x:v>
      </x:c>
      <x:c r="D368" s="23" t="str">
        <x:v>スプリンター</x:v>
      </x:c>
      <x:c r="E368" s="23" t="str">
        <x:v>クラシック型</x:v>
      </x:c>
      <x:c r="F368" s="23" t="str">
        <x:v>エース型</x:v>
      </x:c>
      <x:c r="G368" s="23" t="str">
        <x:v>スプリントエース / リードアウト / 最終発射台</x:v>
      </x:c>
      <x:c r="H368" s="23" t="str">
        <x:v>車輪キープ</x:v>
      </x:c>
      <x:c r="I368" s="23" t="str">
        <x:v>ポジション確保</x:v>
      </x:c>
      <x:c r="J368" s="23" t="str">
        <x:v>巡航温存</x:v>
      </x:c>
      <x:c r="K368" s="23" t="str">
        <x:v>高速リードアウト</x:v>
      </x:c>
      <x:c r="L368" s="23" t="str">
        <x:v>平坦カウンター</x:v>
      </x:c>
      <x:c r="M368" s="23" t="str">
        <x:v>スプリント決戦</x:v>
      </x:c>
    </x:row>
    <x:row r="369" ht="40" customHeight="1">
      <x:c r="A369" s="23" t="str">
        <x:v>引退</x:v>
      </x:c>
      <x:c r="B369" s="26" t="n">
        <x:v>65</x:v>
      </x:c>
      <x:c r="C369" s="23" t="str">
        <x:v>Evgeni Berzin</x:v>
      </x:c>
      <x:c r="D369" s="23" t="str">
        <x:v>総合型</x:v>
      </x:c>
      <x:c r="E369" s="23" t="str">
        <x:v>TT・ルーラー型</x:v>
      </x:c>
      <x:c r="F369" s="23" t="str">
        <x:v>エース型</x:v>
      </x:c>
      <x:c r="G369" s="23" t="str">
        <x:v>総合エース / 山岳アシスト / 集団コントローラー</x:v>
      </x:c>
      <x:c r="H369" s="23" t="str">
        <x:v>急勾配対応</x:v>
      </x:c>
      <x:c r="I369" s="23" t="str">
        <x:v>登坂リズム</x:v>
      </x:c>
      <x:c r="J369" s="23" t="str">
        <x:v>山岳待機</x:v>
      </x:c>
      <x:c r="K369" s="23" t="str">
        <x:v>登坂ペースアップ</x:v>
      </x:c>
      <x:c r="L369" s="23" t="str">
        <x:v>頂上前加速</x:v>
      </x:c>
      <x:c r="M369" s="23" t="str">
        <x:v>山岳決戦</x:v>
      </x:c>
    </x:row>
    <x:row r="370" ht="40" customHeight="1">
      <x:c r="A370" s="23" t="str">
        <x:v>引退</x:v>
      </x:c>
      <x:c r="B370" s="26" t="n">
        <x:v>66</x:v>
      </x:c>
      <x:c r="C370" s="23" t="str">
        <x:v>Fabio Aru</x:v>
      </x:c>
      <x:c r="D370" s="23" t="str">
        <x:v>総合型</x:v>
      </x:c>
      <x:c r="E370" s="23" t="str">
        <x:v>クライマー</x:v>
      </x:c>
      <x:c r="F370" s="23" t="str">
        <x:v>エース型</x:v>
      </x:c>
      <x:c r="G370" s="23" t="str">
        <x:v>総合エース / 山岳賞ハンター / 山岳アシスト</x:v>
      </x:c>
      <x:c r="H370" s="23" t="str">
        <x:v>急勾配対応</x:v>
      </x:c>
      <x:c r="I370" s="23" t="str">
        <x:v>登坂リズム</x:v>
      </x:c>
      <x:c r="J370" s="23" t="str">
        <x:v>山岳待機</x:v>
      </x:c>
      <x:c r="K370" s="23" t="str">
        <x:v>登坂ペースアップ</x:v>
      </x:c>
      <x:c r="L370" s="23" t="str">
        <x:v>頂上前加速</x:v>
      </x:c>
      <x:c r="M370" s="23" t="str">
        <x:v>山岳決戦</x:v>
      </x:c>
    </x:row>
    <x:row r="371" ht="40" customHeight="1">
      <x:c r="A371" s="23" t="str">
        <x:v>引退</x:v>
      </x:c>
      <x:c r="B371" s="26" t="n">
        <x:v>67</x:v>
      </x:c>
      <x:c r="C371" s="23" t="str">
        <x:v>Jakob Fuglsang</x:v>
      </x:c>
      <x:c r="D371" s="23" t="str">
        <x:v>パンチャー</x:v>
      </x:c>
      <x:c r="E371" s="23" t="str">
        <x:v>総合型</x:v>
      </x:c>
      <x:c r="F371" s="23" t="str">
        <x:v>エース型</x:v>
      </x:c>
      <x:c r="G371" s="23" t="str">
        <x:v>丘陵エース / ステージハンター / 集団コントローラー</x:v>
      </x:c>
      <x:c r="H371" s="23" t="str">
        <x:v>仕掛け待ち</x:v>
      </x:c>
      <x:c r="I371" s="23" t="str">
        <x:v>短坂対応</x:v>
      </x:c>
      <x:c r="J371" s="23" t="str">
        <x:v>丘陵リズム</x:v>
      </x:c>
      <x:c r="K371" s="23" t="str">
        <x:v>丘陵加速</x:v>
      </x:c>
      <x:c r="L371" s="23" t="str">
        <x:v>短坂アタック</x:v>
      </x:c>
      <x:c r="M371" s="23" t="str">
        <x:v>丘陵決戦</x:v>
      </x:c>
    </x:row>
    <x:row r="372" ht="40" customHeight="1">
      <x:c r="A372" s="23" t="str">
        <x:v>引退</x:v>
      </x:c>
      <x:c r="B372" s="26" t="n">
        <x:v>68</x:v>
      </x:c>
      <x:c r="C372" s="23" t="str">
        <x:v>Sam Bennett</x:v>
      </x:c>
      <x:c r="D372" s="23" t="str">
        <x:v>スプリンター</x:v>
      </x:c>
      <x:c r="E372" s="23" t="str">
        <x:v>クラシック型</x:v>
      </x:c>
      <x:c r="F372" s="23" t="str">
        <x:v>エース型</x:v>
      </x:c>
      <x:c r="G372" s="23" t="str">
        <x:v>スプリントエース / リードアウト / 最終発射台</x:v>
      </x:c>
      <x:c r="H372" s="23" t="str">
        <x:v>車輪キープ</x:v>
      </x:c>
      <x:c r="I372" s="23" t="str">
        <x:v>ポジション確保</x:v>
      </x:c>
      <x:c r="J372" s="23" t="str">
        <x:v>巡航温存</x:v>
      </x:c>
      <x:c r="K372" s="23" t="str">
        <x:v>高速リードアウト</x:v>
      </x:c>
      <x:c r="L372" s="23" t="str">
        <x:v>平坦カウンター</x:v>
      </x:c>
      <x:c r="M372" s="23" t="str">
        <x:v>スプリント決戦</x:v>
      </x:c>
    </x:row>
    <x:row r="373" ht="40" customHeight="1">
      <x:c r="A373" s="23" t="str">
        <x:v>引退</x:v>
      </x:c>
      <x:c r="B373" s="26" t="n">
        <x:v>69</x:v>
      </x:c>
      <x:c r="C373" s="23" t="str">
        <x:v>Tyler Farrar</x:v>
      </x:c>
      <x:c r="D373" s="23" t="str">
        <x:v>スプリンター</x:v>
      </x:c>
      <x:c r="E373" s="23" t="str">
        <x:v>クラシック型</x:v>
      </x:c>
      <x:c r="F373" s="23" t="str">
        <x:v>エース型</x:v>
      </x:c>
      <x:c r="G373" s="23" t="str">
        <x:v>スプリントエース / リードアウト / 最終発射台</x:v>
      </x:c>
      <x:c r="H373" s="23" t="str">
        <x:v>車輪キープ</x:v>
      </x:c>
      <x:c r="I373" s="23" t="str">
        <x:v>ポジション確保</x:v>
      </x:c>
      <x:c r="J373" s="23" t="str">
        <x:v>巡航温存</x:v>
      </x:c>
      <x:c r="K373" s="23" t="str">
        <x:v>高速リードアウト</x:v>
      </x:c>
      <x:c r="L373" s="23" t="str">
        <x:v>平坦カウンター</x:v>
      </x:c>
      <x:c r="M373" s="23" t="str">
        <x:v>スプリント決戦</x:v>
      </x:c>
    </x:row>
    <x:row r="374" ht="40" customHeight="1">
      <x:c r="A374" s="23" t="str">
        <x:v>引退</x:v>
      </x:c>
      <x:c r="B374" s="26" t="n">
        <x:v>70</x:v>
      </x:c>
      <x:c r="C374" s="23" t="str">
        <x:v>Fernando Gaviria</x:v>
      </x:c>
      <x:c r="D374" s="23" t="str">
        <x:v>スプリンター</x:v>
      </x:c>
      <x:c r="E374" s="23" t="str">
        <x:v>TT・ルーラー型</x:v>
      </x:c>
      <x:c r="F374" s="23" t="str">
        <x:v>エース型</x:v>
      </x:c>
      <x:c r="G374" s="23" t="str">
        <x:v>スプリントエース / リードアウト / 最終発射台</x:v>
      </x:c>
      <x:c r="H374" s="23" t="str">
        <x:v>車輪キープ</x:v>
      </x:c>
      <x:c r="I374" s="23" t="str">
        <x:v>ポジション確保</x:v>
      </x:c>
      <x:c r="J374" s="23" t="str">
        <x:v>巡航温存</x:v>
      </x:c>
      <x:c r="K374" s="23" t="str">
        <x:v>高速リードアウト</x:v>
      </x:c>
      <x:c r="L374" s="23" t="str">
        <x:v>平坦カウンター</x:v>
      </x:c>
      <x:c r="M374" s="23" t="str">
        <x:v>スプリント決戦</x:v>
      </x:c>
    </x:row>
    <x:row r="375" ht="40" customHeight="1">
      <x:c r="A375" s="23" t="str">
        <x:v>引退</x:v>
      </x:c>
      <x:c r="B375" s="26" t="n">
        <x:v>71</x:v>
      </x:c>
      <x:c r="C375" s="23" t="str">
        <x:v>Peter Van Petegem</x:v>
      </x:c>
      <x:c r="D375" s="23" t="str">
        <x:v>クラシック型</x:v>
      </x:c>
      <x:c r="E375" s="23" t="str">
        <x:v>パンチャー</x:v>
      </x:c>
      <x:c r="F375" s="23" t="str">
        <x:v>エース型</x:v>
      </x:c>
      <x:c r="G375" s="23" t="str">
        <x:v>丘陵エース / 石畳護衛 / 横風要員</x:v>
      </x:c>
      <x:c r="H375" s="23" t="str">
        <x:v>悪路ライン</x:v>
      </x:c>
      <x:c r="I375" s="23" t="str">
        <x:v>衝撃吸収</x:v>
      </x:c>
      <x:c r="J375" s="23" t="str">
        <x:v>前方進入</x:v>
      </x:c>
      <x:c r="K375" s="23" t="str">
        <x:v>悪路アタック</x:v>
      </x:c>
      <x:c r="L375" s="23" t="str">
        <x:v>石畳加速</x:v>
      </x:c>
      <x:c r="M375" s="23" t="str">
        <x:v>石畳決戦</x:v>
      </x:c>
    </x:row>
    <x:row r="376" ht="40" customHeight="1">
      <x:c r="A376" s="23" t="str">
        <x:v>引退</x:v>
      </x:c>
      <x:c r="B376" s="26" t="n">
        <x:v>72</x:v>
      </x:c>
      <x:c r="C376" s="23" t="str">
        <x:v>Bradley Wiggins</x:v>
      </x:c>
      <x:c r="D376" s="23" t="str">
        <x:v>TT・ルーラー型</x:v>
      </x:c>
      <x:c r="E376" s="23" t="str">
        <x:v>総合型</x:v>
      </x:c>
      <x:c r="F376" s="23" t="str">
        <x:v>エース型</x:v>
      </x:c>
      <x:c r="G376" s="23" t="str">
        <x:v>総合エース / TTスペシャリスト / 平坦ペースメーカー</x:v>
      </x:c>
      <x:c r="H376" s="23" t="str">
        <x:v>巡航温存</x:v>
      </x:c>
      <x:c r="I376" s="23" t="str">
        <x:v>衝撃吸収</x:v>
      </x:c>
      <x:c r="J376" s="23" t="str">
        <x:v>登坂リズム</x:v>
      </x:c>
      <x:c r="K376" s="23" t="str">
        <x:v>高速巡航</x:v>
      </x:c>
      <x:c r="L376" s="23" t="str">
        <x:v>ハイペース維持</x:v>
      </x:c>
      <x:c r="M376" s="23" t="str">
        <x:v>全開独走</x:v>
      </x:c>
    </x:row>
    <x:row r="377" ht="40" customHeight="1">
      <x:c r="A377" s="23" t="str">
        <x:v>引退</x:v>
      </x:c>
      <x:c r="B377" s="26" t="n">
        <x:v>73</x:v>
      </x:c>
      <x:c r="C377" s="23" t="str">
        <x:v>Servais Knaven</x:v>
      </x:c>
      <x:c r="D377" s="23" t="str">
        <x:v>クラシック型</x:v>
      </x:c>
      <x:c r="E377" s="23" t="str">
        <x:v>TT・ルーラー型</x:v>
      </x:c>
      <x:c r="F377" s="23" t="str">
        <x:v>エース型</x:v>
      </x:c>
      <x:c r="G377" s="23" t="str">
        <x:v>丘陵エース / TT牽引 / 石畳護衛</x:v>
      </x:c>
      <x:c r="H377" s="23" t="str">
        <x:v>悪路ライン</x:v>
      </x:c>
      <x:c r="I377" s="23" t="str">
        <x:v>衝撃吸収</x:v>
      </x:c>
      <x:c r="J377" s="23" t="str">
        <x:v>前方進入</x:v>
      </x:c>
      <x:c r="K377" s="23" t="str">
        <x:v>悪路アタック</x:v>
      </x:c>
      <x:c r="L377" s="23" t="str">
        <x:v>石畳加速</x:v>
      </x:c>
      <x:c r="M377" s="23" t="str">
        <x:v>石畳決戦</x:v>
      </x:c>
    </x:row>
    <x:row r="378" ht="40" customHeight="1">
      <x:c r="A378" s="23" t="str">
        <x:v>引退</x:v>
      </x:c>
      <x:c r="B378" s="26" t="n">
        <x:v>74</x:v>
      </x:c>
      <x:c r="C378" s="23" t="str">
        <x:v>Damiano Cunego</x:v>
      </x:c>
      <x:c r="D378" s="23" t="str">
        <x:v>パンチャー</x:v>
      </x:c>
      <x:c r="E378" s="23" t="str">
        <x:v>クライマー</x:v>
      </x:c>
      <x:c r="F378" s="23" t="str">
        <x:v>エース型</x:v>
      </x:c>
      <x:c r="G378" s="23" t="str">
        <x:v>丘陵エース / ステージハンター / 山岳賞ハンター</x:v>
      </x:c>
      <x:c r="H378" s="23" t="str">
        <x:v>丘陵リズム</x:v>
      </x:c>
      <x:c r="I378" s="23" t="str">
        <x:v>仕掛け待ち</x:v>
      </x:c>
      <x:c r="J378" s="23" t="str">
        <x:v>短坂対応</x:v>
      </x:c>
      <x:c r="K378" s="23" t="str">
        <x:v>短坂アタック</x:v>
      </x:c>
      <x:c r="L378" s="23" t="str">
        <x:v>丘陵加速</x:v>
      </x:c>
      <x:c r="M378" s="23" t="str">
        <x:v>丘陵決戦</x:v>
      </x:c>
    </x:row>
    <x:row r="379" ht="40" customHeight="1">
      <x:c r="A379" s="23" t="str">
        <x:v>引退</x:v>
      </x:c>
      <x:c r="B379" s="26" t="n">
        <x:v>75</x:v>
      </x:c>
      <x:c r="C379" s="23" t="str">
        <x:v>Claudio Chiappucci</x:v>
      </x:c>
      <x:c r="D379" s="23" t="str">
        <x:v>クライマー</x:v>
      </x:c>
      <x:c r="E379" s="23" t="str">
        <x:v>パンチャー</x:v>
      </x:c>
      <x:c r="F379" s="23" t="str">
        <x:v>エース型</x:v>
      </x:c>
      <x:c r="G379" s="23" t="str">
        <x:v>山岳エース / 山岳賞ハンター / 山岳アシスト</x:v>
      </x:c>
      <x:c r="H379" s="23" t="str">
        <x:v>登坂リズム</x:v>
      </x:c>
      <x:c r="I379" s="23" t="str">
        <x:v>急勾配対応</x:v>
      </x:c>
      <x:c r="J379" s="23" t="str">
        <x:v>山岳待機</x:v>
      </x:c>
      <x:c r="K379" s="23" t="str">
        <x:v>登坂ペースアップ</x:v>
      </x:c>
      <x:c r="L379" s="23" t="str">
        <x:v>頂上前加速</x:v>
      </x:c>
      <x:c r="M379" s="23" t="str">
        <x:v>山岳決戦</x:v>
      </x:c>
    </x:row>
    <x:row r="380" ht="40" customHeight="1">
      <x:c r="A380" s="23" t="str">
        <x:v>引退</x:v>
      </x:c>
      <x:c r="B380" s="26" t="n">
        <x:v>76</x:v>
      </x:c>
      <x:c r="C380" s="23" t="str">
        <x:v>Luis Leon Sanchez</x:v>
      </x:c>
      <x:c r="D380" s="23" t="str">
        <x:v>TT・ルーラー型</x:v>
      </x:c>
      <x:c r="E380" s="23" t="str">
        <x:v>クラシック型</x:v>
      </x:c>
      <x:c r="F380" s="23" t="str">
        <x:v>エース型</x:v>
      </x:c>
      <x:c r="G380" s="23" t="str">
        <x:v>丘陵エース / 平坦ペースメーカー / TT牽引</x:v>
      </x:c>
      <x:c r="H380" s="23" t="str">
        <x:v>巡航温存</x:v>
      </x:c>
      <x:c r="I380" s="23" t="str">
        <x:v>ポジション確保</x:v>
      </x:c>
      <x:c r="J380" s="23" t="str">
        <x:v>車輪キープ</x:v>
      </x:c>
      <x:c r="K380" s="23" t="str">
        <x:v>高速巡航</x:v>
      </x:c>
      <x:c r="L380" s="23" t="str">
        <x:v>ハイペース維持</x:v>
      </x:c>
      <x:c r="M380" s="23" t="str">
        <x:v>全開独走</x:v>
      </x:c>
    </x:row>
    <x:row r="381" ht="40" customHeight="1">
      <x:c r="A381" s="23" t="str">
        <x:v>引退</x:v>
      </x:c>
      <x:c r="B381" s="26" t="n">
        <x:v>77</x:v>
      </x:c>
      <x:c r="C381" s="23" t="str">
        <x:v>Filippo Pozzato</x:v>
      </x:c>
      <x:c r="D381" s="23" t="str">
        <x:v>クラシック型</x:v>
      </x:c>
      <x:c r="E381" s="23" t="str">
        <x:v>スプリンター</x:v>
      </x:c>
      <x:c r="F381" s="23" t="str">
        <x:v>エース型</x:v>
      </x:c>
      <x:c r="G381" s="23" t="str">
        <x:v>丘陵エース / スプリントトレイン / 石畳護衛</x:v>
      </x:c>
      <x:c r="H381" s="23" t="str">
        <x:v>ポジション確保</x:v>
      </x:c>
      <x:c r="I381" s="23" t="str">
        <x:v>悪路ライン</x:v>
      </x:c>
      <x:c r="J381" s="23" t="str">
        <x:v>前方進入</x:v>
      </x:c>
      <x:c r="K381" s="23" t="str">
        <x:v>トレイン加速</x:v>
      </x:c>
      <x:c r="L381" s="23" t="str">
        <x:v>石畳加速</x:v>
      </x:c>
      <x:c r="M381" s="23" t="str">
        <x:v>石畳決戦</x:v>
      </x:c>
    </x:row>
    <x:row r="382" ht="40" customHeight="1">
      <x:c r="A382" s="23" t="str">
        <x:v>引退</x:v>
      </x:c>
      <x:c r="B382" s="26" t="n">
        <x:v>78</x:v>
      </x:c>
      <x:c r="C382" s="23" t="str">
        <x:v>Michael Rasmussen</x:v>
      </x:c>
      <x:c r="D382" s="23" t="str">
        <x:v>クライマー</x:v>
      </x:c>
      <x:c r="E382" s="23" t="str">
        <x:v>総合型</x:v>
      </x:c>
      <x:c r="F382" s="23" t="str">
        <x:v>エース型</x:v>
      </x:c>
      <x:c r="G382" s="23" t="str">
        <x:v>山岳エース / 山岳賞ハンター / 山岳アシスト</x:v>
      </x:c>
      <x:c r="H382" s="23" t="str">
        <x:v>急勾配対応</x:v>
      </x:c>
      <x:c r="I382" s="23" t="str">
        <x:v>登坂リズム</x:v>
      </x:c>
      <x:c r="J382" s="23" t="str">
        <x:v>山岳待機</x:v>
      </x:c>
      <x:c r="K382" s="23" t="str">
        <x:v>登坂ペースアップ</x:v>
      </x:c>
      <x:c r="L382" s="23" t="str">
        <x:v>頂上前加速</x:v>
      </x:c>
      <x:c r="M382" s="23" t="str">
        <x:v>山岳決戦</x:v>
      </x:c>
    </x:row>
    <x:row r="383" ht="40" customHeight="1">
      <x:c r="A383" s="23" t="str">
        <x:v>引退</x:v>
      </x:c>
      <x:c r="B383" s="26" t="n">
        <x:v>79</x:v>
      </x:c>
      <x:c r="C383" s="23" t="str">
        <x:v>Ben Healy</x:v>
      </x:c>
      <x:c r="D383" s="23" t="str">
        <x:v>パンチャー</x:v>
      </x:c>
      <x:c r="E383" s="23" t="str">
        <x:v>クライマー</x:v>
      </x:c>
      <x:c r="F383" s="23" t="str">
        <x:v>エース型</x:v>
      </x:c>
      <x:c r="G383" s="23" t="str">
        <x:v>丘陵エース / ステージハンター / 山岳賞ハンター</x:v>
      </x:c>
      <x:c r="H383" s="23" t="str">
        <x:v>仕掛け待ち</x:v>
      </x:c>
      <x:c r="I383" s="23" t="str">
        <x:v>短坂対応</x:v>
      </x:c>
      <x:c r="J383" s="23" t="str">
        <x:v>丘陵リズム</x:v>
      </x:c>
      <x:c r="K383" s="23" t="str">
        <x:v>短坂アタック</x:v>
      </x:c>
      <x:c r="L383" s="23" t="str">
        <x:v>丘陵加速</x:v>
      </x:c>
      <x:c r="M383" s="23" t="str">
        <x:v>丘陵決戦</x:v>
      </x:c>
    </x:row>
    <x:row r="384" ht="40" customHeight="1">
      <x:c r="A384" s="23" t="str">
        <x:v>引退</x:v>
      </x:c>
      <x:c r="B384" s="26" t="n">
        <x:v>80</x:v>
      </x:c>
      <x:c r="C384" s="23" t="str">
        <x:v>Pavel Tonkov</x:v>
      </x:c>
      <x:c r="D384" s="23" t="str">
        <x:v>総合型</x:v>
      </x:c>
      <x:c r="E384" s="23" t="str">
        <x:v>クライマー</x:v>
      </x:c>
      <x:c r="F384" s="23" t="str">
        <x:v>エース型</x:v>
      </x:c>
      <x:c r="G384" s="23" t="str">
        <x:v>総合エース / 山岳賞ハンター / 山岳アシスト</x:v>
      </x:c>
      <x:c r="H384" s="23" t="str">
        <x:v>急勾配対応</x:v>
      </x:c>
      <x:c r="I384" s="23" t="str">
        <x:v>登坂リズム</x:v>
      </x:c>
      <x:c r="J384" s="23" t="str">
        <x:v>山岳待機</x:v>
      </x:c>
      <x:c r="K384" s="23" t="str">
        <x:v>登坂ペースアップ</x:v>
      </x:c>
      <x:c r="L384" s="23" t="str">
        <x:v>頂上前加速</x:v>
      </x:c>
      <x:c r="M384" s="23" t="str">
        <x:v>山岳決戦</x:v>
      </x:c>
    </x:row>
    <x:row r="385" ht="40" customHeight="1">
      <x:c r="A385" s="23" t="str">
        <x:v>引退</x:v>
      </x:c>
      <x:c r="B385" s="26" t="n">
        <x:v>81</x:v>
      </x:c>
      <x:c r="C385" s="23" t="str">
        <x:v>Caleb Ewan</x:v>
      </x:c>
      <x:c r="D385" s="23" t="str">
        <x:v>スプリンター</x:v>
      </x:c>
      <x:c r="E385" s="23" t="str">
        <x:v>パンチャー</x:v>
      </x:c>
      <x:c r="F385" s="23" t="str">
        <x:v>エース型</x:v>
      </x:c>
      <x:c r="G385" s="23" t="str">
        <x:v>スプリントエース / リードアウト / 最終発射台</x:v>
      </x:c>
      <x:c r="H385" s="23" t="str">
        <x:v>車輪キープ</x:v>
      </x:c>
      <x:c r="I385" s="23" t="str">
        <x:v>ポジション確保</x:v>
      </x:c>
      <x:c r="J385" s="23" t="str">
        <x:v>短坂対応</x:v>
      </x:c>
      <x:c r="K385" s="23" t="str">
        <x:v>高速リードアウト</x:v>
      </x:c>
      <x:c r="L385" s="23" t="str">
        <x:v>平坦カウンター</x:v>
      </x:c>
      <x:c r="M385" s="23" t="str">
        <x:v>スプリント決戦</x:v>
      </x:c>
    </x:row>
    <x:row r="386" ht="40" customHeight="1">
      <x:c r="A386" s="23" t="str">
        <x:v>引退</x:v>
      </x:c>
      <x:c r="B386" s="26" t="n">
        <x:v>82</x:v>
      </x:c>
      <x:c r="C386" s="23" t="str">
        <x:v>Samuel Sanchez</x:v>
      </x:c>
      <x:c r="D386" s="23" t="str">
        <x:v>総合型</x:v>
      </x:c>
      <x:c r="E386" s="23" t="str">
        <x:v>パンチャー</x:v>
      </x:c>
      <x:c r="F386" s="23" t="str">
        <x:v>エース型</x:v>
      </x:c>
      <x:c r="G386" s="23" t="str">
        <x:v>総合エース / 山岳アシスト / 山岳番手</x:v>
      </x:c>
      <x:c r="H386" s="23" t="str">
        <x:v>急勾配対応</x:v>
      </x:c>
      <x:c r="I386" s="23" t="str">
        <x:v>登坂リズム</x:v>
      </x:c>
      <x:c r="J386" s="23" t="str">
        <x:v>山岳待機</x:v>
      </x:c>
      <x:c r="K386" s="23" t="str">
        <x:v>最後の山岳牽引</x:v>
      </x:c>
      <x:c r="L386" s="23" t="str">
        <x:v>登坂ペースアップ</x:v>
      </x:c>
      <x:c r="M386" s="23" t="str">
        <x:v>山岳決戦</x:v>
      </x:c>
    </x:row>
    <x:row r="387" ht="40" customHeight="1">
      <x:c r="A387" s="23" t="str">
        <x:v>引退</x:v>
      </x:c>
      <x:c r="B387" s="26" t="n">
        <x:v>83</x:v>
      </x:c>
      <x:c r="C387" s="23" t="str">
        <x:v>Daniel Martin</x:v>
      </x:c>
      <x:c r="D387" s="23" t="str">
        <x:v>パンチャー</x:v>
      </x:c>
      <x:c r="E387" s="23" t="str">
        <x:v>クライマー</x:v>
      </x:c>
      <x:c r="F387" s="23" t="str">
        <x:v>エース型</x:v>
      </x:c>
      <x:c r="G387" s="23" t="str">
        <x:v>丘陵エース / ステージハンター / 山岳賞ハンター</x:v>
      </x:c>
      <x:c r="H387" s="23" t="str">
        <x:v>仕掛け待ち</x:v>
      </x:c>
      <x:c r="I387" s="23" t="str">
        <x:v>短坂対応</x:v>
      </x:c>
      <x:c r="J387" s="23" t="str">
        <x:v>丘陵リズム</x:v>
      </x:c>
      <x:c r="K387" s="23" t="str">
        <x:v>丘陵加速</x:v>
      </x:c>
      <x:c r="L387" s="23" t="str">
        <x:v>短坂アタック</x:v>
      </x:c>
      <x:c r="M387" s="23" t="str">
        <x:v>丘陵決戦</x:v>
      </x:c>
    </x:row>
    <x:row r="388" ht="40" customHeight="1">
      <x:c r="A388" s="23" t="str">
        <x:v>引退</x:v>
      </x:c>
      <x:c r="B388" s="26" t="n">
        <x:v>84</x:v>
      </x:c>
      <x:c r="C388" s="23" t="str">
        <x:v>Daniele Bennati</x:v>
      </x:c>
      <x:c r="D388" s="23" t="str">
        <x:v>スプリンター</x:v>
      </x:c>
      <x:c r="E388" s="23" t="str">
        <x:v>クラシック型</x:v>
      </x:c>
      <x:c r="F388" s="23" t="str">
        <x:v>エース型</x:v>
      </x:c>
      <x:c r="G388" s="23" t="str">
        <x:v>スプリントエース / リードアウト / 最終発射台</x:v>
      </x:c>
      <x:c r="H388" s="23" t="str">
        <x:v>車輪キープ</x:v>
      </x:c>
      <x:c r="I388" s="23" t="str">
        <x:v>ポジション確保</x:v>
      </x:c>
      <x:c r="J388" s="23" t="str">
        <x:v>巡航温存</x:v>
      </x:c>
      <x:c r="K388" s="23" t="str">
        <x:v>高速リードアウト</x:v>
      </x:c>
      <x:c r="L388" s="23" t="str">
        <x:v>平坦カウンター</x:v>
      </x:c>
      <x:c r="M388" s="23" t="str">
        <x:v>スプリント決戦</x:v>
      </x:c>
    </x:row>
    <x:row r="389" ht="40" customHeight="1">
      <x:c r="A389" s="23" t="str">
        <x:v>引退</x:v>
      </x:c>
      <x:c r="B389" s="26" t="n">
        <x:v>85</x:v>
      </x:c>
      <x:c r="C389" s="23" t="str">
        <x:v>Magnus Backstedt</x:v>
      </x:c>
      <x:c r="D389" s="23" t="str">
        <x:v>クラシック型</x:v>
      </x:c>
      <x:c r="E389" s="23" t="str">
        <x:v>TT・ルーラー型</x:v>
      </x:c>
      <x:c r="F389" s="23" t="str">
        <x:v>エース型</x:v>
      </x:c>
      <x:c r="G389" s="23" t="str">
        <x:v>丘陵エース / 石畳護衛 / 横風要員</x:v>
      </x:c>
      <x:c r="H389" s="23" t="str">
        <x:v>悪路ライン</x:v>
      </x:c>
      <x:c r="I389" s="23" t="str">
        <x:v>衝撃吸収</x:v>
      </x:c>
      <x:c r="J389" s="23" t="str">
        <x:v>前方進入</x:v>
      </x:c>
      <x:c r="K389" s="23" t="str">
        <x:v>悪路アタック</x:v>
      </x:c>
      <x:c r="L389" s="23" t="str">
        <x:v>石畳加速</x:v>
      </x:c>
      <x:c r="M389" s="23" t="str">
        <x:v>石畳決戦</x:v>
      </x:c>
    </x:row>
    <x:row r="390" ht="40" customHeight="1">
      <x:c r="A390" s="23" t="str">
        <x:v>引退</x:v>
      </x:c>
      <x:c r="B390" s="26" t="n">
        <x:v>86</x:v>
      </x:c>
      <x:c r="C390" s="23" t="str">
        <x:v>Sonny Colbrelli</x:v>
      </x:c>
      <x:c r="D390" s="23" t="str">
        <x:v>クラシック型</x:v>
      </x:c>
      <x:c r="E390" s="23" t="str">
        <x:v>スプリンター</x:v>
      </x:c>
      <x:c r="F390" s="23" t="str">
        <x:v>エース型</x:v>
      </x:c>
      <x:c r="G390" s="23" t="str">
        <x:v>丘陵エース / スプリントトレイン / 石畳護衛</x:v>
      </x:c>
      <x:c r="H390" s="23" t="str">
        <x:v>悪路ライン</x:v>
      </x:c>
      <x:c r="I390" s="23" t="str">
        <x:v>前方進入</x:v>
      </x:c>
      <x:c r="J390" s="23" t="str">
        <x:v>衝撃吸収</x:v>
      </x:c>
      <x:c r="K390" s="23" t="str">
        <x:v>悪路アタック</x:v>
      </x:c>
      <x:c r="L390" s="23" t="str">
        <x:v>石畳加速</x:v>
      </x:c>
      <x:c r="M390" s="23" t="str">
        <x:v>石畳決戦</x:v>
      </x:c>
    </x:row>
    <x:row r="391" ht="40" customHeight="1">
      <x:c r="A391" s="23" t="str">
        <x:v>引退</x:v>
      </x:c>
      <x:c r="B391" s="26" t="n">
        <x:v>87</x:v>
      </x:c>
      <x:c r="C391" s="23" t="str">
        <x:v>Steffen Wesemann</x:v>
      </x:c>
      <x:c r="D391" s="23" t="str">
        <x:v>クラシック型</x:v>
      </x:c>
      <x:c r="E391" s="23" t="str">
        <x:v>TT・ルーラー型</x:v>
      </x:c>
      <x:c r="F391" s="23" t="str">
        <x:v>エース型</x:v>
      </x:c>
      <x:c r="G391" s="23" t="str">
        <x:v>丘陵エース / 石畳護衛 / 逃げ屋</x:v>
      </x:c>
      <x:c r="H391" s="23" t="str">
        <x:v>悪路ライン</x:v>
      </x:c>
      <x:c r="I391" s="23" t="str">
        <x:v>衝撃吸収</x:v>
      </x:c>
      <x:c r="J391" s="23" t="str">
        <x:v>前方進入</x:v>
      </x:c>
      <x:c r="K391" s="23" t="str">
        <x:v>悪路アタック</x:v>
      </x:c>
      <x:c r="L391" s="23" t="str">
        <x:v>石畳加速</x:v>
      </x:c>
      <x:c r="M391" s="23" t="str">
        <x:v>石畳決戦</x:v>
      </x:c>
    </x:row>
    <x:row r="392" ht="40" customHeight="1">
      <x:c r="A392" s="23" t="str">
        <x:v>引退</x:v>
      </x:c>
      <x:c r="B392" s="26" t="n">
        <x:v>88</x:v>
      </x:c>
      <x:c r="C392" s="23" t="str">
        <x:v>Oscar Pereiro</x:v>
      </x:c>
      <x:c r="D392" s="23" t="str">
        <x:v>総合型</x:v>
      </x:c>
      <x:c r="E392" s="23" t="str">
        <x:v>TT・ルーラー型</x:v>
      </x:c>
      <x:c r="F392" s="23" t="str">
        <x:v>エース型</x:v>
      </x:c>
      <x:c r="G392" s="23" t="str">
        <x:v>総合エース / 山岳アシスト / 山岳番手</x:v>
      </x:c>
      <x:c r="H392" s="23" t="str">
        <x:v>急勾配対応</x:v>
      </x:c>
      <x:c r="I392" s="23" t="str">
        <x:v>登坂リズム</x:v>
      </x:c>
      <x:c r="J392" s="23" t="str">
        <x:v>山岳待機</x:v>
      </x:c>
      <x:c r="K392" s="23" t="str">
        <x:v>登坂ペースアップ</x:v>
      </x:c>
      <x:c r="L392" s="23" t="str">
        <x:v>最後の山岳牽引</x:v>
      </x:c>
      <x:c r="M392" s="23" t="str">
        <x:v>山岳決戦</x:v>
      </x:c>
    </x:row>
    <x:row r="393" ht="40" customHeight="1">
      <x:c r="A393" s="23" t="str">
        <x:v>引退</x:v>
      </x:c>
      <x:c r="B393" s="26" t="n">
        <x:v>89</x:v>
      </x:c>
      <x:c r="C393" s="23" t="str">
        <x:v>Jose Rujano</x:v>
      </x:c>
      <x:c r="D393" s="23" t="str">
        <x:v>クライマー</x:v>
      </x:c>
      <x:c r="E393" s="23" t="str">
        <x:v>パンチャー</x:v>
      </x:c>
      <x:c r="F393" s="23" t="str">
        <x:v>エース型</x:v>
      </x:c>
      <x:c r="G393" s="23" t="str">
        <x:v>山岳エース / 山岳アシスト / 山岳ペースメーカー</x:v>
      </x:c>
      <x:c r="H393" s="23" t="str">
        <x:v>急勾配対応</x:v>
      </x:c>
      <x:c r="I393" s="23" t="str">
        <x:v>登坂リズム</x:v>
      </x:c>
      <x:c r="J393" s="23" t="str">
        <x:v>山岳待機</x:v>
      </x:c>
      <x:c r="K393" s="23" t="str">
        <x:v>登坂ペースアップ</x:v>
      </x:c>
      <x:c r="L393" s="23" t="str">
        <x:v>頂上前加速</x:v>
      </x:c>
      <x:c r="M393" s="23" t="str">
        <x:v>山岳決戦</x:v>
      </x:c>
    </x:row>
    <x:row r="394" ht="40" customHeight="1">
      <x:c r="A394" s="23" t="str">
        <x:v>引退</x:v>
      </x:c>
      <x:c r="B394" s="26" t="n">
        <x:v>90</x:v>
      </x:c>
      <x:c r="C394" s="23" t="str">
        <x:v>Ryder Hesjedal</x:v>
      </x:c>
      <x:c r="D394" s="23" t="str">
        <x:v>総合型</x:v>
      </x:c>
      <x:c r="E394" s="23" t="str">
        <x:v>TT・ルーラー型</x:v>
      </x:c>
      <x:c r="F394" s="23" t="str">
        <x:v>エース型</x:v>
      </x:c>
      <x:c r="G394" s="23" t="str">
        <x:v>総合エース / 山岳アシスト / 山岳番手</x:v>
      </x:c>
      <x:c r="H394" s="23" t="str">
        <x:v>急勾配対応</x:v>
      </x:c>
      <x:c r="I394" s="23" t="str">
        <x:v>登坂リズム</x:v>
      </x:c>
      <x:c r="J394" s="23" t="str">
        <x:v>山岳待機</x:v>
      </x:c>
      <x:c r="K394" s="23" t="str">
        <x:v>登坂ペースアップ</x:v>
      </x:c>
      <x:c r="L394" s="23" t="str">
        <x:v>最後の山岳牽引</x:v>
      </x:c>
      <x:c r="M394" s="23" t="str">
        <x:v>山岳決戦</x:v>
      </x:c>
    </x:row>
    <x:row r="395" ht="40" customHeight="1">
      <x:c r="A395" s="23" t="str">
        <x:v>引退</x:v>
      </x:c>
      <x:c r="B395" s="26" t="n">
        <x:v>91</x:v>
      </x:c>
      <x:c r="C395" s="23" t="str">
        <x:v>Michael Albasini</x:v>
      </x:c>
      <x:c r="D395" s="23" t="str">
        <x:v>パンチャー</x:v>
      </x:c>
      <x:c r="E395" s="23" t="str">
        <x:v>スプリンター</x:v>
      </x:c>
      <x:c r="F395" s="23" t="str">
        <x:v>エース型</x:v>
      </x:c>
      <x:c r="G395" s="23" t="str">
        <x:v>丘陵エース / ステージハンター / スプリントトレイン</x:v>
      </x:c>
      <x:c r="H395" s="23" t="str">
        <x:v>短坂対応</x:v>
      </x:c>
      <x:c r="I395" s="23" t="str">
        <x:v>仕掛け待ち</x:v>
      </x:c>
      <x:c r="J395" s="23" t="str">
        <x:v>車輪キープ</x:v>
      </x:c>
      <x:c r="K395" s="23" t="str">
        <x:v>丘陵加速</x:v>
      </x:c>
      <x:c r="L395" s="23" t="str">
        <x:v>短坂アタック</x:v>
      </x:c>
      <x:c r="M395" s="23" t="str">
        <x:v>丘陵決戦</x:v>
      </x:c>
    </x:row>
    <x:row r="396" ht="40" customHeight="1">
      <x:c r="A396" s="23" t="str">
        <x:v>引退</x:v>
      </x:c>
      <x:c r="B396" s="26" t="n">
        <x:v>92</x:v>
      </x:c>
      <x:c r="C396" s="23" t="str">
        <x:v>Richard Virenque</x:v>
      </x:c>
      <x:c r="D396" s="23" t="str">
        <x:v>クライマー</x:v>
      </x:c>
      <x:c r="E396" s="23" t="str">
        <x:v>パンチャー</x:v>
      </x:c>
      <x:c r="F396" s="23" t="str">
        <x:v>エース型</x:v>
      </x:c>
      <x:c r="G396" s="23" t="str">
        <x:v>山岳エース / 山岳アシスト / 山岳ペースメーカー</x:v>
      </x:c>
      <x:c r="H396" s="23" t="str">
        <x:v>急勾配対応</x:v>
      </x:c>
      <x:c r="I396" s="23" t="str">
        <x:v>登坂リズム</x:v>
      </x:c>
      <x:c r="J396" s="23" t="str">
        <x:v>山岳待機</x:v>
      </x:c>
      <x:c r="K396" s="23" t="str">
        <x:v>登坂ペースアップ</x:v>
      </x:c>
      <x:c r="L396" s="23" t="str">
        <x:v>頂上前加速</x:v>
      </x:c>
      <x:c r="M396" s="23" t="str">
        <x:v>山岳決戦</x:v>
      </x:c>
    </x:row>
    <x:row r="397" ht="40" customHeight="1">
      <x:c r="A397" s="23" t="str">
        <x:v>引退</x:v>
      </x:c>
      <x:c r="B397" s="26" t="n">
        <x:v>93</x:v>
      </x:c>
      <x:c r="C397" s="23" t="str">
        <x:v>Iban Mayo</x:v>
      </x:c>
      <x:c r="D397" s="23" t="str">
        <x:v>クライマー</x:v>
      </x:c>
      <x:c r="E397" s="23" t="str">
        <x:v>パンチャー</x:v>
      </x:c>
      <x:c r="F397" s="23" t="str">
        <x:v>エース型</x:v>
      </x:c>
      <x:c r="G397" s="23" t="str">
        <x:v>山岳エース / 山岳アシスト / 山岳ペースメーカー</x:v>
      </x:c>
      <x:c r="H397" s="23" t="str">
        <x:v>急勾配対応</x:v>
      </x:c>
      <x:c r="I397" s="23" t="str">
        <x:v>登坂リズム</x:v>
      </x:c>
      <x:c r="J397" s="23" t="str">
        <x:v>山岳待機</x:v>
      </x:c>
      <x:c r="K397" s="23" t="str">
        <x:v>登坂ペースアップ</x:v>
      </x:c>
      <x:c r="L397" s="23" t="str">
        <x:v>頂上前加速</x:v>
      </x:c>
      <x:c r="M397" s="23" t="str">
        <x:v>山岳決戦</x:v>
      </x:c>
    </x:row>
    <x:row r="398" ht="40" customHeight="1">
      <x:c r="A398" s="23" t="str">
        <x:v>引退</x:v>
      </x:c>
      <x:c r="B398" s="26" t="n">
        <x:v>94</x:v>
      </x:c>
      <x:c r="C398" s="23" t="str">
        <x:v>Derek Gee</x:v>
      </x:c>
      <x:c r="D398" s="23" t="str">
        <x:v>TT・ルーラー型</x:v>
      </x:c>
      <x:c r="E398" s="23" t="str">
        <x:v>総合型</x:v>
      </x:c>
      <x:c r="F398" s="23" t="str">
        <x:v>アシスト型</x:v>
      </x:c>
      <x:c r="G398" s="23" t="str">
        <x:v>サブエース / 平坦ペースメーカー / TT牽引</x:v>
      </x:c>
      <x:c r="H398" s="23" t="str">
        <x:v>平坦牽引</x:v>
      </x:c>
      <x:c r="I398" s="23" t="str">
        <x:v>風よけ</x:v>
      </x:c>
      <x:c r="J398" s="23" t="str">
        <x:v>トラブル復帰</x:v>
      </x:c>
      <x:c r="K398" s="23" t="str">
        <x:v>ローテーション牽引</x:v>
      </x:c>
      <x:c r="L398" s="23" t="str">
        <x:v>高速牽引</x:v>
      </x:c>
      <x:c r="M398" s="23" t="str">
        <x:v>全開牽引</x:v>
      </x:c>
    </x:row>
    <x:row r="399" ht="40" customHeight="1">
      <x:c r="A399" s="23" t="str">
        <x:v>引退</x:v>
      </x:c>
      <x:c r="B399" s="26" t="n">
        <x:v>95</x:v>
      </x:c>
      <x:c r="C399" s="23" t="str">
        <x:v>Gustav Erik Larsson</x:v>
      </x:c>
      <x:c r="D399" s="23" t="str">
        <x:v>TT・ルーラー型</x:v>
      </x:c>
      <x:c r="E399" s="23" t="str">
        <x:v>クラシック型</x:v>
      </x:c>
      <x:c r="F399" s="23" t="str">
        <x:v>アシスト型</x:v>
      </x:c>
      <x:c r="G399" s="23" t="str">
        <x:v>サブエース / スーパー・ドメスティーク / 平坦ペースメーカー</x:v>
      </x:c>
      <x:c r="H399" s="23" t="str">
        <x:v>平坦牽引</x:v>
      </x:c>
      <x:c r="I399" s="23" t="str">
        <x:v>風よけ</x:v>
      </x:c>
      <x:c r="J399" s="23" t="str">
        <x:v>前方誘導</x:v>
      </x:c>
      <x:c r="K399" s="23" t="str">
        <x:v>ローテーション牽引</x:v>
      </x:c>
      <x:c r="L399" s="23" t="str">
        <x:v>高速牽引</x:v>
      </x:c>
      <x:c r="M399" s="23" t="str">
        <x:v>全開牽引</x:v>
      </x:c>
    </x:row>
    <x:row r="400" ht="40" customHeight="1">
      <x:c r="A400" s="23" t="str">
        <x:v>引退</x:v>
      </x:c>
      <x:c r="B400" s="26" t="n">
        <x:v>96</x:v>
      </x:c>
      <x:c r="C400" s="23" t="str">
        <x:v>David Zabriskie</x:v>
      </x:c>
      <x:c r="D400" s="23" t="str">
        <x:v>TT・ルーラー型</x:v>
      </x:c>
      <x:c r="E400" s="23" t="str">
        <x:v>総合型</x:v>
      </x:c>
      <x:c r="F400" s="23" t="str">
        <x:v>アシスト型</x:v>
      </x:c>
      <x:c r="G400" s="23" t="str">
        <x:v>サブエース / スーパー・ドメスティーク / TTスペシャリスト</x:v>
      </x:c>
      <x:c r="H400" s="23" t="str">
        <x:v>平坦牽引</x:v>
      </x:c>
      <x:c r="I400" s="23" t="str">
        <x:v>風よけ</x:v>
      </x:c>
      <x:c r="J400" s="23" t="str">
        <x:v>トラブル復帰</x:v>
      </x:c>
      <x:c r="K400" s="23" t="str">
        <x:v>ローテーション牽引</x:v>
      </x:c>
      <x:c r="L400" s="23" t="str">
        <x:v>高速牽引</x:v>
      </x:c>
      <x:c r="M400" s="23" t="str">
        <x:v>全開牽引</x:v>
      </x:c>
    </x:row>
    <x:row r="401" ht="40" customHeight="1">
      <x:c r="A401" s="23" t="str">
        <x:v>引退</x:v>
      </x:c>
      <x:c r="B401" s="26" t="n">
        <x:v>97</x:v>
      </x:c>
      <x:c r="C401" s="23" t="str">
        <x:v>Tobias Ludvigsson</x:v>
      </x:c>
      <x:c r="D401" s="23" t="str">
        <x:v>TT・ルーラー型</x:v>
      </x:c>
      <x:c r="E401" s="23" t="str">
        <x:v>総合型</x:v>
      </x:c>
      <x:c r="F401" s="23" t="str">
        <x:v>アシスト型</x:v>
      </x:c>
      <x:c r="G401" s="23" t="str">
        <x:v>サブエース / スーパー・ドメスティーク / 平坦アシスト</x:v>
      </x:c>
      <x:c r="H401" s="23" t="str">
        <x:v>平坦牽引</x:v>
      </x:c>
      <x:c r="I401" s="23" t="str">
        <x:v>風よけ</x:v>
      </x:c>
      <x:c r="J401" s="23" t="str">
        <x:v>トラブル復帰</x:v>
      </x:c>
      <x:c r="K401" s="23" t="str">
        <x:v>ローテーション牽引</x:v>
      </x:c>
      <x:c r="L401" s="23" t="str">
        <x:v>高速牽引</x:v>
      </x:c>
      <x:c r="M401" s="23" t="str">
        <x:v>全開牽引</x:v>
      </x:c>
    </x:row>
    <x:row r="402" ht="40" customHeight="1">
      <x:c r="A402" s="23" t="str">
        <x:v>引退</x:v>
      </x:c>
      <x:c r="B402" s="26" t="n">
        <x:v>98</x:v>
      </x:c>
      <x:c r="C402" s="23" t="str">
        <x:v>Jose Azevedo</x:v>
      </x:c>
      <x:c r="D402" s="23" t="str">
        <x:v>TT・ルーラー型</x:v>
      </x:c>
      <x:c r="E402" s="23" t="str">
        <x:v>総合型</x:v>
      </x:c>
      <x:c r="F402" s="23" t="str">
        <x:v>アシスト型</x:v>
      </x:c>
      <x:c r="G402" s="23" t="str">
        <x:v>サブエース / スーパー・ドメスティーク / 平坦ペースメーカー</x:v>
      </x:c>
      <x:c r="H402" s="23" t="str">
        <x:v>平坦牽引</x:v>
      </x:c>
      <x:c r="I402" s="23" t="str">
        <x:v>風よけ</x:v>
      </x:c>
      <x:c r="J402" s="23" t="str">
        <x:v>トラブル復帰</x:v>
      </x:c>
      <x:c r="K402" s="23" t="str">
        <x:v>ローテーション牽引</x:v>
      </x:c>
      <x:c r="L402" s="23" t="str">
        <x:v>高速牽引</x:v>
      </x:c>
      <x:c r="M402" s="23" t="str">
        <x:v>全開牽引</x:v>
      </x:c>
    </x:row>
    <x:row r="403" ht="40" customHeight="1">
      <x:c r="A403" s="23" t="str">
        <x:v>引退</x:v>
      </x:c>
      <x:c r="B403" s="26" t="n">
        <x:v>99</x:v>
      </x:c>
      <x:c r="C403" s="23" t="str">
        <x:v>Richie Porte</x:v>
      </x:c>
      <x:c r="D403" s="23" t="str">
        <x:v>クライマー</x:v>
      </x:c>
      <x:c r="E403" s="23" t="str">
        <x:v>総合型</x:v>
      </x:c>
      <x:c r="F403" s="23" t="str">
        <x:v>アシスト型</x:v>
      </x:c>
      <x:c r="G403" s="23" t="str">
        <x:v>サブエース / スーパー・ドメスティーク / 山岳アシスト</x:v>
      </x:c>
      <x:c r="H403" s="23" t="str">
        <x:v>山岳ガード</x:v>
      </x:c>
      <x:c r="I403" s="23" t="str">
        <x:v>山岳牽引</x:v>
      </x:c>
      <x:c r="J403" s="23" t="str">
        <x:v>山岳番手</x:v>
      </x:c>
      <x:c r="K403" s="23" t="str">
        <x:v>プランB</x:v>
      </x:c>
      <x:c r="L403" s="23" t="str">
        <x:v>登坂チェイス</x:v>
      </x:c>
      <x:c r="M403" s="23" t="str">
        <x:v>山岳救援</x:v>
      </x:c>
    </x:row>
    <x:row r="404" ht="40" customHeight="1">
      <x:c r="A404" s="23" t="str">
        <x:v>引退</x:v>
      </x:c>
      <x:c r="B404" s="26" t="n">
        <x:v>100</x:v>
      </x:c>
      <x:c r="C404" s="23" t="str">
        <x:v>Daniel Oss</x:v>
      </x:c>
      <x:c r="D404" s="23" t="str">
        <x:v>クラシック型</x:v>
      </x:c>
      <x:c r="E404" s="23" t="str">
        <x:v>パンチャー</x:v>
      </x:c>
      <x:c r="F404" s="23" t="str">
        <x:v>アシスト型</x:v>
      </x:c>
      <x:c r="G404" s="23" t="str">
        <x:v>ロードキャプテン / 石畳護衛 / 横風要員</x:v>
      </x:c>
      <x:c r="H404" s="23" t="str">
        <x:v>進路確保</x:v>
      </x:c>
      <x:c r="I404" s="23" t="str">
        <x:v>トラブル復帰</x:v>
      </x:c>
      <x:c r="J404" s="23" t="str">
        <x:v>パヴェ護衛</x:v>
      </x:c>
      <x:c r="K404" s="23" t="str">
        <x:v>ライン誘導</x:v>
      </x:c>
      <x:c r="L404" s="23" t="str">
        <x:v>石畳牽引</x:v>
      </x:c>
      <x:c r="M404" s="23" t="str">
        <x:v>石畳護衛</x:v>
      </x:c>
    </x:row>
    <x:row r="405" ht="40" customHeight="1">
      <x:c r="A405" s="23" t="str">
        <x:v>引退</x:v>
      </x:c>
      <x:c r="B405" s="26" t="n">
        <x:v>101</x:v>
      </x:c>
      <x:c r="C405" s="23" t="str">
        <x:v>Jens Keukeleire</x:v>
      </x:c>
      <x:c r="D405" s="23" t="str">
        <x:v>クラシック型</x:v>
      </x:c>
      <x:c r="E405" s="23" t="str">
        <x:v>パンチャー</x:v>
      </x:c>
      <x:c r="F405" s="23" t="str">
        <x:v>アシスト型</x:v>
      </x:c>
      <x:c r="G405" s="23" t="str">
        <x:v>ロードキャプテン / 石畳護衛 / 横風要員</x:v>
      </x:c>
      <x:c r="H405" s="23" t="str">
        <x:v>パヴェ護衛</x:v>
      </x:c>
      <x:c r="I405" s="23" t="str">
        <x:v>進路確保</x:v>
      </x:c>
      <x:c r="J405" s="23" t="str">
        <x:v>トラブル復帰</x:v>
      </x:c>
      <x:c r="K405" s="23" t="str">
        <x:v>ライン誘導</x:v>
      </x:c>
      <x:c r="L405" s="23" t="str">
        <x:v>石畳牽引</x:v>
      </x:c>
      <x:c r="M405" s="23" t="str">
        <x:v>石畳護衛</x:v>
      </x:c>
    </x:row>
    <x:row r="406" ht="40" customHeight="1">
      <x:c r="A406" s="23" t="str">
        <x:v>引退</x:v>
      </x:c>
      <x:c r="B406" s="26" t="n">
        <x:v>102</x:v>
      </x:c>
      <x:c r="C406" s="23" t="str">
        <x:v>Greg Van Avermaet</x:v>
      </x:c>
      <x:c r="D406" s="23" t="str">
        <x:v>クラシック型</x:v>
      </x:c>
      <x:c r="E406" s="23" t="str">
        <x:v>パンチャー</x:v>
      </x:c>
      <x:c r="F406" s="23" t="str">
        <x:v>アシスト型</x:v>
      </x:c>
      <x:c r="G406" s="23" t="str">
        <x:v>ロードキャプテン / 石畳護衛 / 横風要員</x:v>
      </x:c>
      <x:c r="H406" s="23" t="str">
        <x:v>パヴェ護衛</x:v>
      </x:c>
      <x:c r="I406" s="23" t="str">
        <x:v>進路確保</x:v>
      </x:c>
      <x:c r="J406" s="23" t="str">
        <x:v>トラブル復帰</x:v>
      </x:c>
      <x:c r="K406" s="23" t="str">
        <x:v>ライン誘導</x:v>
      </x:c>
      <x:c r="L406" s="23" t="str">
        <x:v>石畳牽引</x:v>
      </x:c>
      <x:c r="M406" s="23" t="str">
        <x:v>石畳護衛</x:v>
      </x:c>
    </x:row>
    <x:row r="407" ht="40" customHeight="1">
      <x:c r="A407" s="23" t="str">
        <x:v>引退</x:v>
      </x:c>
      <x:c r="B407" s="26" t="n">
        <x:v>103</x:v>
      </x:c>
      <x:c r="C407" s="23" t="str">
        <x:v>Heinrich Haussler</x:v>
      </x:c>
      <x:c r="D407" s="23" t="str">
        <x:v>クラシック型</x:v>
      </x:c>
      <x:c r="E407" s="23" t="str">
        <x:v>パンチャー</x:v>
      </x:c>
      <x:c r="F407" s="23" t="str">
        <x:v>アシスト型</x:v>
      </x:c>
      <x:c r="G407" s="23" t="str">
        <x:v>ロードキャプテン / 石畳護衛 / 横風要員</x:v>
      </x:c>
      <x:c r="H407" s="23" t="str">
        <x:v>進路確保</x:v>
      </x:c>
      <x:c r="I407" s="23" t="str">
        <x:v>パヴェ護衛</x:v>
      </x:c>
      <x:c r="J407" s="23" t="str">
        <x:v>トラブル復帰</x:v>
      </x:c>
      <x:c r="K407" s="23" t="str">
        <x:v>ライン誘導</x:v>
      </x:c>
      <x:c r="L407" s="23" t="str">
        <x:v>石畳牽引</x:v>
      </x:c>
      <x:c r="M407" s="23" t="str">
        <x:v>石畳護衛</x:v>
      </x:c>
    </x:row>
    <x:row r="408" ht="40" customHeight="1">
      <x:c r="A408" s="23" t="str">
        <x:v>引退</x:v>
      </x:c>
      <x:c r="B408" s="26" t="n">
        <x:v>104</x:v>
      </x:c>
      <x:c r="C408" s="23" t="str">
        <x:v>Mark Renshaw</x:v>
      </x:c>
      <x:c r="D408" s="23" t="str">
        <x:v>スプリンター</x:v>
      </x:c>
      <x:c r="E408" s="23" t="str">
        <x:v>TT・ルーラー型</x:v>
      </x:c>
      <x:c r="F408" s="23" t="str">
        <x:v>アシスト型</x:v>
      </x:c>
      <x:c r="G408" s="23" t="str">
        <x:v>リードアウト / 最終発射台 / スプリントトレイン</x:v>
      </x:c>
      <x:c r="H408" s="23" t="str">
        <x:v>前方誘導</x:v>
      </x:c>
      <x:c r="I408" s="23" t="str">
        <x:v>位置引き上げ</x:v>
      </x:c>
      <x:c r="J408" s="23" t="str">
        <x:v>風よけ</x:v>
      </x:c>
      <x:c r="K408" s="23" t="str">
        <x:v>トレイン加速</x:v>
      </x:c>
      <x:c r="L408" s="23" t="str">
        <x:v>高速リードアウト</x:v>
      </x:c>
      <x:c r="M408" s="23" t="str">
        <x:v>最終発射</x:v>
      </x:c>
    </x:row>
    <x:row r="409" ht="40" customHeight="1">
      <x:c r="A409" s="23" t="str">
        <x:v>引退</x:v>
      </x:c>
      <x:c r="B409" s="26" t="n">
        <x:v>105</x:v>
      </x:c>
      <x:c r="C409" s="23" t="str">
        <x:v>Sebastian Langeveld</x:v>
      </x:c>
      <x:c r="D409" s="23" t="str">
        <x:v>クラシック型</x:v>
      </x:c>
      <x:c r="E409" s="23" t="str">
        <x:v>パンチャー</x:v>
      </x:c>
      <x:c r="F409" s="23" t="str">
        <x:v>アシスト型</x:v>
      </x:c>
      <x:c r="G409" s="23" t="str">
        <x:v>ロードキャプテン / 石畳護衛 / 横風要員</x:v>
      </x:c>
      <x:c r="H409" s="23" t="str">
        <x:v>パヴェ護衛</x:v>
      </x:c>
      <x:c r="I409" s="23" t="str">
        <x:v>進路確保</x:v>
      </x:c>
      <x:c r="J409" s="23" t="str">
        <x:v>トラブル復帰</x:v>
      </x:c>
      <x:c r="K409" s="23" t="str">
        <x:v>ライン誘導</x:v>
      </x:c>
      <x:c r="L409" s="23" t="str">
        <x:v>石畳牽引</x:v>
      </x:c>
      <x:c r="M409" s="23" t="str">
        <x:v>石畳護衛</x:v>
      </x:c>
    </x:row>
    <x:row r="410" ht="40" customHeight="1">
      <x:c r="A410" s="23" t="str">
        <x:v>引退</x:v>
      </x:c>
      <x:c r="B410" s="26" t="n">
        <x:v>106</x:v>
      </x:c>
      <x:c r="C410" s="23" t="str">
        <x:v>Zdenek Stybar</x:v>
      </x:c>
      <x:c r="D410" s="23" t="str">
        <x:v>クラシック型</x:v>
      </x:c>
      <x:c r="E410" s="23" t="str">
        <x:v>パンチャー</x:v>
      </x:c>
      <x:c r="F410" s="23" t="str">
        <x:v>アシスト型</x:v>
      </x:c>
      <x:c r="G410" s="23" t="str">
        <x:v>ロードキャプテン / 石畳護衛 / 横風要員</x:v>
      </x:c>
      <x:c r="H410" s="23" t="str">
        <x:v>パヴェ護衛</x:v>
      </x:c>
      <x:c r="I410" s="23" t="str">
        <x:v>進路確保</x:v>
      </x:c>
      <x:c r="J410" s="23" t="str">
        <x:v>トラブル復帰</x:v>
      </x:c>
      <x:c r="K410" s="23" t="str">
        <x:v>ライン誘導</x:v>
      </x:c>
      <x:c r="L410" s="23" t="str">
        <x:v>石畳牽引</x:v>
      </x:c>
      <x:c r="M410" s="23" t="str">
        <x:v>石畳護衛</x:v>
      </x:c>
    </x:row>
    <x:row r="411" ht="40" customHeight="1">
      <x:c r="A411" s="23" t="str">
        <x:v>引退</x:v>
      </x:c>
      <x:c r="B411" s="26" t="n">
        <x:v>107</x:v>
      </x:c>
      <x:c r="C411" s="23" t="str">
        <x:v>Stijn Vandenbergh</x:v>
      </x:c>
      <x:c r="D411" s="23" t="str">
        <x:v>クラシック型</x:v>
      </x:c>
      <x:c r="E411" s="23" t="str">
        <x:v>パンチャー</x:v>
      </x:c>
      <x:c r="F411" s="23" t="str">
        <x:v>アシスト型</x:v>
      </x:c>
      <x:c r="G411" s="23" t="str">
        <x:v>ロードキャプテン / 石畳護衛 / 横風要員</x:v>
      </x:c>
      <x:c r="H411" s="23" t="str">
        <x:v>パヴェ護衛</x:v>
      </x:c>
      <x:c r="I411" s="23" t="str">
        <x:v>進路確保</x:v>
      </x:c>
      <x:c r="J411" s="23" t="str">
        <x:v>トラブル復帰</x:v>
      </x:c>
      <x:c r="K411" s="23" t="str">
        <x:v>ライン誘導</x:v>
      </x:c>
      <x:c r="L411" s="23" t="str">
        <x:v>石畳牽引</x:v>
      </x:c>
      <x:c r="M411" s="23" t="str">
        <x:v>石畳護衛</x:v>
      </x:c>
    </x:row>
    <x:row r="412" ht="40" customHeight="1">
      <x:c r="A412" s="23" t="str">
        <x:v>引退</x:v>
      </x:c>
      <x:c r="B412" s="26" t="n">
        <x:v>108</x:v>
      </x:c>
      <x:c r="C412" s="23" t="str">
        <x:v>Kanstantsin Siutsou</x:v>
      </x:c>
      <x:c r="D412" s="23" t="str">
        <x:v>TT・ルーラー型</x:v>
      </x:c>
      <x:c r="E412" s="23" t="str">
        <x:v>総合型</x:v>
      </x:c>
      <x:c r="F412" s="23" t="str">
        <x:v>アシスト型</x:v>
      </x:c>
      <x:c r="G412" s="23" t="str">
        <x:v>ロードキャプテン / 平坦アシスト / 平坦ペースメーカー</x:v>
      </x:c>
      <x:c r="H412" s="23" t="str">
        <x:v>平坦牽引</x:v>
      </x:c>
      <x:c r="I412" s="23" t="str">
        <x:v>風よけ</x:v>
      </x:c>
      <x:c r="J412" s="23" t="str">
        <x:v>前方誘導</x:v>
      </x:c>
      <x:c r="K412" s="23" t="str">
        <x:v>ローテーション牽引</x:v>
      </x:c>
      <x:c r="L412" s="23" t="str">
        <x:v>高速牽引</x:v>
      </x:c>
      <x:c r="M412" s="23" t="str">
        <x:v>全開牽引</x:v>
      </x:c>
    </x:row>
    <x:row r="413" ht="40" customHeight="1">
      <x:c r="A413" s="23" t="str">
        <x:v>引退</x:v>
      </x:c>
      <x:c r="B413" s="26" t="n">
        <x:v>109</x:v>
      </x:c>
      <x:c r="C413" s="23" t="str">
        <x:v>Haimar Zubeldia</x:v>
      </x:c>
      <x:c r="D413" s="23" t="str">
        <x:v>クライマー</x:v>
      </x:c>
      <x:c r="E413" s="23" t="str">
        <x:v>総合型</x:v>
      </x:c>
      <x:c r="F413" s="23" t="str">
        <x:v>アシスト型</x:v>
      </x:c>
      <x:c r="G413" s="23" t="str">
        <x:v>山岳賞ハンター / 山岳アシスト / 山岳ペースメーカー</x:v>
      </x:c>
      <x:c r="H413" s="23" t="str">
        <x:v>山岳ガード</x:v>
      </x:c>
      <x:c r="I413" s="23" t="str">
        <x:v>山岳牽引</x:v>
      </x:c>
      <x:c r="J413" s="23" t="str">
        <x:v>山岳番手</x:v>
      </x:c>
      <x:c r="K413" s="23" t="str">
        <x:v>登坂チェイス</x:v>
      </x:c>
      <x:c r="L413" s="23" t="str">
        <x:v>山岳先導</x:v>
      </x:c>
      <x:c r="M413" s="23" t="str">
        <x:v>山岳救援</x:v>
      </x:c>
    </x:row>
    <x:row r="414" ht="40" customHeight="1">
      <x:c r="A414" s="23" t="str">
        <x:v>引退</x:v>
      </x:c>
      <x:c r="B414" s="26" t="n">
        <x:v>110</x:v>
      </x:c>
      <x:c r="C414" s="23" t="str">
        <x:v>Sergio Henao</x:v>
      </x:c>
      <x:c r="D414" s="23" t="str">
        <x:v>クライマー</x:v>
      </x:c>
      <x:c r="E414" s="23" t="str">
        <x:v>総合型</x:v>
      </x:c>
      <x:c r="F414" s="23" t="str">
        <x:v>アシスト型</x:v>
      </x:c>
      <x:c r="G414" s="23" t="str">
        <x:v>山岳賞ハンター / 山岳アシスト / 山岳ペースメーカー</x:v>
      </x:c>
      <x:c r="H414" s="23" t="str">
        <x:v>山岳ガード</x:v>
      </x:c>
      <x:c r="I414" s="23" t="str">
        <x:v>山岳牽引</x:v>
      </x:c>
      <x:c r="J414" s="23" t="str">
        <x:v>山岳番手</x:v>
      </x:c>
      <x:c r="K414" s="23" t="str">
        <x:v>登坂チェイス</x:v>
      </x:c>
      <x:c r="L414" s="23" t="str">
        <x:v>山岳先導</x:v>
      </x:c>
      <x:c r="M414" s="23" t="str">
        <x:v>山岳救援</x:v>
      </x:c>
    </x:row>
    <x:row r="415" ht="40" customHeight="1">
      <x:c r="A415" s="23" t="str">
        <x:v>引退</x:v>
      </x:c>
      <x:c r="B415" s="26" t="n">
        <x:v>111</x:v>
      </x:c>
      <x:c r="C415" s="23" t="str">
        <x:v>Maarten Wynants</x:v>
      </x:c>
      <x:c r="D415" s="23" t="str">
        <x:v>クラシック型</x:v>
      </x:c>
      <x:c r="E415" s="23" t="str">
        <x:v>パンチャー</x:v>
      </x:c>
      <x:c r="F415" s="23" t="str">
        <x:v>アシスト型</x:v>
      </x:c>
      <x:c r="G415" s="23" t="str">
        <x:v>ロードキャプテン / 石畳護衛 / 横風要員</x:v>
      </x:c>
      <x:c r="H415" s="23" t="str">
        <x:v>進路確保</x:v>
      </x:c>
      <x:c r="I415" s="23" t="str">
        <x:v>トラブル復帰</x:v>
      </x:c>
      <x:c r="J415" s="23" t="str">
        <x:v>パヴェ護衛</x:v>
      </x:c>
      <x:c r="K415" s="23" t="str">
        <x:v>ライン誘導</x:v>
      </x:c>
      <x:c r="L415" s="23" t="str">
        <x:v>石畳牽引</x:v>
      </x:c>
      <x:c r="M415" s="23" t="str">
        <x:v>石畳護衛</x:v>
      </x:c>
    </x:row>
    <x:row r="416" ht="40" customHeight="1">
      <x:c r="A416" s="23" t="str">
        <x:v>引退</x:v>
      </x:c>
      <x:c r="B416" s="26" t="n">
        <x:v>112</x:v>
      </x:c>
      <x:c r="C416" s="23" t="str">
        <x:v>Leif Hoste</x:v>
      </x:c>
      <x:c r="D416" s="23" t="str">
        <x:v>クラシック型</x:v>
      </x:c>
      <x:c r="E416" s="23" t="str">
        <x:v>パンチャー</x:v>
      </x:c>
      <x:c r="F416" s="23" t="str">
        <x:v>アシスト型</x:v>
      </x:c>
      <x:c r="G416" s="23" t="str">
        <x:v>ロードキャプテン / 石畳護衛 / 下り牽引</x:v>
      </x:c>
      <x:c r="H416" s="23" t="str">
        <x:v>安全誘導</x:v>
      </x:c>
      <x:c r="I416" s="23" t="str">
        <x:v>高速コーナリング</x:v>
      </x:c>
      <x:c r="J416" s="23" t="str">
        <x:v>進路確保</x:v>
      </x:c>
      <x:c r="K416" s="23" t="str">
        <x:v>ダウンヒル牽引</x:v>
      </x:c>
      <x:c r="L416" s="23" t="str">
        <x:v>下りアタック</x:v>
      </x:c>
      <x:c r="M416" s="23" t="str">
        <x:v>下り護衛</x:v>
      </x:c>
    </x:row>
    <x:row r="417" ht="40" customHeight="1">
      <x:c r="A417" s="23" t="str">
        <x:v>引退</x:v>
      </x:c>
      <x:c r="B417" s="26" t="n">
        <x:v>113</x:v>
      </x:c>
      <x:c r="C417" s="23" t="str">
        <x:v>Roman Kreuziger</x:v>
      </x:c>
      <x:c r="D417" s="23" t="str">
        <x:v>クライマー</x:v>
      </x:c>
      <x:c r="E417" s="23" t="str">
        <x:v>総合型</x:v>
      </x:c>
      <x:c r="F417" s="23" t="str">
        <x:v>アシスト型</x:v>
      </x:c>
      <x:c r="G417" s="23" t="str">
        <x:v>山岳賞ハンター / 山岳アシスト / 山岳ペースメーカー</x:v>
      </x:c>
      <x:c r="H417" s="23" t="str">
        <x:v>山岳ガード</x:v>
      </x:c>
      <x:c r="I417" s="23" t="str">
        <x:v>山岳牽引</x:v>
      </x:c>
      <x:c r="J417" s="23" t="str">
        <x:v>山岳番手</x:v>
      </x:c>
      <x:c r="K417" s="23" t="str">
        <x:v>登坂チェイス</x:v>
      </x:c>
      <x:c r="L417" s="23" t="str">
        <x:v>山岳先導</x:v>
      </x:c>
      <x:c r="M417" s="23" t="str">
        <x:v>山岳救援</x:v>
      </x:c>
    </x:row>
    <x:row r="418" ht="40" customHeight="1">
      <x:c r="A418" s="23" t="str">
        <x:v>引退</x:v>
      </x:c>
      <x:c r="B418" s="26" t="n">
        <x:v>114</x:v>
      </x:c>
      <x:c r="C418" s="23" t="str">
        <x:v>Daniel Navarro</x:v>
      </x:c>
      <x:c r="D418" s="23" t="str">
        <x:v>クライマー</x:v>
      </x:c>
      <x:c r="E418" s="23" t="str">
        <x:v>総合型</x:v>
      </x:c>
      <x:c r="F418" s="23" t="str">
        <x:v>アシスト型</x:v>
      </x:c>
      <x:c r="G418" s="23" t="str">
        <x:v>山岳賞ハンター / 山岳アシスト / 山岳ペースメーカー</x:v>
      </x:c>
      <x:c r="H418" s="23" t="str">
        <x:v>山岳ガード</x:v>
      </x:c>
      <x:c r="I418" s="23" t="str">
        <x:v>山岳牽引</x:v>
      </x:c>
      <x:c r="J418" s="23" t="str">
        <x:v>山岳番手</x:v>
      </x:c>
      <x:c r="K418" s="23" t="str">
        <x:v>登坂チェイス</x:v>
      </x:c>
      <x:c r="L418" s="23" t="str">
        <x:v>山岳先導</x:v>
      </x:c>
      <x:c r="M418" s="23" t="str">
        <x:v>山岳救援</x:v>
      </x:c>
    </x:row>
    <x:row r="419" ht="40" customHeight="1">
      <x:c r="A419" s="23" t="str">
        <x:v>引退</x:v>
      </x:c>
      <x:c r="B419" s="26" t="n">
        <x:v>115</x:v>
      </x:c>
      <x:c r="C419" s="23" t="str">
        <x:v>Chad Haga</x:v>
      </x:c>
      <x:c r="D419" s="23" t="str">
        <x:v>TT・ルーラー型</x:v>
      </x:c>
      <x:c r="E419" s="23" t="str">
        <x:v>総合型</x:v>
      </x:c>
      <x:c r="F419" s="23" t="str">
        <x:v>アシスト型</x:v>
      </x:c>
      <x:c r="G419" s="23" t="str">
        <x:v>ロードキャプテン / 平坦ペースメーカー / TT牽引</x:v>
      </x:c>
      <x:c r="H419" s="23" t="str">
        <x:v>平坦牽引</x:v>
      </x:c>
      <x:c r="I419" s="23" t="str">
        <x:v>風よけ</x:v>
      </x:c>
      <x:c r="J419" s="23" t="str">
        <x:v>トラブル復帰</x:v>
      </x:c>
      <x:c r="K419" s="23" t="str">
        <x:v>ローテーション牽引</x:v>
      </x:c>
      <x:c r="L419" s="23" t="str">
        <x:v>高速牽引</x:v>
      </x:c>
      <x:c r="M419" s="23" t="str">
        <x:v>全開牽引</x:v>
      </x:c>
    </x:row>
    <x:row r="420" ht="40" customHeight="1">
      <x:c r="A420" s="23" t="str">
        <x:v>引退</x:v>
      </x:c>
      <x:c r="B420" s="26" t="n">
        <x:v>116</x:v>
      </x:c>
      <x:c r="C420" s="23" t="str">
        <x:v>Lars Boom</x:v>
      </x:c>
      <x:c r="D420" s="23" t="str">
        <x:v>クラシック型</x:v>
      </x:c>
      <x:c r="E420" s="23" t="str">
        <x:v>パンチャー</x:v>
      </x:c>
      <x:c r="F420" s="23" t="str">
        <x:v>アシスト型</x:v>
      </x:c>
      <x:c r="G420" s="23" t="str">
        <x:v>ロードキャプテン / 石畳護衛 / 横風要員</x:v>
      </x:c>
      <x:c r="H420" s="23" t="str">
        <x:v>パヴェ護衛</x:v>
      </x:c>
      <x:c r="I420" s="23" t="str">
        <x:v>進路確保</x:v>
      </x:c>
      <x:c r="J420" s="23" t="str">
        <x:v>トラブル復帰</x:v>
      </x:c>
      <x:c r="K420" s="23" t="str">
        <x:v>ライン誘導</x:v>
      </x:c>
      <x:c r="L420" s="23" t="str">
        <x:v>石畳牽引</x:v>
      </x:c>
      <x:c r="M420" s="23" t="str">
        <x:v>石畳護衛</x:v>
      </x:c>
    </x:row>
    <x:row r="421" ht="40" customHeight="1">
      <x:c r="A421" s="23" t="str">
        <x:v>引退</x:v>
      </x:c>
      <x:c r="B421" s="26" t="n">
        <x:v>117</x:v>
      </x:c>
      <x:c r="C421" s="23" t="str">
        <x:v>Domenico Pozzovivo</x:v>
      </x:c>
      <x:c r="D421" s="23" t="str">
        <x:v>クライマー</x:v>
      </x:c>
      <x:c r="E421" s="23" t="str">
        <x:v>総合型</x:v>
      </x:c>
      <x:c r="F421" s="23" t="str">
        <x:v>アシスト型</x:v>
      </x:c>
      <x:c r="G421" s="23" t="str">
        <x:v>山岳賞ハンター / 山岳アシスト / 山岳番手</x:v>
      </x:c>
      <x:c r="H421" s="23" t="str">
        <x:v>山岳ガード</x:v>
      </x:c>
      <x:c r="I421" s="23" t="str">
        <x:v>山岳牽引</x:v>
      </x:c>
      <x:c r="J421" s="23" t="str">
        <x:v>山岳番手</x:v>
      </x:c>
      <x:c r="K421" s="23" t="str">
        <x:v>登坂チェイス</x:v>
      </x:c>
      <x:c r="L421" s="23" t="str">
        <x:v>最後の山岳牽引</x:v>
      </x:c>
      <x:c r="M421" s="23" t="str">
        <x:v>山岳救援</x:v>
      </x:c>
    </x:row>
    <x:row r="422" ht="40" customHeight="1">
      <x:c r="A422" s="23" t="str">
        <x:v>引退</x:v>
      </x:c>
      <x:c r="B422" s="26" t="n">
        <x:v>118</x:v>
      </x:c>
      <x:c r="C422" s="23" t="str">
        <x:v>Jose Luis Rubiera</x:v>
      </x:c>
      <x:c r="D422" s="23" t="str">
        <x:v>クライマー</x:v>
      </x:c>
      <x:c r="E422" s="23" t="str">
        <x:v>総合型</x:v>
      </x:c>
      <x:c r="F422" s="23" t="str">
        <x:v>アシスト型</x:v>
      </x:c>
      <x:c r="G422" s="23" t="str">
        <x:v>山岳賞ハンター / 山岳アシスト / 山岳番手</x:v>
      </x:c>
      <x:c r="H422" s="23" t="str">
        <x:v>山岳ガード</x:v>
      </x:c>
      <x:c r="I422" s="23" t="str">
        <x:v>山岳牽引</x:v>
      </x:c>
      <x:c r="J422" s="23" t="str">
        <x:v>山岳番手</x:v>
      </x:c>
      <x:c r="K422" s="23" t="str">
        <x:v>登坂チェイス</x:v>
      </x:c>
      <x:c r="L422" s="23" t="str">
        <x:v>最後の山岳牽引</x:v>
      </x:c>
      <x:c r="M422" s="23" t="str">
        <x:v>山岳救援</x:v>
      </x:c>
    </x:row>
    <x:row r="423" ht="40" customHeight="1">
      <x:c r="A423" s="23" t="str">
        <x:v>引退</x:v>
      </x:c>
      <x:c r="B423" s="26" t="n">
        <x:v>119</x:v>
      </x:c>
      <x:c r="C423" s="23" t="str">
        <x:v>Fabio Sabatini</x:v>
      </x:c>
      <x:c r="D423" s="23" t="str">
        <x:v>スプリンター</x:v>
      </x:c>
      <x:c r="E423" s="23" t="str">
        <x:v>TT・ルーラー型</x:v>
      </x:c>
      <x:c r="F423" s="23" t="str">
        <x:v>アシスト型</x:v>
      </x:c>
      <x:c r="G423" s="23" t="str">
        <x:v>リードアウト / 最終発射台 / スプリントトレイン</x:v>
      </x:c>
      <x:c r="H423" s="23" t="str">
        <x:v>前方誘導</x:v>
      </x:c>
      <x:c r="I423" s="23" t="str">
        <x:v>位置引き上げ</x:v>
      </x:c>
      <x:c r="J423" s="23" t="str">
        <x:v>平坦牽引</x:v>
      </x:c>
      <x:c r="K423" s="23" t="str">
        <x:v>トレイン加速</x:v>
      </x:c>
      <x:c r="L423" s="23" t="str">
        <x:v>高速リードアウト</x:v>
      </x:c>
      <x:c r="M423" s="23" t="str">
        <x:v>最終発射</x:v>
      </x:c>
    </x:row>
    <x:row r="424" ht="40" customHeight="1">
      <x:c r="A424" s="23" t="str">
        <x:v>引退</x:v>
      </x:c>
      <x:c r="B424" s="26" t="n">
        <x:v>120</x:v>
      </x:c>
      <x:c r="C424" s="23" t="str">
        <x:v>Andrey Amador</x:v>
      </x:c>
      <x:c r="D424" s="23" t="str">
        <x:v>クライマー</x:v>
      </x:c>
      <x:c r="E424" s="23" t="str">
        <x:v>総合型</x:v>
      </x:c>
      <x:c r="F424" s="23" t="str">
        <x:v>アシスト型</x:v>
      </x:c>
      <x:c r="G424" s="23" t="str">
        <x:v>山岳賞ハンター / 山岳アシスト / 山岳番手</x:v>
      </x:c>
      <x:c r="H424" s="23" t="str">
        <x:v>山岳ガード</x:v>
      </x:c>
      <x:c r="I424" s="23" t="str">
        <x:v>山岳牽引</x:v>
      </x:c>
      <x:c r="J424" s="23" t="str">
        <x:v>山岳番手</x:v>
      </x:c>
      <x:c r="K424" s="23" t="str">
        <x:v>登坂チェイス</x:v>
      </x:c>
      <x:c r="L424" s="23" t="str">
        <x:v>最後の山岳牽引</x:v>
      </x:c>
      <x:c r="M424" s="23" t="str">
        <x:v>山岳救援</x:v>
      </x:c>
    </x:row>
    <x:row r="425" ht="40" customHeight="1">
      <x:c r="A425" s="23" t="str">
        <x:v>引退</x:v>
      </x:c>
      <x:c r="B425" s="26" t="n">
        <x:v>121</x:v>
      </x:c>
      <x:c r="C425" s="23" t="str">
        <x:v>Pierre Rolland</x:v>
      </x:c>
      <x:c r="D425" s="23" t="str">
        <x:v>クライマー</x:v>
      </x:c>
      <x:c r="E425" s="23" t="str">
        <x:v>総合型</x:v>
      </x:c>
      <x:c r="F425" s="23" t="str">
        <x:v>アシスト型</x:v>
      </x:c>
      <x:c r="G425" s="23" t="str">
        <x:v>山岳賞ハンター / 山岳アシスト / 集団コントローラー</x:v>
      </x:c>
      <x:c r="H425" s="23" t="str">
        <x:v>山岳ガード</x:v>
      </x:c>
      <x:c r="I425" s="23" t="str">
        <x:v>山岳牽引</x:v>
      </x:c>
      <x:c r="J425" s="23" t="str">
        <x:v>山岳番手</x:v>
      </x:c>
      <x:c r="K425" s="23" t="str">
        <x:v>登坂チェイス</x:v>
      </x:c>
      <x:c r="L425" s="23" t="str">
        <x:v>山岳先導</x:v>
      </x:c>
      <x:c r="M425" s="23" t="str">
        <x:v>山岳救援</x:v>
      </x:c>
    </x:row>
    <x:row r="426" ht="40" customHeight="1">
      <x:c r="A426" s="23" t="str">
        <x:v>引退</x:v>
      </x:c>
      <x:c r="B426" s="26" t="n">
        <x:v>122</x:v>
      </x:c>
      <x:c r="C426" s="23" t="str">
        <x:v>Maximiliano Richeze</x:v>
      </x:c>
      <x:c r="D426" s="23" t="str">
        <x:v>スプリンター</x:v>
      </x:c>
      <x:c r="E426" s="23" t="str">
        <x:v>TT・ルーラー型</x:v>
      </x:c>
      <x:c r="F426" s="23" t="str">
        <x:v>アシスト型</x:v>
      </x:c>
      <x:c r="G426" s="23" t="str">
        <x:v>リードアウト / 最終発射台 / スプリントトレイン</x:v>
      </x:c>
      <x:c r="H426" s="23" t="str">
        <x:v>前方誘導</x:v>
      </x:c>
      <x:c r="I426" s="23" t="str">
        <x:v>位置引き上げ</x:v>
      </x:c>
      <x:c r="J426" s="23" t="str">
        <x:v>平坦牽引</x:v>
      </x:c>
      <x:c r="K426" s="23" t="str">
        <x:v>トレイン加速</x:v>
      </x:c>
      <x:c r="L426" s="23" t="str">
        <x:v>高速リードアウト</x:v>
      </x:c>
      <x:c r="M426" s="23" t="str">
        <x:v>最終発射</x:v>
      </x:c>
    </x:row>
    <x:row r="427" ht="40" customHeight="1">
      <x:c r="A427" s="23" t="str">
        <x:v>引退</x:v>
      </x:c>
      <x:c r="B427" s="26" t="n">
        <x:v>123</x:v>
      </x:c>
      <x:c r="C427" s="23" t="str">
        <x:v>Robert Gesink</x:v>
      </x:c>
      <x:c r="D427" s="23" t="str">
        <x:v>クライマー</x:v>
      </x:c>
      <x:c r="E427" s="23" t="str">
        <x:v>総合型</x:v>
      </x:c>
      <x:c r="F427" s="23" t="str">
        <x:v>アシスト型</x:v>
      </x:c>
      <x:c r="G427" s="23" t="str">
        <x:v>山岳賞ハンター / 山岳アシスト / 山岳ペースメーカー</x:v>
      </x:c>
      <x:c r="H427" s="23" t="str">
        <x:v>山岳ガード</x:v>
      </x:c>
      <x:c r="I427" s="23" t="str">
        <x:v>山岳牽引</x:v>
      </x:c>
      <x:c r="J427" s="23" t="str">
        <x:v>山岳番手</x:v>
      </x:c>
      <x:c r="K427" s="23" t="str">
        <x:v>登坂チェイス</x:v>
      </x:c>
      <x:c r="L427" s="23" t="str">
        <x:v>山岳先導</x:v>
      </x:c>
      <x:c r="M427" s="23" t="str">
        <x:v>山岳救援</x:v>
      </x:c>
    </x:row>
    <x:row r="428" ht="40" customHeight="1">
      <x:c r="A428" s="23" t="str">
        <x:v>引退</x:v>
      </x:c>
      <x:c r="B428" s="26" t="n">
        <x:v>124</x:v>
      </x:c>
      <x:c r="C428" s="23" t="str">
        <x:v>Mikel Nieve</x:v>
      </x:c>
      <x:c r="D428" s="23" t="str">
        <x:v>クライマー</x:v>
      </x:c>
      <x:c r="E428" s="23" t="str">
        <x:v>総合型</x:v>
      </x:c>
      <x:c r="F428" s="23" t="str">
        <x:v>アシスト型</x:v>
      </x:c>
      <x:c r="G428" s="23" t="str">
        <x:v>山岳賞ハンター / 山岳アシスト / 山岳番手</x:v>
      </x:c>
      <x:c r="H428" s="23" t="str">
        <x:v>山岳ガード</x:v>
      </x:c>
      <x:c r="I428" s="23" t="str">
        <x:v>山岳牽引</x:v>
      </x:c>
      <x:c r="J428" s="23" t="str">
        <x:v>山岳番手</x:v>
      </x:c>
      <x:c r="K428" s="23" t="str">
        <x:v>登坂チェイス</x:v>
      </x:c>
      <x:c r="L428" s="23" t="str">
        <x:v>最後の山岳牽引</x:v>
      </x:c>
      <x:c r="M428" s="23" t="str">
        <x:v>山岳救援</x:v>
      </x:c>
    </x:row>
    <x:row r="429" ht="40" customHeight="1">
      <x:c r="A429" s="23" t="str">
        <x:v>引退</x:v>
      </x:c>
      <x:c r="B429" s="26" t="n">
        <x:v>125</x:v>
      </x:c>
      <x:c r="C429" s="23" t="str">
        <x:v>Eros Poli</x:v>
      </x:c>
      <x:c r="D429" s="23" t="str">
        <x:v>TT・ルーラー型</x:v>
      </x:c>
      <x:c r="E429" s="23" t="str">
        <x:v>クラシック型</x:v>
      </x:c>
      <x:c r="F429" s="23" t="str">
        <x:v>アシスト型</x:v>
      </x:c>
      <x:c r="G429" s="23" t="str">
        <x:v>平坦アシスト / TT牽引 / 集団コントローラー</x:v>
      </x:c>
      <x:c r="H429" s="23" t="str">
        <x:v>平坦牽引</x:v>
      </x:c>
      <x:c r="I429" s="23" t="str">
        <x:v>風よけ</x:v>
      </x:c>
      <x:c r="J429" s="23" t="str">
        <x:v>前方誘導</x:v>
      </x:c>
      <x:c r="K429" s="23" t="str">
        <x:v>ローテーション牽引</x:v>
      </x:c>
      <x:c r="L429" s="23" t="str">
        <x:v>高速牽引</x:v>
      </x:c>
      <x:c r="M429" s="23" t="str">
        <x:v>全開牽引</x:v>
      </x:c>
    </x:row>
    <x:row r="430" ht="40" customHeight="1">
      <x:c r="A430" s="23" t="str">
        <x:v>引退</x:v>
      </x:c>
      <x:c r="B430" s="26" t="n">
        <x:v>126</x:v>
      </x:c>
      <x:c r="C430" s="23" t="str">
        <x:v>Igor Anton</x:v>
      </x:c>
      <x:c r="D430" s="23" t="str">
        <x:v>クライマー</x:v>
      </x:c>
      <x:c r="E430" s="23" t="str">
        <x:v>総合型</x:v>
      </x:c>
      <x:c r="F430" s="23" t="str">
        <x:v>アシスト型</x:v>
      </x:c>
      <x:c r="G430" s="23" t="str">
        <x:v>山岳賞ハンター / 山岳アシスト / 山岳ペースメーカー</x:v>
      </x:c>
      <x:c r="H430" s="23" t="str">
        <x:v>山岳ガード</x:v>
      </x:c>
      <x:c r="I430" s="23" t="str">
        <x:v>山岳牽引</x:v>
      </x:c>
      <x:c r="J430" s="23" t="str">
        <x:v>山岳番手</x:v>
      </x:c>
      <x:c r="K430" s="23" t="str">
        <x:v>登坂チェイス</x:v>
      </x:c>
      <x:c r="L430" s="23" t="str">
        <x:v>山岳先導</x:v>
      </x:c>
      <x:c r="M430" s="23" t="str">
        <x:v>山岳救援</x:v>
      </x:c>
    </x:row>
    <x:row r="431" ht="40" customHeight="1">
      <x:c r="A431" s="23" t="str">
        <x:v>引退</x:v>
      </x:c>
      <x:c r="B431" s="26" t="n">
        <x:v>127</x:v>
      </x:c>
      <x:c r="C431" s="23" t="str">
        <x:v>Maarten Tjallingii</x:v>
      </x:c>
      <x:c r="D431" s="23" t="str">
        <x:v>TT・ルーラー型</x:v>
      </x:c>
      <x:c r="E431" s="23" t="str">
        <x:v>クラシック型</x:v>
      </x:c>
      <x:c r="F431" s="23" t="str">
        <x:v>アシスト型</x:v>
      </x:c>
      <x:c r="G431" s="23" t="str">
        <x:v>TT牽引 / 集団コントローラー / TTスペシャリスト</x:v>
      </x:c>
      <x:c r="H431" s="23" t="str">
        <x:v>平坦牽引</x:v>
      </x:c>
      <x:c r="I431" s="23" t="str">
        <x:v>風よけ</x:v>
      </x:c>
      <x:c r="J431" s="23" t="str">
        <x:v>前方誘導</x:v>
      </x:c>
      <x:c r="K431" s="23" t="str">
        <x:v>ローテーション牽引</x:v>
      </x:c>
      <x:c r="L431" s="23" t="str">
        <x:v>高速牽引</x:v>
      </x:c>
      <x:c r="M431" s="23" t="str">
        <x:v>全開牽引</x:v>
      </x:c>
    </x:row>
    <x:row r="432" ht="40" customHeight="1">
      <x:c r="A432" s="23" t="str">
        <x:v>引退</x:v>
      </x:c>
      <x:c r="B432" s="26" t="n">
        <x:v>128</x:v>
      </x:c>
      <x:c r="C432" s="23" t="str">
        <x:v>Tanel Kangert</x:v>
      </x:c>
      <x:c r="D432" s="23" t="str">
        <x:v>クライマー</x:v>
      </x:c>
      <x:c r="E432" s="23" t="str">
        <x:v>総合型</x:v>
      </x:c>
      <x:c r="F432" s="23" t="str">
        <x:v>アシスト型</x:v>
      </x:c>
      <x:c r="G432" s="23" t="str">
        <x:v>山岳賞ハンター / 山岳アシスト / 集団コントローラー</x:v>
      </x:c>
      <x:c r="H432" s="23" t="str">
        <x:v>山岳ガード</x:v>
      </x:c>
      <x:c r="I432" s="23" t="str">
        <x:v>山岳牽引</x:v>
      </x:c>
      <x:c r="J432" s="23" t="str">
        <x:v>山岳番手</x:v>
      </x:c>
      <x:c r="K432" s="23" t="str">
        <x:v>登坂チェイス</x:v>
      </x:c>
      <x:c r="L432" s="23" t="str">
        <x:v>山岳先導</x:v>
      </x:c>
      <x:c r="M432" s="23" t="str">
        <x:v>山岳救援</x:v>
      </x:c>
    </x:row>
    <x:row r="433" ht="40" customHeight="1">
      <x:c r="A433" s="23" t="str">
        <x:v>引退</x:v>
      </x:c>
      <x:c r="B433" s="26" t="n">
        <x:v>129</x:v>
      </x:c>
      <x:c r="C433" s="23" t="str">
        <x:v>Iljo Keisse</x:v>
      </x:c>
      <x:c r="D433" s="23" t="str">
        <x:v>スプリンター</x:v>
      </x:c>
      <x:c r="E433" s="23" t="str">
        <x:v>TT・ルーラー型</x:v>
      </x:c>
      <x:c r="F433" s="23" t="str">
        <x:v>アシスト型</x:v>
      </x:c>
      <x:c r="G433" s="23" t="str">
        <x:v>リードアウト / 最終発射台 / スプリントトレイン</x:v>
      </x:c>
      <x:c r="H433" s="23" t="str">
        <x:v>前方誘導</x:v>
      </x:c>
      <x:c r="I433" s="23" t="str">
        <x:v>位置引き上げ</x:v>
      </x:c>
      <x:c r="J433" s="23" t="str">
        <x:v>平坦牽引</x:v>
      </x:c>
      <x:c r="K433" s="23" t="str">
        <x:v>トレイン加速</x:v>
      </x:c>
      <x:c r="L433" s="23" t="str">
        <x:v>高速リードアウト</x:v>
      </x:c>
      <x:c r="M433" s="23" t="str">
        <x:v>最終発射</x:v>
      </x:c>
    </x:row>
    <x:row r="434" ht="40" customHeight="1">
      <x:c r="A434" s="23" t="str">
        <x:v>引退</x:v>
      </x:c>
      <x:c r="B434" s="26" t="n">
        <x:v>130</x:v>
      </x:c>
      <x:c r="C434" s="23" t="str">
        <x:v>Alex Dowsett</x:v>
      </x:c>
      <x:c r="D434" s="23" t="str">
        <x:v>TT・ルーラー型</x:v>
      </x:c>
      <x:c r="E434" s="23" t="str">
        <x:v>総合型</x:v>
      </x:c>
      <x:c r="F434" s="23" t="str">
        <x:v>アシスト型</x:v>
      </x:c>
      <x:c r="G434" s="23" t="str">
        <x:v>ロードキャプテン / TT牽引 / 集団コントローラー</x:v>
      </x:c>
      <x:c r="H434" s="23" t="str">
        <x:v>平坦牽引</x:v>
      </x:c>
      <x:c r="I434" s="23" t="str">
        <x:v>風よけ</x:v>
      </x:c>
      <x:c r="J434" s="23" t="str">
        <x:v>トラブル復帰</x:v>
      </x:c>
      <x:c r="K434" s="23" t="str">
        <x:v>ローテーション牽引</x:v>
      </x:c>
      <x:c r="L434" s="23" t="str">
        <x:v>高速牽引</x:v>
      </x:c>
      <x:c r="M434" s="23" t="str">
        <x:v>全開牽引</x:v>
      </x:c>
    </x:row>
    <x:row r="435" ht="40" customHeight="1">
      <x:c r="A435" s="23" t="str">
        <x:v>引退</x:v>
      </x:c>
      <x:c r="B435" s="26" t="n">
        <x:v>131</x:v>
      </x:c>
      <x:c r="C435" s="23" t="str">
        <x:v>Roy Curvers</x:v>
      </x:c>
      <x:c r="D435" s="23" t="str">
        <x:v>スプリンター</x:v>
      </x:c>
      <x:c r="E435" s="23" t="str">
        <x:v>TT・ルーラー型</x:v>
      </x:c>
      <x:c r="F435" s="23" t="str">
        <x:v>アシスト型</x:v>
      </x:c>
      <x:c r="G435" s="23" t="str">
        <x:v>リードアウト / 最終発射台 / スプリントトレイン</x:v>
      </x:c>
      <x:c r="H435" s="23" t="str">
        <x:v>前方誘導</x:v>
      </x:c>
      <x:c r="I435" s="23" t="str">
        <x:v>位置引き上げ</x:v>
      </x:c>
      <x:c r="J435" s="23" t="str">
        <x:v>平坦牽引</x:v>
      </x:c>
      <x:c r="K435" s="23" t="str">
        <x:v>トレイン加速</x:v>
      </x:c>
      <x:c r="L435" s="23" t="str">
        <x:v>高速リードアウト</x:v>
      </x:c>
      <x:c r="M435" s="23" t="str">
        <x:v>最終発射</x:v>
      </x:c>
    </x:row>
    <x:row r="436" ht="40" customHeight="1">
      <x:c r="A436" s="23" t="str">
        <x:v>引退</x:v>
      </x:c>
      <x:c r="B436" s="26" t="n">
        <x:v>132</x:v>
      </x:c>
      <x:c r="C436" s="23" t="str">
        <x:v>Rein Taaramae</x:v>
      </x:c>
      <x:c r="D436" s="23" t="str">
        <x:v>クライマー</x:v>
      </x:c>
      <x:c r="E436" s="23" t="str">
        <x:v>総合型</x:v>
      </x:c>
      <x:c r="F436" s="23" t="str">
        <x:v>アシスト型</x:v>
      </x:c>
      <x:c r="G436" s="23" t="str">
        <x:v>山岳賞ハンター / 山岳アシスト / 山岳ペースメーカー</x:v>
      </x:c>
      <x:c r="H436" s="23" t="str">
        <x:v>山岳ガード</x:v>
      </x:c>
      <x:c r="I436" s="23" t="str">
        <x:v>山岳牽引</x:v>
      </x:c>
      <x:c r="J436" s="23" t="str">
        <x:v>山岳番手</x:v>
      </x:c>
      <x:c r="K436" s="23" t="str">
        <x:v>登坂チェイス</x:v>
      </x:c>
      <x:c r="L436" s="23" t="str">
        <x:v>山岳先導</x:v>
      </x:c>
      <x:c r="M436" s="23" t="str">
        <x:v>山岳救援</x:v>
      </x:c>
    </x:row>
    <x:row r="437" ht="40" customHeight="1">
      <x:c r="A437" s="23" t="str">
        <x:v>引退</x:v>
      </x:c>
      <x:c r="B437" s="26" t="n">
        <x:v>133</x:v>
      </x:c>
      <x:c r="C437" s="23" t="str">
        <x:v>Gert Steegmans</x:v>
      </x:c>
      <x:c r="D437" s="23" t="str">
        <x:v>スプリンター</x:v>
      </x:c>
      <x:c r="E437" s="23" t="str">
        <x:v>TT・ルーラー型</x:v>
      </x:c>
      <x:c r="F437" s="23" t="str">
        <x:v>アシスト型</x:v>
      </x:c>
      <x:c r="G437" s="23" t="str">
        <x:v>リードアウト / 最終発射台 / スプリントトレイン</x:v>
      </x:c>
      <x:c r="H437" s="23" t="str">
        <x:v>位置引き上げ</x:v>
      </x:c>
      <x:c r="I437" s="23" t="str">
        <x:v>前方誘導</x:v>
      </x:c>
      <x:c r="J437" s="23" t="str">
        <x:v>平坦牽引</x:v>
      </x:c>
      <x:c r="K437" s="23" t="str">
        <x:v>トレイン加速</x:v>
      </x:c>
      <x:c r="L437" s="23" t="str">
        <x:v>高速リードアウト</x:v>
      </x:c>
      <x:c r="M437" s="23" t="str">
        <x:v>最終発射</x:v>
      </x:c>
    </x:row>
    <x:row r="438" ht="40" customHeight="1">
      <x:c r="A438" s="23" t="str">
        <x:v>引退</x:v>
      </x:c>
      <x:c r="B438" s="26" t="n">
        <x:v>134</x:v>
      </x:c>
      <x:c r="C438" s="23" t="str">
        <x:v>Vasil Kiryienka</x:v>
      </x:c>
      <x:c r="D438" s="23" t="str">
        <x:v>TT・ルーラー型</x:v>
      </x:c>
      <x:c r="E438" s="23" t="str">
        <x:v>総合型</x:v>
      </x:c>
      <x:c r="F438" s="23" t="str">
        <x:v>アシスト型</x:v>
      </x:c>
      <x:c r="G438" s="23" t="str">
        <x:v>ロードキャプテン / TTスペシャリスト / 平坦アシスト</x:v>
      </x:c>
      <x:c r="H438" s="23" t="str">
        <x:v>平坦牽引</x:v>
      </x:c>
      <x:c r="I438" s="23" t="str">
        <x:v>風よけ</x:v>
      </x:c>
      <x:c r="J438" s="23" t="str">
        <x:v>トラブル復帰</x:v>
      </x:c>
      <x:c r="K438" s="23" t="str">
        <x:v>ローテーション牽引</x:v>
      </x:c>
      <x:c r="L438" s="23" t="str">
        <x:v>高速牽引</x:v>
      </x:c>
      <x:c r="M438" s="23" t="str">
        <x:v>全開牽引</x:v>
      </x:c>
    </x:row>
    <x:row r="439" ht="40" customHeight="1">
      <x:c r="A439" s="23" t="str">
        <x:v>引退</x:v>
      </x:c>
      <x:c r="B439" s="26" t="n">
        <x:v>135</x:v>
      </x:c>
      <x:c r="C439" s="23" t="str">
        <x:v>Matthew Goss</x:v>
      </x:c>
      <x:c r="D439" s="23" t="str">
        <x:v>スプリンター</x:v>
      </x:c>
      <x:c r="E439" s="23" t="str">
        <x:v>TT・ルーラー型</x:v>
      </x:c>
      <x:c r="F439" s="23" t="str">
        <x:v>アシスト型</x:v>
      </x:c>
      <x:c r="G439" s="23" t="str">
        <x:v>リードアウト / 最終発射台 / スプリントトレイン</x:v>
      </x:c>
      <x:c r="H439" s="23" t="str">
        <x:v>前方誘導</x:v>
      </x:c>
      <x:c r="I439" s="23" t="str">
        <x:v>位置引き上げ</x:v>
      </x:c>
      <x:c r="J439" s="23" t="str">
        <x:v>平坦牽引</x:v>
      </x:c>
      <x:c r="K439" s="23" t="str">
        <x:v>トレイン加速</x:v>
      </x:c>
      <x:c r="L439" s="23" t="str">
        <x:v>高速リードアウト</x:v>
      </x:c>
      <x:c r="M439" s="23" t="str">
        <x:v>最終発射</x:v>
      </x:c>
    </x:row>
    <x:row r="440" ht="40" customHeight="1">
      <x:c r="A440" s="23" t="str">
        <x:v>引退</x:v>
      </x:c>
      <x:c r="B440" s="26" t="n">
        <x:v>136</x:v>
      </x:c>
      <x:c r="C440" s="23" t="str">
        <x:v>Jos van Emden</x:v>
      </x:c>
      <x:c r="D440" s="23" t="str">
        <x:v>TT・ルーラー型</x:v>
      </x:c>
      <x:c r="E440" s="23" t="str">
        <x:v>クラシック型</x:v>
      </x:c>
      <x:c r="F440" s="23" t="str">
        <x:v>アシスト型</x:v>
      </x:c>
      <x:c r="G440" s="23" t="str">
        <x:v>平坦アシスト / TT牽引 / 集団コントローラー</x:v>
      </x:c>
      <x:c r="H440" s="23" t="str">
        <x:v>平坦牽引</x:v>
      </x:c>
      <x:c r="I440" s="23" t="str">
        <x:v>風よけ</x:v>
      </x:c>
      <x:c r="J440" s="23" t="str">
        <x:v>パヴェ護衛</x:v>
      </x:c>
      <x:c r="K440" s="23" t="str">
        <x:v>ローテーション牽引</x:v>
      </x:c>
      <x:c r="L440" s="23" t="str">
        <x:v>高速牽引</x:v>
      </x:c>
      <x:c r="M440" s="23" t="str">
        <x:v>全開牽引</x:v>
      </x:c>
    </x:row>
    <x:row r="441" ht="40" customHeight="1">
      <x:c r="A441" s="23" t="str">
        <x:v>引退</x:v>
      </x:c>
      <x:c r="B441" s="26" t="n">
        <x:v>137</x:v>
      </x:c>
      <x:c r="C441" s="23" t="str">
        <x:v>Michael Morkov</x:v>
      </x:c>
      <x:c r="D441" s="23" t="str">
        <x:v>スプリンター</x:v>
      </x:c>
      <x:c r="E441" s="23" t="str">
        <x:v>TT・ルーラー型</x:v>
      </x:c>
      <x:c r="F441" s="23" t="str">
        <x:v>アシスト型</x:v>
      </x:c>
      <x:c r="G441" s="23" t="str">
        <x:v>リードアウト / 最終発射台 / スプリントトレイン</x:v>
      </x:c>
      <x:c r="H441" s="23" t="str">
        <x:v>前方誘導</x:v>
      </x:c>
      <x:c r="I441" s="23" t="str">
        <x:v>位置引き上げ</x:v>
      </x:c>
      <x:c r="J441" s="23" t="str">
        <x:v>平坦牽引</x:v>
      </x:c>
      <x:c r="K441" s="23" t="str">
        <x:v>トレイン加速</x:v>
      </x:c>
      <x:c r="L441" s="23" t="str">
        <x:v>高速リードアウト</x:v>
      </x:c>
      <x:c r="M441" s="23" t="str">
        <x:v>最終発射</x:v>
      </x:c>
    </x:row>
    <x:row r="442" ht="40" customHeight="1">
      <x:c r="A442" s="23" t="str">
        <x:v>引退</x:v>
      </x:c>
      <x:c r="B442" s="26" t="n">
        <x:v>138</x:v>
      </x:c>
      <x:c r="C442" s="23" t="str">
        <x:v>Jan Barta</x:v>
      </x:c>
      <x:c r="D442" s="23" t="str">
        <x:v>TT・ルーラー型</x:v>
      </x:c>
      <x:c r="E442" s="23" t="str">
        <x:v>総合型</x:v>
      </x:c>
      <x:c r="F442" s="23" t="str">
        <x:v>アシスト型</x:v>
      </x:c>
      <x:c r="G442" s="23" t="str">
        <x:v>ロードキャプテン / 平坦アシスト / TT牽引</x:v>
      </x:c>
      <x:c r="H442" s="23" t="str">
        <x:v>平坦牽引</x:v>
      </x:c>
      <x:c r="I442" s="23" t="str">
        <x:v>風よけ</x:v>
      </x:c>
      <x:c r="J442" s="23" t="str">
        <x:v>トラブル復帰</x:v>
      </x:c>
      <x:c r="K442" s="23" t="str">
        <x:v>ローテーション牽引</x:v>
      </x:c>
      <x:c r="L442" s="23" t="str">
        <x:v>高速牽引</x:v>
      </x:c>
      <x:c r="M442" s="23" t="str">
        <x:v>全開牽引</x:v>
      </x:c>
    </x:row>
    <x:row r="443" ht="40" customHeight="1">
      <x:c r="A443" s="23" t="str">
        <x:v>引退</x:v>
      </x:c>
      <x:c r="B443" s="26" t="n">
        <x:v>139</x:v>
      </x:c>
      <x:c r="C443" s="23" t="str">
        <x:v>Viatcheslav Ekimov</x:v>
      </x:c>
      <x:c r="D443" s="23" t="str">
        <x:v>TT・ルーラー型</x:v>
      </x:c>
      <x:c r="E443" s="23" t="str">
        <x:v>クラシック型</x:v>
      </x:c>
      <x:c r="F443" s="23" t="str">
        <x:v>アシスト型</x:v>
      </x:c>
      <x:c r="G443" s="23" t="str">
        <x:v>平坦アシスト / TT牽引 / 集団コントローラー</x:v>
      </x:c>
      <x:c r="H443" s="23" t="str">
        <x:v>平坦牽引</x:v>
      </x:c>
      <x:c r="I443" s="23" t="str">
        <x:v>風よけ</x:v>
      </x:c>
      <x:c r="J443" s="23" t="str">
        <x:v>前方誘導</x:v>
      </x:c>
      <x:c r="K443" s="23" t="str">
        <x:v>ローテーション牽引</x:v>
      </x:c>
      <x:c r="L443" s="23" t="str">
        <x:v>高速牽引</x:v>
      </x:c>
      <x:c r="M443" s="23" t="str">
        <x:v>全開牽引</x:v>
      </x:c>
    </x:row>
    <x:row r="444" ht="40" customHeight="1">
      <x:c r="A444" s="23" t="str">
        <x:v>引退</x:v>
      </x:c>
      <x:c r="B444" s="26" t="n">
        <x:v>140</x:v>
      </x:c>
      <x:c r="C444" s="23" t="str">
        <x:v>Ramon Sinkeldam</x:v>
      </x:c>
      <x:c r="D444" s="23" t="str">
        <x:v>スプリンター</x:v>
      </x:c>
      <x:c r="E444" s="23" t="str">
        <x:v>TT・ルーラー型</x:v>
      </x:c>
      <x:c r="F444" s="23" t="str">
        <x:v>アシスト型</x:v>
      </x:c>
      <x:c r="G444" s="23" t="str">
        <x:v>リードアウト / 最終発射台 / スプリントトレイン</x:v>
      </x:c>
      <x:c r="H444" s="23" t="str">
        <x:v>前方誘導</x:v>
      </x:c>
      <x:c r="I444" s="23" t="str">
        <x:v>位置引き上げ</x:v>
      </x:c>
      <x:c r="J444" s="23" t="str">
        <x:v>平坦牽引</x:v>
      </x:c>
      <x:c r="K444" s="23" t="str">
        <x:v>トレイン加速</x:v>
      </x:c>
      <x:c r="L444" s="23" t="str">
        <x:v>高速リードアウト</x:v>
      </x:c>
      <x:c r="M444" s="23" t="str">
        <x:v>最終発射</x:v>
      </x:c>
    </x:row>
    <x:row r="445" ht="40" customHeight="1">
      <x:c r="A445" s="23" t="str">
        <x:v>引退</x:v>
      </x:c>
      <x:c r="B445" s="26" t="n">
        <x:v>141</x:v>
      </x:c>
      <x:c r="C445" s="23" t="str">
        <x:v>Jurgen Roelandts</x:v>
      </x:c>
      <x:c r="D445" s="23" t="str">
        <x:v>スプリンター</x:v>
      </x:c>
      <x:c r="E445" s="23" t="str">
        <x:v>TT・ルーラー型</x:v>
      </x:c>
      <x:c r="F445" s="23" t="str">
        <x:v>アシスト型</x:v>
      </x:c>
      <x:c r="G445" s="23" t="str">
        <x:v>リードアウト / 最終発射台 / スプリントトレイン</x:v>
      </x:c>
      <x:c r="H445" s="23" t="str">
        <x:v>前方誘導</x:v>
      </x:c>
      <x:c r="I445" s="23" t="str">
        <x:v>位置引き上げ</x:v>
      </x:c>
      <x:c r="J445" s="23" t="str">
        <x:v>平坦牽引</x:v>
      </x:c>
      <x:c r="K445" s="23" t="str">
        <x:v>トレイン加速</x:v>
      </x:c>
      <x:c r="L445" s="23" t="str">
        <x:v>高速リードアウト</x:v>
      </x:c>
      <x:c r="M445" s="23" t="str">
        <x:v>最終発射</x:v>
      </x:c>
    </x:row>
    <x:row r="446" ht="40" customHeight="1">
      <x:c r="A446" s="23" t="str">
        <x:v>引退</x:v>
      </x:c>
      <x:c r="B446" s="26" t="n">
        <x:v>142</x:v>
      </x:c>
      <x:c r="C446" s="23" t="str">
        <x:v>Greg Henderson</x:v>
      </x:c>
      <x:c r="D446" s="23" t="str">
        <x:v>スプリンター</x:v>
      </x:c>
      <x:c r="E446" s="23" t="str">
        <x:v>TT・ルーラー型</x:v>
      </x:c>
      <x:c r="F446" s="23" t="str">
        <x:v>アシスト型</x:v>
      </x:c>
      <x:c r="G446" s="23" t="str">
        <x:v>リードアウト / 最終発射台 / スプリントトレイン</x:v>
      </x:c>
      <x:c r="H446" s="23" t="str">
        <x:v>前方誘導</x:v>
      </x:c>
      <x:c r="I446" s="23" t="str">
        <x:v>位置引き上げ</x:v>
      </x:c>
      <x:c r="J446" s="23" t="str">
        <x:v>平坦牽引</x:v>
      </x:c>
      <x:c r="K446" s="23" t="str">
        <x:v>トレイン加速</x:v>
      </x:c>
      <x:c r="L446" s="23" t="str">
        <x:v>高速リードアウト</x:v>
      </x:c>
      <x:c r="M446" s="23" t="str">
        <x:v>最終発射</x:v>
      </x:c>
    </x:row>
    <x:row r="447" ht="40" customHeight="1">
      <x:c r="A447" s="23" t="str">
        <x:v>引退</x:v>
      </x:c>
      <x:c r="B447" s="26" t="n">
        <x:v>143</x:v>
      </x:c>
      <x:c r="C447" s="23" t="str">
        <x:v>Maciej Bodnar</x:v>
      </x:c>
      <x:c r="D447" s="23" t="str">
        <x:v>TT・ルーラー型</x:v>
      </x:c>
      <x:c r="E447" s="23" t="str">
        <x:v>クラシック型</x:v>
      </x:c>
      <x:c r="F447" s="23" t="str">
        <x:v>アシスト型</x:v>
      </x:c>
      <x:c r="G447" s="23" t="str">
        <x:v>平坦アシスト / 平坦ペースメーカー / TT牽引</x:v>
      </x:c>
      <x:c r="H447" s="23" t="str">
        <x:v>平坦牽引</x:v>
      </x:c>
      <x:c r="I447" s="23" t="str">
        <x:v>風よけ</x:v>
      </x:c>
      <x:c r="J447" s="23" t="str">
        <x:v>トラブル復帰</x:v>
      </x:c>
      <x:c r="K447" s="23" t="str">
        <x:v>ローテーション牽引</x:v>
      </x:c>
      <x:c r="L447" s="23" t="str">
        <x:v>高速牽引</x:v>
      </x:c>
      <x:c r="M447" s="23" t="str">
        <x:v>全開牽引</x:v>
      </x:c>
    </x:row>
    <x:row r="448" ht="40" customHeight="1">
      <x:c r="A448" s="23" t="str">
        <x:v>引退</x:v>
      </x:c>
      <x:c r="B448" s="26" t="n">
        <x:v>144</x:v>
      </x:c>
      <x:c r="C448" s="23" t="str">
        <x:v>Dries Devenyns</x:v>
      </x:c>
      <x:c r="D448" s="23" t="str">
        <x:v>TT・ルーラー型</x:v>
      </x:c>
      <x:c r="E448" s="23" t="str">
        <x:v>クラシック型</x:v>
      </x:c>
      <x:c r="F448" s="23" t="str">
        <x:v>アシスト型</x:v>
      </x:c>
      <x:c r="G448" s="23" t="str">
        <x:v>平坦アシスト / TT牽引 / 集団コントローラー</x:v>
      </x:c>
      <x:c r="H448" s="23" t="str">
        <x:v>平坦牽引</x:v>
      </x:c>
      <x:c r="I448" s="23" t="str">
        <x:v>風よけ</x:v>
      </x:c>
      <x:c r="J448" s="23" t="str">
        <x:v>前方誘導</x:v>
      </x:c>
      <x:c r="K448" s="23" t="str">
        <x:v>ローテーション牽引</x:v>
      </x:c>
      <x:c r="L448" s="23" t="str">
        <x:v>高速牽引</x:v>
      </x:c>
      <x:c r="M448" s="23" t="str">
        <x:v>全開牽引</x:v>
      </x:c>
    </x:row>
    <x:row r="449" ht="40" customHeight="1">
      <x:c r="A449" s="23" t="str">
        <x:v>引退</x:v>
      </x:c>
      <x:c r="B449" s="26" t="n">
        <x:v>145</x:v>
      </x:c>
      <x:c r="C449" s="23" t="str">
        <x:v>Brent Bookwalter</x:v>
      </x:c>
      <x:c r="D449" s="23" t="str">
        <x:v>TT・ルーラー型</x:v>
      </x:c>
      <x:c r="E449" s="23" t="str">
        <x:v>総合型</x:v>
      </x:c>
      <x:c r="F449" s="23" t="str">
        <x:v>アシスト型</x:v>
      </x:c>
      <x:c r="G449" s="23" t="str">
        <x:v>ロードキャプテン / 平坦アシスト / 平坦ペースメーカー</x:v>
      </x:c>
      <x:c r="H449" s="23" t="str">
        <x:v>平坦牽引</x:v>
      </x:c>
      <x:c r="I449" s="23" t="str">
        <x:v>風よけ</x:v>
      </x:c>
      <x:c r="J449" s="23" t="str">
        <x:v>トラブル復帰</x:v>
      </x:c>
      <x:c r="K449" s="23" t="str">
        <x:v>ローテーション牽引</x:v>
      </x:c>
      <x:c r="L449" s="23" t="str">
        <x:v>高速牽引</x:v>
      </x:c>
      <x:c r="M449" s="23" t="str">
        <x:v>全開牽引</x:v>
      </x:c>
    </x:row>
    <x:row r="450" ht="40" customHeight="1">
      <x:c r="A450" s="23" t="str">
        <x:v>引退</x:v>
      </x:c>
      <x:c r="B450" s="26" t="n">
        <x:v>146</x:v>
      </x:c>
      <x:c r="C450" s="23" t="str">
        <x:v>Stuart O'Grady</x:v>
      </x:c>
      <x:c r="D450" s="23" t="str">
        <x:v>TT・ルーラー型</x:v>
      </x:c>
      <x:c r="E450" s="23" t="str">
        <x:v>クラシック型</x:v>
      </x:c>
      <x:c r="F450" s="23" t="str">
        <x:v>アシスト型</x:v>
      </x:c>
      <x:c r="G450" s="23" t="str">
        <x:v>平坦アシスト / TT牽引 / 石畳護衛</x:v>
      </x:c>
      <x:c r="H450" s="23" t="str">
        <x:v>平坦牽引</x:v>
      </x:c>
      <x:c r="I450" s="23" t="str">
        <x:v>風よけ</x:v>
      </x:c>
      <x:c r="J450" s="23" t="str">
        <x:v>パヴェ護衛</x:v>
      </x:c>
      <x:c r="K450" s="23" t="str">
        <x:v>ローテーション牽引</x:v>
      </x:c>
      <x:c r="L450" s="23" t="str">
        <x:v>高速牽引</x:v>
      </x:c>
      <x:c r="M450" s="23" t="str">
        <x:v>全開牽引</x:v>
      </x:c>
    </x:row>
    <x:row r="451" ht="40" customHeight="1">
      <x:c r="A451" s="23" t="str">
        <x:v>引退</x:v>
      </x:c>
      <x:c r="B451" s="26" t="n">
        <x:v>147</x:v>
      </x:c>
      <x:c r="C451" s="23" t="str">
        <x:v>Tejay van Garderen</x:v>
      </x:c>
      <x:c r="D451" s="23" t="str">
        <x:v>TT・ルーラー型</x:v>
      </x:c>
      <x:c r="E451" s="23" t="str">
        <x:v>総合型</x:v>
      </x:c>
      <x:c r="F451" s="23" t="str">
        <x:v>アシスト型</x:v>
      </x:c>
      <x:c r="G451" s="23" t="str">
        <x:v>ロードキャプテン / 平坦アシスト / 平坦ペースメーカー</x:v>
      </x:c>
      <x:c r="H451" s="23" t="str">
        <x:v>平坦牽引</x:v>
      </x:c>
      <x:c r="I451" s="23" t="str">
        <x:v>風よけ</x:v>
      </x:c>
      <x:c r="J451" s="23" t="str">
        <x:v>トラブル復帰</x:v>
      </x:c>
      <x:c r="K451" s="23" t="str">
        <x:v>ローテーション牽引</x:v>
      </x:c>
      <x:c r="L451" s="23" t="str">
        <x:v>高速牽引</x:v>
      </x:c>
      <x:c r="M451" s="23" t="str">
        <x:v>全開牽引</x:v>
      </x:c>
    </x:row>
    <x:row r="452" ht="40" customHeight="1">
      <x:c r="A452" s="23" t="str">
        <x:v>引退</x:v>
      </x:c>
      <x:c r="B452" s="26" t="n">
        <x:v>148</x:v>
      </x:c>
      <x:c r="C452" s="23" t="str">
        <x:v>Daryl Impey</x:v>
      </x:c>
      <x:c r="D452" s="23" t="str">
        <x:v>クラシック型</x:v>
      </x:c>
      <x:c r="E452" s="23" t="str">
        <x:v>TT・ルーラー型</x:v>
      </x:c>
      <x:c r="F452" s="23" t="str">
        <x:v>アシスト型</x:v>
      </x:c>
      <x:c r="G452" s="23" t="str">
        <x:v>ロードキャプテン / 平坦アシスト / 石畳護衛</x:v>
      </x:c>
      <x:c r="H452" s="23" t="str">
        <x:v>進路確保</x:v>
      </x:c>
      <x:c r="I452" s="23" t="str">
        <x:v>トラブル復帰</x:v>
      </x:c>
      <x:c r="J452" s="23" t="str">
        <x:v>前方誘導</x:v>
      </x:c>
      <x:c r="K452" s="23" t="str">
        <x:v>隊列再編</x:v>
      </x:c>
      <x:c r="L452" s="23" t="str">
        <x:v>位置取り護衛</x:v>
      </x:c>
      <x:c r="M452" s="23" t="str">
        <x:v>緊急再編</x:v>
      </x:c>
    </x:row>
    <x:row r="453" ht="40" customHeight="1">
      <x:c r="A453" s="23" t="str">
        <x:v>引退</x:v>
      </x:c>
      <x:c r="B453" s="26" t="n">
        <x:v>149</x:v>
      </x:c>
      <x:c r="C453" s="23" t="str">
        <x:v>Ian Stannard</x:v>
      </x:c>
      <x:c r="D453" s="23" t="str">
        <x:v>TT・ルーラー型</x:v>
      </x:c>
      <x:c r="E453" s="23" t="str">
        <x:v>クラシック型</x:v>
      </x:c>
      <x:c r="F453" s="23" t="str">
        <x:v>アシスト型</x:v>
      </x:c>
      <x:c r="G453" s="23" t="str">
        <x:v>平坦アシスト / TT牽引 / 集団コントローラー</x:v>
      </x:c>
      <x:c r="H453" s="23" t="str">
        <x:v>平坦牽引</x:v>
      </x:c>
      <x:c r="I453" s="23" t="str">
        <x:v>風よけ</x:v>
      </x:c>
      <x:c r="J453" s="23" t="str">
        <x:v>前方誘導</x:v>
      </x:c>
      <x:c r="K453" s="23" t="str">
        <x:v>ローテーション牽引</x:v>
      </x:c>
      <x:c r="L453" s="23" t="str">
        <x:v>高速牽引</x:v>
      </x:c>
      <x:c r="M453" s="23" t="str">
        <x:v>全開牽引</x:v>
      </x:c>
    </x:row>
    <x:row r="454" ht="40" customHeight="1">
      <x:c r="A454" s="23" t="str">
        <x:v>引退</x:v>
      </x:c>
      <x:c r="B454" s="26" t="n">
        <x:v>150</x:v>
      </x:c>
      <x:c r="C454" s="23" t="str">
        <x:v>Jens Voigt</x:v>
      </x:c>
      <x:c r="D454" s="23" t="str">
        <x:v>TT・ルーラー型</x:v>
      </x:c>
      <x:c r="E454" s="23" t="str">
        <x:v>クラシック型</x:v>
      </x:c>
      <x:c r="F454" s="23" t="str">
        <x:v>アシスト型</x:v>
      </x:c>
      <x:c r="G454" s="23" t="str">
        <x:v>平坦アシスト / TT牽引 / トラブル復帰牽引</x:v>
      </x:c>
      <x:c r="H454" s="23" t="str">
        <x:v>平坦牽引</x:v>
      </x:c>
      <x:c r="I454" s="23" t="str">
        <x:v>風よけ</x:v>
      </x:c>
      <x:c r="J454" s="23" t="str">
        <x:v>前方誘導</x:v>
      </x:c>
      <x:c r="K454" s="23" t="str">
        <x:v>集団復帰</x:v>
      </x:c>
      <x:c r="L454" s="23" t="str">
        <x:v>ローテーション牽引</x:v>
      </x:c>
      <x:c r="M454" s="23" t="str">
        <x:v>全力復帰</x:v>
      </x:c>
    </x:row>
    <x:row r="455" ht="40" customHeight="1">
      <x:c r="A455" s="23" t="str">
        <x:v>引退</x:v>
      </x:c>
      <x:c r="B455" s="26" t="n">
        <x:v>151</x:v>
      </x:c>
      <x:c r="C455" s="23" t="str">
        <x:v>Lars Bak</x:v>
      </x:c>
      <x:c r="D455" s="23" t="str">
        <x:v>TT・ルーラー型</x:v>
      </x:c>
      <x:c r="E455" s="23" t="str">
        <x:v>クラシック型</x:v>
      </x:c>
      <x:c r="F455" s="23" t="str">
        <x:v>アシスト型</x:v>
      </x:c>
      <x:c r="G455" s="23" t="str">
        <x:v>平坦アシスト / TT牽引 / トラブル復帰牽引</x:v>
      </x:c>
      <x:c r="H455" s="23" t="str">
        <x:v>平坦牽引</x:v>
      </x:c>
      <x:c r="I455" s="23" t="str">
        <x:v>風よけ</x:v>
      </x:c>
      <x:c r="J455" s="23" t="str">
        <x:v>トラブル復帰</x:v>
      </x:c>
      <x:c r="K455" s="23" t="str">
        <x:v>集団復帰</x:v>
      </x:c>
      <x:c r="L455" s="23" t="str">
        <x:v>ローテーション牽引</x:v>
      </x:c>
      <x:c r="M455" s="23" t="str">
        <x:v>全力復帰</x:v>
      </x:c>
    </x:row>
    <x:row r="456" ht="40" customHeight="1">
      <x:c r="A456" s="23" t="str">
        <x:v>引退</x:v>
      </x:c>
      <x:c r="B456" s="26" t="n">
        <x:v>152</x:v>
      </x:c>
      <x:c r="C456" s="23" t="str">
        <x:v>Marcus Burghardt</x:v>
      </x:c>
      <x:c r="D456" s="23" t="str">
        <x:v>TT・ルーラー型</x:v>
      </x:c>
      <x:c r="E456" s="23" t="str">
        <x:v>クラシック型</x:v>
      </x:c>
      <x:c r="F456" s="23" t="str">
        <x:v>アシスト型</x:v>
      </x:c>
      <x:c r="G456" s="23" t="str">
        <x:v>平坦アシスト / TT牽引 / 集団コントローラー</x:v>
      </x:c>
      <x:c r="H456" s="23" t="str">
        <x:v>平坦牽引</x:v>
      </x:c>
      <x:c r="I456" s="23" t="str">
        <x:v>風よけ</x:v>
      </x:c>
      <x:c r="J456" s="23" t="str">
        <x:v>前方誘導</x:v>
      </x:c>
      <x:c r="K456" s="23" t="str">
        <x:v>ローテーション牽引</x:v>
      </x:c>
      <x:c r="L456" s="23" t="str">
        <x:v>高速牽引</x:v>
      </x:c>
      <x:c r="M456" s="23" t="str">
        <x:v>全開牽引</x:v>
      </x:c>
    </x:row>
    <x:row r="457" ht="40" customHeight="1">
      <x:c r="A457" s="23" t="str">
        <x:v>引退</x:v>
      </x:c>
      <x:c r="B457" s="26" t="n">
        <x:v>153</x:v>
      </x:c>
      <x:c r="C457" s="23" t="str">
        <x:v>Alessandro Ballan</x:v>
      </x:c>
      <x:c r="D457" s="23" t="str">
        <x:v>クラシック型</x:v>
      </x:c>
      <x:c r="E457" s="23" t="str">
        <x:v>TT・ルーラー型</x:v>
      </x:c>
      <x:c r="F457" s="23" t="str">
        <x:v>アシスト型</x:v>
      </x:c>
      <x:c r="G457" s="23" t="str">
        <x:v>ロードキャプテン / 平坦アシスト / 石畳護衛</x:v>
      </x:c>
      <x:c r="H457" s="23" t="str">
        <x:v>パヴェ護衛</x:v>
      </x:c>
      <x:c r="I457" s="23" t="str">
        <x:v>進路確保</x:v>
      </x:c>
      <x:c r="J457" s="23" t="str">
        <x:v>トラブル復帰</x:v>
      </x:c>
      <x:c r="K457" s="23" t="str">
        <x:v>ライン誘導</x:v>
      </x:c>
      <x:c r="L457" s="23" t="str">
        <x:v>石畳牽引</x:v>
      </x:c>
      <x:c r="M457" s="23" t="str">
        <x:v>石畳護衛</x:v>
      </x:c>
    </x:row>
    <x:row r="458" ht="40" customHeight="1">
      <x:c r="A458" s="23" t="str">
        <x:v>引退</x:v>
      </x:c>
      <x:c r="B458" s="26" t="n">
        <x:v>154</x:v>
      </x:c>
      <x:c r="C458" s="23" t="str">
        <x:v>Michael Rogers</x:v>
      </x:c>
      <x:c r="D458" s="23" t="str">
        <x:v>クラシック型</x:v>
      </x:c>
      <x:c r="E458" s="23" t="str">
        <x:v>TT・ルーラー型</x:v>
      </x:c>
      <x:c r="F458" s="23" t="str">
        <x:v>アシスト型</x:v>
      </x:c>
      <x:c r="G458" s="23" t="str">
        <x:v>ロードキャプテン / TTスペシャリスト / 平坦アシスト</x:v>
      </x:c>
      <x:c r="H458" s="23" t="str">
        <x:v>トラブル復帰</x:v>
      </x:c>
      <x:c r="I458" s="23" t="str">
        <x:v>進路確保</x:v>
      </x:c>
      <x:c r="J458" s="23" t="str">
        <x:v>前方誘導</x:v>
      </x:c>
      <x:c r="K458" s="23" t="str">
        <x:v>隊列再編</x:v>
      </x:c>
      <x:c r="L458" s="23" t="str">
        <x:v>位置取り護衛</x:v>
      </x:c>
      <x:c r="M458" s="23" t="str">
        <x:v>緊急再編</x:v>
      </x:c>
    </x:row>
    <x:row r="459" ht="40" customHeight="1">
      <x:c r="A459" s="23" t="str">
        <x:v>引退</x:v>
      </x:c>
      <x:c r="B459" s="26" t="n">
        <x:v>155</x:v>
      </x:c>
      <x:c r="C459" s="23" t="str">
        <x:v>Manuel Quinziato</x:v>
      </x:c>
      <x:c r="D459" s="23" t="str">
        <x:v>クラシック型</x:v>
      </x:c>
      <x:c r="E459" s="23" t="str">
        <x:v>TT・ルーラー型</x:v>
      </x:c>
      <x:c r="F459" s="23" t="str">
        <x:v>アシスト型</x:v>
      </x:c>
      <x:c r="G459" s="23" t="str">
        <x:v>ロードキャプテン / 平坦アシスト / 石畳護衛</x:v>
      </x:c>
      <x:c r="H459" s="23" t="str">
        <x:v>進路確保</x:v>
      </x:c>
      <x:c r="I459" s="23" t="str">
        <x:v>トラブル復帰</x:v>
      </x:c>
      <x:c r="J459" s="23" t="str">
        <x:v>パヴェ護衛</x:v>
      </x:c>
      <x:c r="K459" s="23" t="str">
        <x:v>隊列再編</x:v>
      </x:c>
      <x:c r="L459" s="23" t="str">
        <x:v>ライン誘導</x:v>
      </x:c>
      <x:c r="M459" s="23" t="str">
        <x:v>緊急再編</x:v>
      </x:c>
    </x:row>
    <x:row r="460" ht="40" customHeight="1">
      <x:c r="A460" s="23" t="str">
        <x:v>引退</x:v>
      </x:c>
      <x:c r="B460" s="26" t="n">
        <x:v>156</x:v>
      </x:c>
      <x:c r="C460" s="23" t="str">
        <x:v>Bernhard Eisel</x:v>
      </x:c>
      <x:c r="D460" s="23" t="str">
        <x:v>クラシック型</x:v>
      </x:c>
      <x:c r="E460" s="23" t="str">
        <x:v>TT・ルーラー型</x:v>
      </x:c>
      <x:c r="F460" s="23" t="str">
        <x:v>アシスト型</x:v>
      </x:c>
      <x:c r="G460" s="23" t="str">
        <x:v>ロードキャプテン / 石畳護衛 / 横風要員</x:v>
      </x:c>
      <x:c r="H460" s="23" t="str">
        <x:v>パヴェ護衛</x:v>
      </x:c>
      <x:c r="I460" s="23" t="str">
        <x:v>進路確保</x:v>
      </x:c>
      <x:c r="J460" s="23" t="str">
        <x:v>トラブル復帰</x:v>
      </x:c>
      <x:c r="K460" s="23" t="str">
        <x:v>ライン誘導</x:v>
      </x:c>
      <x:c r="L460" s="23" t="str">
        <x:v>石畳牽引</x:v>
      </x:c>
      <x:c r="M460" s="23" t="str">
        <x:v>石畳護衛</x:v>
      </x:c>
    </x:row>
    <x:row r="461" ht="40" customHeight="1">
      <x:c r="A461" s="23" t="str">
        <x:v>引退</x:v>
      </x:c>
      <x:c r="B461" s="26" t="n">
        <x:v>157</x:v>
      </x:c>
      <x:c r="C461" s="23" t="str">
        <x:v>Christian Vande Velde</x:v>
      </x:c>
      <x:c r="D461" s="23" t="str">
        <x:v>クラシック型</x:v>
      </x:c>
      <x:c r="E461" s="23" t="str">
        <x:v>TT・ルーラー型</x:v>
      </x:c>
      <x:c r="F461" s="23" t="str">
        <x:v>アシスト型</x:v>
      </x:c>
      <x:c r="G461" s="23" t="str">
        <x:v>ロードキャプテン / 平坦アシスト / 石畳護衛</x:v>
      </x:c>
      <x:c r="H461" s="23" t="str">
        <x:v>進路確保</x:v>
      </x:c>
      <x:c r="I461" s="23" t="str">
        <x:v>トラブル復帰</x:v>
      </x:c>
      <x:c r="J461" s="23" t="str">
        <x:v>前方誘導</x:v>
      </x:c>
      <x:c r="K461" s="23" t="str">
        <x:v>隊列再編</x:v>
      </x:c>
      <x:c r="L461" s="23" t="str">
        <x:v>位置取り護衛</x:v>
      </x:c>
      <x:c r="M461" s="23" t="str">
        <x:v>緊急再編</x:v>
      </x:c>
    </x:row>
    <x:row r="462" ht="40" customHeight="1">
      <x:c r="A462" s="23" t="str">
        <x:v>引退</x:v>
      </x:c>
      <x:c r="B462" s="26" t="n">
        <x:v>158</x:v>
      </x:c>
      <x:c r="C462" s="23" t="str">
        <x:v>Bram Tankink</x:v>
      </x:c>
      <x:c r="D462" s="23" t="str">
        <x:v>クラシック型</x:v>
      </x:c>
      <x:c r="E462" s="23" t="str">
        <x:v>TT・ルーラー型</x:v>
      </x:c>
      <x:c r="F462" s="23" t="str">
        <x:v>アシスト型</x:v>
      </x:c>
      <x:c r="G462" s="23" t="str">
        <x:v>ロードキャプテン / 平坦アシスト / 石畳護衛</x:v>
      </x:c>
      <x:c r="H462" s="23" t="str">
        <x:v>進路確保</x:v>
      </x:c>
      <x:c r="I462" s="23" t="str">
        <x:v>トラブル復帰</x:v>
      </x:c>
      <x:c r="J462" s="23" t="str">
        <x:v>パヴェ護衛</x:v>
      </x:c>
      <x:c r="K462" s="23" t="str">
        <x:v>ライン誘導</x:v>
      </x:c>
      <x:c r="L462" s="23" t="str">
        <x:v>石畳牽引</x:v>
      </x:c>
      <x:c r="M462" s="23" t="str">
        <x:v>石畳護衛</x:v>
      </x:c>
    </x:row>
    <x:row r="463" ht="40" customHeight="1">
      <x:c r="A463" s="23" t="str">
        <x:v>引退</x:v>
      </x:c>
      <x:c r="B463" s="26" t="n">
        <x:v>159</x:v>
      </x:c>
      <x:c r="C463" s="23" t="str">
        <x:v>Juan Antonio Flecha</x:v>
      </x:c>
      <x:c r="D463" s="23" t="str">
        <x:v>クラシック型</x:v>
      </x:c>
      <x:c r="E463" s="23" t="str">
        <x:v>TT・ルーラー型</x:v>
      </x:c>
      <x:c r="F463" s="23" t="str">
        <x:v>アシスト型</x:v>
      </x:c>
      <x:c r="G463" s="23" t="str">
        <x:v>ロードキャプテン / 平坦アシスト / 石畳護衛</x:v>
      </x:c>
      <x:c r="H463" s="23" t="str">
        <x:v>進路確保</x:v>
      </x:c>
      <x:c r="I463" s="23" t="str">
        <x:v>トラブル復帰</x:v>
      </x:c>
      <x:c r="J463" s="23" t="str">
        <x:v>前方誘導</x:v>
      </x:c>
      <x:c r="K463" s="23" t="str">
        <x:v>隊列再編</x:v>
      </x:c>
      <x:c r="L463" s="23" t="str">
        <x:v>位置取り護衛</x:v>
      </x:c>
      <x:c r="M463" s="23" t="str">
        <x:v>緊急再編</x:v>
      </x:c>
    </x:row>
    <x:row r="464" ht="40" customHeight="1">
      <x:c r="A464" s="23" t="str">
        <x:v>引退</x:v>
      </x:c>
      <x:c r="B464" s="26" t="n">
        <x:v>160</x:v>
      </x:c>
      <x:c r="C464" s="23" t="str">
        <x:v>George Hincapie</x:v>
      </x:c>
      <x:c r="D464" s="23" t="str">
        <x:v>クラシック型</x:v>
      </x:c>
      <x:c r="E464" s="23" t="str">
        <x:v>TT・ルーラー型</x:v>
      </x:c>
      <x:c r="F464" s="23" t="str">
        <x:v>アシスト型</x:v>
      </x:c>
      <x:c r="G464" s="23" t="str">
        <x:v>ロードキャプテン / 平坦アシスト / 石畳護衛</x:v>
      </x:c>
      <x:c r="H464" s="23" t="str">
        <x:v>進路確保</x:v>
      </x:c>
      <x:c r="I464" s="23" t="str">
        <x:v>トラブル復帰</x:v>
      </x:c>
      <x:c r="J464" s="23" t="str">
        <x:v>前方誘導</x:v>
      </x:c>
      <x:c r="K464" s="23" t="str">
        <x:v>隊列再編</x:v>
      </x:c>
      <x:c r="L464" s="23" t="str">
        <x:v>位置取り護衛</x:v>
      </x:c>
      <x:c r="M464" s="23" t="str">
        <x:v>緊急再編</x:v>
      </x:c>
    </x:row>
    <x:row r="465" ht="40" customHeight="1">
      <x:c r="A465" s="23" t="str">
        <x:v>引退</x:v>
      </x:c>
      <x:c r="B465" s="26" t="n">
        <x:v>161</x:v>
      </x:c>
      <x:c r="C465" s="23" t="str">
        <x:v>Matteo Tosatto</x:v>
      </x:c>
      <x:c r="D465" s="23" t="str">
        <x:v>TT・ルーラー型</x:v>
      </x:c>
      <x:c r="E465" s="23" t="str">
        <x:v>クラシック型</x:v>
      </x:c>
      <x:c r="F465" s="23" t="str">
        <x:v>アシスト型</x:v>
      </x:c>
      <x:c r="G465" s="23" t="str">
        <x:v>平坦アシスト / 平坦ペースメーカー / TT牽引</x:v>
      </x:c>
      <x:c r="H465" s="23" t="str">
        <x:v>平坦牽引</x:v>
      </x:c>
      <x:c r="I465" s="23" t="str">
        <x:v>風よけ</x:v>
      </x:c>
      <x:c r="J465" s="23" t="str">
        <x:v>前方誘導</x:v>
      </x:c>
      <x:c r="K465" s="23" t="str">
        <x:v>ローテーション牽引</x:v>
      </x:c>
      <x:c r="L465" s="23" t="str">
        <x:v>高速牽引</x:v>
      </x:c>
      <x:c r="M465" s="23" t="str">
        <x:v>全開牽引</x:v>
      </x:c>
    </x:row>
    <x:row r="466" ht="40" customHeight="1">
      <x:c r="A466" s="23" t="str">
        <x:v>引退</x:v>
      </x:c>
      <x:c r="B466" s="26" t="n">
        <x:v>162</x:v>
      </x:c>
      <x:c r="C466" s="23" t="str">
        <x:v>Mathew Hayman</x:v>
      </x:c>
      <x:c r="D466" s="23" t="str">
        <x:v>クラシック型</x:v>
      </x:c>
      <x:c r="E466" s="23" t="str">
        <x:v>TT・ルーラー型</x:v>
      </x:c>
      <x:c r="F466" s="23" t="str">
        <x:v>アシスト型</x:v>
      </x:c>
      <x:c r="G466" s="23" t="str">
        <x:v>ロードキャプテン / 平坦アシスト / 石畳護衛</x:v>
      </x:c>
      <x:c r="H466" s="23" t="str">
        <x:v>パヴェ護衛</x:v>
      </x:c>
      <x:c r="I466" s="23" t="str">
        <x:v>進路確保</x:v>
      </x:c>
      <x:c r="J466" s="23" t="str">
        <x:v>トラブル復帰</x:v>
      </x:c>
      <x:c r="K466" s="23" t="str">
        <x:v>ライン誘導</x:v>
      </x:c>
      <x:c r="L466" s="23" t="str">
        <x:v>石畳牽引</x:v>
      </x:c>
      <x:c r="M466" s="23" t="str">
        <x:v>石畳護衛</x:v>
      </x:c>
    </x:row>
    <x:row r="467" ht="40" customHeight="1">
      <x:c r="A467" s="23" t="str">
        <x:v>引退</x:v>
      </x:c>
      <x:c r="B467" s="26" t="n">
        <x:v>163</x:v>
      </x:c>
      <x:c r="C467" s="23" t="str">
        <x:v>Luca Paolini</x:v>
      </x:c>
      <x:c r="D467" s="23" t="str">
        <x:v>クラシック型</x:v>
      </x:c>
      <x:c r="E467" s="23" t="str">
        <x:v>TT・ルーラー型</x:v>
      </x:c>
      <x:c r="F467" s="23" t="str">
        <x:v>アシスト型</x:v>
      </x:c>
      <x:c r="G467" s="23" t="str">
        <x:v>ロードキャプテン / 平坦アシスト / 石畳護衛</x:v>
      </x:c>
      <x:c r="H467" s="23" t="str">
        <x:v>進路確保</x:v>
      </x:c>
      <x:c r="I467" s="23" t="str">
        <x:v>トラブル復帰</x:v>
      </x:c>
      <x:c r="J467" s="23" t="str">
        <x:v>パヴェ護衛</x:v>
      </x:c>
      <x:c r="K467" s="23" t="str">
        <x:v>隊列再編</x:v>
      </x:c>
      <x:c r="L467" s="23" t="str">
        <x:v>ライン誘導</x:v>
      </x:c>
      <x:c r="M467" s="23" t="str">
        <x:v>緊急再編</x:v>
      </x:c>
    </x:row>
    <x:row r="468" ht="40" customHeight="1">
      <x:c r="A468" s="23" t="str">
        <x:v>引退</x:v>
      </x:c>
      <x:c r="B468" s="26" t="n">
        <x:v>164</x:v>
      </x:c>
      <x:c r="C468" s="23" t="str">
        <x:v>Sylvain Chavanel</x:v>
      </x:c>
      <x:c r="D468" s="23" t="str">
        <x:v>クラシック型</x:v>
      </x:c>
      <x:c r="E468" s="23" t="str">
        <x:v>TT・ルーラー型</x:v>
      </x:c>
      <x:c r="F468" s="23" t="str">
        <x:v>アシスト型</x:v>
      </x:c>
      <x:c r="G468" s="23" t="str">
        <x:v>ロードキャプテン / 平坦アシスト / 石畳護衛</x:v>
      </x:c>
      <x:c r="H468" s="23" t="str">
        <x:v>進路確保</x:v>
      </x:c>
      <x:c r="I468" s="23" t="str">
        <x:v>トラブル復帰</x:v>
      </x:c>
      <x:c r="J468" s="23" t="str">
        <x:v>パヴェ護衛</x:v>
      </x:c>
      <x:c r="K468" s="23" t="str">
        <x:v>隊列再編</x:v>
      </x:c>
      <x:c r="L468" s="23" t="str">
        <x:v>ライン誘導</x:v>
      </x:c>
      <x:c r="M468" s="23" t="str">
        <x:v>緊急再編</x:v>
      </x:c>
    </x:row>
    <x:row r="469" ht="40" customHeight="1">
      <x:c r="A469" s="23" t="str">
        <x:v>引退</x:v>
      </x:c>
      <x:c r="B469" s="26" t="n">
        <x:v>165</x:v>
      </x:c>
      <x:c r="C469" s="23" t="str">
        <x:v>Fumiyuki Beppu</x:v>
      </x:c>
      <x:c r="D469" s="23" t="str">
        <x:v>クラシック型</x:v>
      </x:c>
      <x:c r="E469" s="23" t="str">
        <x:v>TT・ルーラー型</x:v>
      </x:c>
      <x:c r="F469" s="23" t="str">
        <x:v>アシスト型</x:v>
      </x:c>
      <x:c r="G469" s="23" t="str">
        <x:v>ロードキャプテン / 平坦アシスト / 石畳護衛</x:v>
      </x:c>
      <x:c r="H469" s="23" t="str">
        <x:v>進路確保</x:v>
      </x:c>
      <x:c r="I469" s="23" t="str">
        <x:v>トラブル復帰</x:v>
      </x:c>
      <x:c r="J469" s="23" t="str">
        <x:v>パヴェ護衛</x:v>
      </x:c>
      <x:c r="K469" s="23" t="str">
        <x:v>隊列再編</x:v>
      </x:c>
      <x:c r="L469" s="23" t="str">
        <x:v>ライン誘導</x:v>
      </x:c>
      <x:c r="M469" s="23" t="str">
        <x:v>緊急再編</x:v>
      </x:c>
    </x:row>
    <x:row r="470" ht="40" customHeight="1">
      <x:c r="A470" s="23" t="str">
        <x:v>引退</x:v>
      </x:c>
      <x:c r="B470" s="26" t="n">
        <x:v>166</x:v>
      </x:c>
      <x:c r="C470" s="23" t="str">
        <x:v>Geraint Thomas</x:v>
      </x:c>
      <x:c r="D470" s="23" t="str">
        <x:v>クラシック型</x:v>
      </x:c>
      <x:c r="E470" s="23" t="str">
        <x:v>TT・ルーラー型</x:v>
      </x:c>
      <x:c r="F470" s="23" t="str">
        <x:v>アシスト型</x:v>
      </x:c>
      <x:c r="G470" s="23" t="str">
        <x:v>ロードキャプテン / 平坦アシスト / 石畳護衛</x:v>
      </x:c>
      <x:c r="H470" s="23" t="str">
        <x:v>パヴェ護衛</x:v>
      </x:c>
      <x:c r="I470" s="23" t="str">
        <x:v>進路確保</x:v>
      </x:c>
      <x:c r="J470" s="23" t="str">
        <x:v>トラブル復帰</x:v>
      </x:c>
      <x:c r="K470" s="23" t="str">
        <x:v>ライン誘導</x:v>
      </x:c>
      <x:c r="L470" s="23" t="str">
        <x:v>石畳牽引</x:v>
      </x:c>
      <x:c r="M470" s="23" t="str">
        <x:v>石畳護衛</x:v>
      </x:c>
    </x:row>
    <x:row r="471" ht="40" customHeight="1">
      <x:c r="A471" s="23" t="str">
        <x:v>引退</x:v>
      </x:c>
      <x:c r="B471" s="26" t="n">
        <x:v>167</x:v>
      </x:c>
      <x:c r="C471" s="23" t="str">
        <x:v>Gregory Rast</x:v>
      </x:c>
      <x:c r="D471" s="23" t="str">
        <x:v>クラシック型</x:v>
      </x:c>
      <x:c r="E471" s="23" t="str">
        <x:v>TT・ルーラー型</x:v>
      </x:c>
      <x:c r="F471" s="23" t="str">
        <x:v>アシスト型</x:v>
      </x:c>
      <x:c r="G471" s="23" t="str">
        <x:v>ロードキャプテン / 平坦アシスト / 石畳護衛</x:v>
      </x:c>
      <x:c r="H471" s="23" t="str">
        <x:v>パヴェ護衛</x:v>
      </x:c>
      <x:c r="I471" s="23" t="str">
        <x:v>進路確保</x:v>
      </x:c>
      <x:c r="J471" s="23" t="str">
        <x:v>トラブル復帰</x:v>
      </x:c>
      <x:c r="K471" s="23" t="str">
        <x:v>ライン誘導</x:v>
      </x:c>
      <x:c r="L471" s="23" t="str">
        <x:v>石畳牽引</x:v>
      </x:c>
      <x:c r="M471" s="23" t="str">
        <x:v>石畳護衛</x:v>
      </x:c>
    </x:row>
    <x:row r="472" ht="40" customHeight="1">
      <x:c r="A472" s="23" t="str">
        <x:v>引退</x:v>
      </x:c>
      <x:c r="B472" s="26" t="n">
        <x:v>168</x:v>
      </x:c>
      <x:c r="C472" s="23" t="str">
        <x:v>Koen de Kort</x:v>
      </x:c>
      <x:c r="D472" s="23" t="str">
        <x:v>クラシック型</x:v>
      </x:c>
      <x:c r="E472" s="23" t="str">
        <x:v>TT・ルーラー型</x:v>
      </x:c>
      <x:c r="F472" s="23" t="str">
        <x:v>アシスト型</x:v>
      </x:c>
      <x:c r="G472" s="23" t="str">
        <x:v>ロードキャプテン / 平坦アシスト / 石畳護衛</x:v>
      </x:c>
      <x:c r="H472" s="23" t="str">
        <x:v>進路確保</x:v>
      </x:c>
      <x:c r="I472" s="23" t="str">
        <x:v>パヴェ護衛</x:v>
      </x:c>
      <x:c r="J472" s="23" t="str">
        <x:v>トラブル復帰</x:v>
      </x:c>
      <x:c r="K472" s="23" t="str">
        <x:v>ライン誘導</x:v>
      </x:c>
      <x:c r="L472" s="23" t="str">
        <x:v>石畳牽引</x:v>
      </x:c>
      <x:c r="M472" s="23" t="str">
        <x:v>石畳護衛</x:v>
      </x:c>
    </x:row>
    <x:row r="473" ht="40" customHeight="1">
      <x:c r="A473" s="23" t="str">
        <x:v>引退</x:v>
      </x:c>
      <x:c r="B473" s="26" t="n">
        <x:v>169</x:v>
      </x:c>
      <x:c r="C473" s="23" t="str">
        <x:v>Nicolas Roche</x:v>
      </x:c>
      <x:c r="D473" s="23" t="str">
        <x:v>クラシック型</x:v>
      </x:c>
      <x:c r="E473" s="23" t="str">
        <x:v>TT・ルーラー型</x:v>
      </x:c>
      <x:c r="F473" s="23" t="str">
        <x:v>アシスト型</x:v>
      </x:c>
      <x:c r="G473" s="23" t="str">
        <x:v>ロードキャプテン / 平坦アシスト / 石畳護衛</x:v>
      </x:c>
      <x:c r="H473" s="23" t="str">
        <x:v>進路確保</x:v>
      </x:c>
      <x:c r="I473" s="23" t="str">
        <x:v>トラブル復帰</x:v>
      </x:c>
      <x:c r="J473" s="23" t="str">
        <x:v>前方誘導</x:v>
      </x:c>
      <x:c r="K473" s="23" t="str">
        <x:v>隊列再編</x:v>
      </x:c>
      <x:c r="L473" s="23" t="str">
        <x:v>位置取り護衛</x:v>
      </x:c>
      <x:c r="M473" s="23" t="str">
        <x:v>緊急再編</x:v>
      </x:c>
    </x:row>
    <x:row r="474" ht="40" customHeight="1">
      <x:c r="A474" s="23" t="str">
        <x:v>引退</x:v>
      </x:c>
      <x:c r="B474" s="26" t="n">
        <x:v>170</x:v>
      </x:c>
      <x:c r="C474" s="23" t="str">
        <x:v>David Millar</x:v>
      </x:c>
      <x:c r="D474" s="23" t="str">
        <x:v>クラシック型</x:v>
      </x:c>
      <x:c r="E474" s="23" t="str">
        <x:v>TT・ルーラー型</x:v>
      </x:c>
      <x:c r="F474" s="23" t="str">
        <x:v>アシスト型</x:v>
      </x:c>
      <x:c r="G474" s="23" t="str">
        <x:v>ロードキャプテン / TTスペシャリスト / 平坦アシスト</x:v>
      </x:c>
      <x:c r="H474" s="23" t="str">
        <x:v>進路確保</x:v>
      </x:c>
      <x:c r="I474" s="23" t="str">
        <x:v>トラブル復帰</x:v>
      </x:c>
      <x:c r="J474" s="23" t="str">
        <x:v>前方誘導</x:v>
      </x:c>
      <x:c r="K474" s="23" t="str">
        <x:v>隊列再編</x:v>
      </x:c>
      <x:c r="L474" s="23" t="str">
        <x:v>パヴェ追走</x:v>
      </x:c>
      <x:c r="M474" s="23" t="str">
        <x:v>緊急再編</x:v>
      </x:c>
    </x:row>
    <x:row r="475" ht="40" customHeight="1">
      <x:c r="A475" s="23" t="str">
        <x:v>区分保留</x:v>
      </x:c>
      <x:c r="B475" s="26" t="n">
        <x:v>1</x:v>
      </x:c>
      <x:c r="C475" s="23" t="str">
        <x:v>Peter Sagan</x:v>
      </x:c>
      <x:c r="D475" s="23" t="str">
        <x:v>クラシック型</x:v>
      </x:c>
      <x:c r="E475" s="23" t="str">
        <x:v>スプリンター</x:v>
      </x:c>
      <x:c r="F475" s="23" t="str">
        <x:v>エース型</x:v>
      </x:c>
      <x:c r="G475" s="23" t="str">
        <x:v>丘陵エース / スプリントトレイン / 石畳護衛</x:v>
      </x:c>
      <x:c r="H475" s="23" t="str">
        <x:v>悪路ライン</x:v>
      </x:c>
      <x:c r="I475" s="23" t="str">
        <x:v>衝撃吸収</x:v>
      </x:c>
      <x:c r="J475" s="23" t="str">
        <x:v>前方進入</x:v>
      </x:c>
      <x:c r="K475" s="23" t="str">
        <x:v>石畳加速</x:v>
      </x:c>
      <x:c r="L475" s="23" t="str">
        <x:v>悪路アタック</x:v>
      </x:c>
      <x:c r="M475" s="23" t="str">
        <x:v>石畳決戦</x:v>
      </x:c>
    </x:row>
    <x:row r="476" ht="40" customHeight="1">
      <x:c r="A476" s="23" t="str">
        <x:v>区分保留</x:v>
      </x:c>
      <x:c r="B476" s="26" t="n">
        <x:v>2</x:v>
      </x:c>
      <x:c r="C476" s="23" t="str">
        <x:v>Mads Pedersen</x:v>
      </x:c>
      <x:c r="D476" s="23" t="str">
        <x:v>スプリンター</x:v>
      </x:c>
      <x:c r="E476" s="23" t="str">
        <x:v>パンチャー</x:v>
      </x:c>
      <x:c r="F476" s="23" t="str">
        <x:v>エース型</x:v>
      </x:c>
      <x:c r="G476" s="23" t="str">
        <x:v>スプリントエース / 丘陵エース / ステージハンター</x:v>
      </x:c>
      <x:c r="H476" s="23" t="str">
        <x:v>車輪キープ</x:v>
      </x:c>
      <x:c r="I476" s="23" t="str">
        <x:v>仕掛け待ち</x:v>
      </x:c>
      <x:c r="J476" s="23" t="str">
        <x:v>登坂リズム</x:v>
      </x:c>
      <x:c r="K476" s="23" t="str">
        <x:v>丘陵加速</x:v>
      </x:c>
      <x:c r="L476" s="23" t="str">
        <x:v>高速巡航</x:v>
      </x:c>
      <x:c r="M476" s="23" t="str">
        <x:v>暴風の登坂スプリント</x:v>
      </x:c>
    </x:row>
    <x:row r="477" ht="40" customHeight="1">
      <x:c r="A477" s="23" t="str">
        <x:v>区分保留</x:v>
      </x:c>
      <x:c r="B477" s="26" t="n">
        <x:v>3</x:v>
      </x:c>
      <x:c r="C477" s="23" t="str">
        <x:v>Romain Bardet</x:v>
      </x:c>
      <x:c r="D477" s="23" t="str">
        <x:v>クライマー</x:v>
      </x:c>
      <x:c r="E477" s="23" t="str">
        <x:v>パンチャー</x:v>
      </x:c>
      <x:c r="F477" s="23" t="str">
        <x:v>エース型</x:v>
      </x:c>
      <x:c r="G477" s="23" t="str">
        <x:v>山岳エース / 山岳番手 / 逃げ屋</x:v>
      </x:c>
      <x:c r="H477" s="23" t="str">
        <x:v>急勾配対応</x:v>
      </x:c>
      <x:c r="I477" s="23" t="str">
        <x:v>登坂リズム</x:v>
      </x:c>
      <x:c r="J477" s="23" t="str">
        <x:v>山岳待機</x:v>
      </x:c>
      <x:c r="K477" s="23" t="str">
        <x:v>登坂ペースアップ</x:v>
      </x:c>
      <x:c r="L477" s="23" t="str">
        <x:v>最後の山岳牽引</x:v>
      </x:c>
      <x:c r="M477" s="23" t="str">
        <x:v>山岳決戦</x:v>
      </x:c>
    </x:row>
    <x:row r="478" ht="40" customHeight="1">
      <x:c r="A478" s="23" t="str">
        <x:v>区分保留</x:v>
      </x:c>
      <x:c r="B478" s="26" t="n">
        <x:v>4</x:v>
      </x:c>
      <x:c r="C478" s="23" t="str">
        <x:v>Joao Almeida</x:v>
      </x:c>
      <x:c r="D478" s="23" t="str">
        <x:v>総合型</x:v>
      </x:c>
      <x:c r="E478" s="23" t="str">
        <x:v>TT・ルーラー型</x:v>
      </x:c>
      <x:c r="F478" s="23" t="str">
        <x:v>エース型</x:v>
      </x:c>
      <x:c r="G478" s="23" t="str">
        <x:v>総合エース / 集団コントローラー / 山岳番手</x:v>
      </x:c>
      <x:c r="H478" s="23" t="str">
        <x:v>急勾配対応</x:v>
      </x:c>
      <x:c r="I478" s="23" t="str">
        <x:v>登坂リズム</x:v>
      </x:c>
      <x:c r="J478" s="23" t="str">
        <x:v>山岳待機</x:v>
      </x:c>
      <x:c r="K478" s="23" t="str">
        <x:v>最後の山岳牽引</x:v>
      </x:c>
      <x:c r="L478" s="23" t="str">
        <x:v>登坂ペースアップ</x:v>
      </x:c>
      <x:c r="M478" s="23" t="str">
        <x:v>山岳決戦</x:v>
      </x:c>
    </x:row>
    <x:row r="479" ht="40" customHeight="1">
      <x:c r="A479" s="23" t="str">
        <x:v>区分保留</x:v>
      </x:c>
      <x:c r="B479" s="26" t="n">
        <x:v>5</x:v>
      </x:c>
      <x:c r="C479" s="23" t="str">
        <x:v>Marcel Kittel</x:v>
      </x:c>
      <x:c r="D479" s="23" t="str">
        <x:v>スプリンター</x:v>
      </x:c>
      <x:c r="E479" s="23" t="str">
        <x:v>クラシック型</x:v>
      </x:c>
      <x:c r="F479" s="23" t="str">
        <x:v>エース型</x:v>
      </x:c>
      <x:c r="G479" s="23" t="str">
        <x:v>スプリントエース / リードアウト / 最終発射台</x:v>
      </x:c>
      <x:c r="H479" s="23" t="str">
        <x:v>車輪キープ</x:v>
      </x:c>
      <x:c r="I479" s="23" t="str">
        <x:v>ポジション確保</x:v>
      </x:c>
      <x:c r="J479" s="23" t="str">
        <x:v>仕掛け待ち</x:v>
      </x:c>
      <x:c r="K479" s="23" t="str">
        <x:v>平坦カウンター</x:v>
      </x:c>
      <x:c r="L479" s="23" t="str">
        <x:v>高速リードアウト</x:v>
      </x:c>
      <x:c r="M479" s="23" t="str">
        <x:v>スプリント決戦</x:v>
      </x:c>
    </x:row>
    <x:row r="480" ht="40" customHeight="1">
      <x:c r="A480" s="23" t="str">
        <x:v>区分保留</x:v>
      </x:c>
      <x:c r="B480" s="26" t="n">
        <x:v>6</x:v>
      </x:c>
      <x:c r="C480" s="23" t="str">
        <x:v>Rohan Dennis</x:v>
      </x:c>
      <x:c r="D480" s="23" t="str">
        <x:v>TT・ルーラー型</x:v>
      </x:c>
      <x:c r="E480" s="23" t="str">
        <x:v>総合型</x:v>
      </x:c>
      <x:c r="F480" s="23" t="str">
        <x:v>エース型</x:v>
      </x:c>
      <x:c r="G480" s="23" t="str">
        <x:v>総合エース / TTスペシャリスト / 集団コントローラー</x:v>
      </x:c>
      <x:c r="H480" s="23" t="str">
        <x:v>巡航温存</x:v>
      </x:c>
      <x:c r="I480" s="23" t="str">
        <x:v>ポジション確保</x:v>
      </x:c>
      <x:c r="J480" s="23" t="str">
        <x:v>車輪キープ</x:v>
      </x:c>
      <x:c r="K480" s="23" t="str">
        <x:v>高速巡航</x:v>
      </x:c>
      <x:c r="L480" s="23" t="str">
        <x:v>登坂ペースアップ</x:v>
      </x:c>
      <x:c r="M480" s="23" t="str">
        <x:v>全開独走</x:v>
      </x:c>
    </x:row>
    <x:row r="481" ht="40" customHeight="1">
      <x:c r="A481" s="23" t="str">
        <x:v>区分保留</x:v>
      </x:c>
      <x:c r="B481" s="26" t="n">
        <x:v>7</x:v>
      </x:c>
      <x:c r="C481" s="23" t="str">
        <x:v>Carlos Rodriguez</x:v>
      </x:c>
      <x:c r="D481" s="23" t="str">
        <x:v>総合型</x:v>
      </x:c>
      <x:c r="E481" s="23" t="str">
        <x:v>クライマー</x:v>
      </x:c>
      <x:c r="F481" s="23" t="str">
        <x:v>エース型</x:v>
      </x:c>
      <x:c r="G481" s="23" t="str">
        <x:v>総合エース / 山岳賞ハンター / 山岳番手</x:v>
      </x:c>
      <x:c r="H481" s="23" t="str">
        <x:v>急勾配対応</x:v>
      </x:c>
      <x:c r="I481" s="23" t="str">
        <x:v>登坂リズム</x:v>
      </x:c>
      <x:c r="J481" s="23" t="str">
        <x:v>山岳待機</x:v>
      </x:c>
      <x:c r="K481" s="23" t="str">
        <x:v>最後の山岳牽引</x:v>
      </x:c>
      <x:c r="L481" s="23" t="str">
        <x:v>登坂ペースアップ</x:v>
      </x:c>
      <x:c r="M481" s="23" t="str">
        <x:v>山岳決戦</x:v>
      </x:c>
    </x:row>
    <x:row r="482" ht="40" customHeight="1">
      <x:c r="A482" s="23" t="str">
        <x:v>区分保留</x:v>
      </x:c>
      <x:c r="B482" s="26" t="n">
        <x:v>8</x:v>
      </x:c>
      <x:c r="C482" s="23" t="str">
        <x:v>Lenny Martinez</x:v>
      </x:c>
      <x:c r="D482" s="23" t="str">
        <x:v>クライマー</x:v>
      </x:c>
      <x:c r="E482" s="23" t="str">
        <x:v>パンチャー</x:v>
      </x:c>
      <x:c r="F482" s="23" t="str">
        <x:v>エース型</x:v>
      </x:c>
      <x:c r="G482" s="23" t="str">
        <x:v>山岳エース / 山岳賞ハンター / 山岳アシスト</x:v>
      </x:c>
      <x:c r="H482" s="23" t="str">
        <x:v>急勾配対応</x:v>
      </x:c>
      <x:c r="I482" s="23" t="str">
        <x:v>登坂リズム</x:v>
      </x:c>
      <x:c r="J482" s="23" t="str">
        <x:v>山岳待機</x:v>
      </x:c>
      <x:c r="K482" s="23" t="str">
        <x:v>登坂ペースアップ</x:v>
      </x:c>
      <x:c r="L482" s="23" t="str">
        <x:v>頂上前加速</x:v>
      </x:c>
      <x:c r="M482" s="23" t="str">
        <x:v>山岳決戦</x:v>
      </x:c>
    </x:row>
    <x:row r="483" ht="40" customHeight="1">
      <x:c r="A483" s="23" t="str">
        <x:v>区分保留</x:v>
      </x:c>
      <x:c r="B483" s="26" t="n">
        <x:v>9</x:v>
      </x:c>
      <x:c r="C483" s="23" t="str">
        <x:v>Thomas De Gendt</x:v>
      </x:c>
      <x:c r="D483" s="23" t="str">
        <x:v>TT・ルーラー型</x:v>
      </x:c>
      <x:c r="E483" s="23" t="str">
        <x:v>クラシック型</x:v>
      </x:c>
      <x:c r="F483" s="23" t="str">
        <x:v>エース型</x:v>
      </x:c>
      <x:c r="G483" s="23" t="str">
        <x:v>丘陵エース / 平坦ペースメーカー / TTスペシャリスト</x:v>
      </x:c>
      <x:c r="H483" s="23" t="str">
        <x:v>巡航温存</x:v>
      </x:c>
      <x:c r="I483" s="23" t="str">
        <x:v>ポジション確保</x:v>
      </x:c>
      <x:c r="J483" s="23" t="str">
        <x:v>車輪キープ</x:v>
      </x:c>
      <x:c r="K483" s="23" t="str">
        <x:v>高速巡航</x:v>
      </x:c>
      <x:c r="L483" s="23" t="str">
        <x:v>ハイペース維持</x:v>
      </x:c>
      <x:c r="M483" s="23" t="str">
        <x:v>全開独走</x:v>
      </x:c>
    </x:row>
    <x:row r="484" ht="40" customHeight="1">
      <x:c r="A484" s="23" t="str">
        <x:v>区分保留</x:v>
      </x:c>
      <x:c r="B484" s="26" t="n">
        <x:v>10</x:v>
      </x:c>
      <x:c r="C484" s="23" t="str">
        <x:v>Soren Waerenskjold</x:v>
      </x:c>
      <x:c r="D484" s="23" t="str">
        <x:v>TT・ルーラー型</x:v>
      </x:c>
      <x:c r="E484" s="23" t="str">
        <x:v>スプリンター</x:v>
      </x:c>
      <x:c r="F484" s="23" t="str">
        <x:v>アシスト型</x:v>
      </x:c>
      <x:c r="G484" s="23" t="str">
        <x:v>サブエース / スプリントトレイン / TTスペシャリスト</x:v>
      </x:c>
      <x:c r="H484" s="23" t="str">
        <x:v>平坦牽引</x:v>
      </x:c>
      <x:c r="I484" s="23" t="str">
        <x:v>風よけ</x:v>
      </x:c>
      <x:c r="J484" s="23" t="str">
        <x:v>前方誘導</x:v>
      </x:c>
      <x:c r="K484" s="23" t="str">
        <x:v>位置取り護衛</x:v>
      </x:c>
      <x:c r="L484" s="23" t="str">
        <x:v>ローテーション牽引</x:v>
      </x:c>
      <x:c r="M484" s="23" t="str">
        <x:v>全開牽引</x:v>
      </x:c>
    </x:row>
    <x:row r="485" ht="40" customHeight="1">
      <x:c r="A485" s="23" t="str">
        <x:v>区分保留</x:v>
      </x:c>
      <x:c r="B485" s="26" t="n">
        <x:v>11</x:v>
      </x:c>
      <x:c r="C485" s="23" t="str">
        <x:v>Michal Kwiatkowski</x:v>
      </x:c>
      <x:c r="D485" s="23" t="str">
        <x:v>クライマー</x:v>
      </x:c>
      <x:c r="E485" s="23" t="str">
        <x:v>総合型</x:v>
      </x:c>
      <x:c r="F485" s="23" t="str">
        <x:v>アシスト型</x:v>
      </x:c>
      <x:c r="G485" s="23" t="str">
        <x:v>サブエース / 山岳アシスト / 山岳番手</x:v>
      </x:c>
      <x:c r="H485" s="23" t="str">
        <x:v>山岳牽引</x:v>
      </x:c>
      <x:c r="I485" s="23" t="str">
        <x:v>山岳ガード</x:v>
      </x:c>
      <x:c r="J485" s="23" t="str">
        <x:v>風よけ</x:v>
      </x:c>
      <x:c r="K485" s="23" t="str">
        <x:v>最後の山岳牽引</x:v>
      </x:c>
      <x:c r="L485" s="23" t="str">
        <x:v>プランB</x:v>
      </x:c>
      <x:c r="M485" s="23" t="str">
        <x:v>全力献身</x:v>
      </x:c>
    </x:row>
    <x:row r="486" ht="40" customHeight="1">
      <x:c r="A486" s="23" t="str">
        <x:v>区分保留</x:v>
      </x:c>
      <x:c r="B486" s="26" t="n">
        <x:v>12</x:v>
      </x:c>
      <x:c r="C486" s="23" t="str">
        <x:v>Wout Poels</x:v>
      </x:c>
      <x:c r="D486" s="23" t="str">
        <x:v>クライマー</x:v>
      </x:c>
      <x:c r="E486" s="23" t="str">
        <x:v>総合型</x:v>
      </x:c>
      <x:c r="F486" s="23" t="str">
        <x:v>アシスト型</x:v>
      </x:c>
      <x:c r="G486" s="23" t="str">
        <x:v>サブエース / スーパー・ドメスティーク / 山岳アシスト</x:v>
      </x:c>
      <x:c r="H486" s="23" t="str">
        <x:v>山岳ガード</x:v>
      </x:c>
      <x:c r="I486" s="23" t="str">
        <x:v>山岳牽引</x:v>
      </x:c>
      <x:c r="J486" s="23" t="str">
        <x:v>山岳番手</x:v>
      </x:c>
      <x:c r="K486" s="23" t="str">
        <x:v>プランB</x:v>
      </x:c>
      <x:c r="L486" s="23" t="str">
        <x:v>登坂チェイス</x:v>
      </x:c>
      <x:c r="M486" s="23" t="str">
        <x:v>山岳救援</x:v>
      </x:c>
    </x:row>
    <x:row r="487" ht="40" customHeight="1">
      <x:c r="A487" s="23" t="str">
        <x:v>区分保留</x:v>
      </x:c>
      <x:c r="B487" s="26" t="n">
        <x:v>13</x:v>
      </x:c>
      <x:c r="C487" s="23" t="str">
        <x:v>Asbjørn Hellemose</x:v>
      </x:c>
      <x:c r="D487" s="23" t="str">
        <x:v>パンチャー</x:v>
      </x:c>
      <x:c r="E487" s="23" t="str">
        <x:v>TT・ルーラー型</x:v>
      </x:c>
      <x:c r="F487" s="23" t="str">
        <x:v>アシスト型</x:v>
      </x:c>
      <x:c r="G487" s="23" t="str">
        <x:v>ステージハンター / 山岳賞ハンター / 逃げ屋</x:v>
      </x:c>
      <x:c r="H487" s="23" t="str">
        <x:v>位置引き上げ</x:v>
      </x:c>
      <x:c r="I487" s="23" t="str">
        <x:v>丘陵牽引</x:v>
      </x:c>
      <x:c r="J487" s="23" t="str">
        <x:v>追走補助</x:v>
      </x:c>
      <x:c r="K487" s="23" t="str">
        <x:v>仕掛け封じ</x:v>
      </x:c>
      <x:c r="L487" s="23" t="str">
        <x:v>坂前誘導</x:v>
      </x:c>
      <x:c r="M487" s="23" t="str">
        <x:v>丘陵封鎖</x:v>
      </x:c>
    </x:row>
    <x:row r="488" ht="40" customHeight="1">
      <x:c r="A488" s="23" t="str">
        <x:v>区分保留</x:v>
      </x:c>
      <x:c r="B488" s="26" t="n">
        <x:v>14</x:v>
      </x:c>
      <x:c r="C488" s="23" t="str">
        <x:v>Alexy Faure Prost</x:v>
      </x:c>
      <x:c r="D488" s="23" t="str">
        <x:v>クラシック型</x:v>
      </x:c>
      <x:c r="E488" s="23" t="str">
        <x:v>TT・ルーラー型</x:v>
      </x:c>
      <x:c r="F488" s="23" t="str">
        <x:v>アシスト型</x:v>
      </x:c>
      <x:c r="G488" s="23" t="str">
        <x:v>石畳護衛 / 横風要員 / ステージハンター</x:v>
      </x:c>
      <x:c r="H488" s="23" t="str">
        <x:v>進路確保</x:v>
      </x:c>
      <x:c r="I488" s="23" t="str">
        <x:v>トラブル復帰</x:v>
      </x:c>
      <x:c r="J488" s="23" t="str">
        <x:v>前方誘導</x:v>
      </x:c>
      <x:c r="K488" s="23" t="str">
        <x:v>ライン誘導</x:v>
      </x:c>
      <x:c r="L488" s="23" t="str">
        <x:v>石畳牽引</x:v>
      </x:c>
      <x:c r="M488" s="23" t="str">
        <x:v>石畳護衛</x:v>
      </x:c>
    </x:row>
    <x:row r="489" ht="40" customHeight="1">
      <x:c r="A489" s="23" t="str">
        <x:v>区分保留</x:v>
      </x:c>
      <x:c r="B489" s="26" t="n">
        <x:v>15</x:v>
      </x:c>
      <x:c r="C489" s="23" t="str">
        <x:v>Michael Matthews</x:v>
      </x:c>
      <x:c r="D489" s="23" t="str">
        <x:v>TT・ルーラー型</x:v>
      </x:c>
      <x:c r="E489" s="23" t="str">
        <x:v>総合型</x:v>
      </x:c>
      <x:c r="F489" s="23" t="str">
        <x:v>アシスト型</x:v>
      </x:c>
      <x:c r="G489" s="23" t="str">
        <x:v>ロードキャプテン / 平坦アシスト / 平坦ペースメーカー</x:v>
      </x:c>
      <x:c r="H489" s="23" t="str">
        <x:v>風よけ</x:v>
      </x:c>
      <x:c r="I489" s="23" t="str">
        <x:v>平坦牽引</x:v>
      </x:c>
      <x:c r="J489" s="23" t="str">
        <x:v>トラブル復帰</x:v>
      </x:c>
      <x:c r="K489" s="23" t="str">
        <x:v>ローテーション牽引</x:v>
      </x:c>
      <x:c r="L489" s="23" t="str">
        <x:v>高速牽引</x:v>
      </x:c>
      <x:c r="M489" s="23" t="str">
        <x:v>全開牽引</x:v>
      </x:c>
    </x:row>
    <x:row r="490" ht="40" customHeight="1">
      <x:c r="A490" s="23" t="str">
        <x:v>区分保留</x:v>
      </x:c>
      <x:c r="B490" s="26" t="n">
        <x:v>16</x:v>
      </x:c>
      <x:c r="C490" s="23" t="str">
        <x:v>Rafal Majka</x:v>
      </x:c>
      <x:c r="D490" s="23" t="str">
        <x:v>クライマー</x:v>
      </x:c>
      <x:c r="E490" s="23" t="str">
        <x:v>総合型</x:v>
      </x:c>
      <x:c r="F490" s="23" t="str">
        <x:v>アシスト型</x:v>
      </x:c>
      <x:c r="G490" s="23" t="str">
        <x:v>山岳賞ハンター / 山岳アシスト / 山岳ペースメーカー</x:v>
      </x:c>
      <x:c r="H490" s="23" t="str">
        <x:v>山岳ガード</x:v>
      </x:c>
      <x:c r="I490" s="23" t="str">
        <x:v>山岳牽引</x:v>
      </x:c>
      <x:c r="J490" s="23" t="str">
        <x:v>山岳番手</x:v>
      </x:c>
      <x:c r="K490" s="23" t="str">
        <x:v>登坂チェイス</x:v>
      </x:c>
      <x:c r="L490" s="23" t="str">
        <x:v>山岳先導</x:v>
      </x:c>
      <x:c r="M490" s="23" t="str">
        <x:v>全力献身</x:v>
      </x:c>
    </x:row>
    <x:row r="491" ht="40" customHeight="1">
      <x:c r="A491" s="23" t="str">
        <x:v>区分保留</x:v>
      </x:c>
      <x:c r="B491" s="26" t="n">
        <x:v>17</x:v>
      </x:c>
      <x:c r="C491" s="23" t="str">
        <x:v>Aime De Gendt</x:v>
      </x:c>
      <x:c r="D491" s="23" t="str">
        <x:v>クラシック型</x:v>
      </x:c>
      <x:c r="E491" s="23" t="str">
        <x:v>パンチャー</x:v>
      </x:c>
      <x:c r="F491" s="23" t="str">
        <x:v>アシスト型</x:v>
      </x:c>
      <x:c r="G491" s="23" t="str">
        <x:v>ロードキャプテン / 石畳護衛 / 横風要員</x:v>
      </x:c>
      <x:c r="H491" s="23" t="str">
        <x:v>進路確保</x:v>
      </x:c>
      <x:c r="I491" s="23" t="str">
        <x:v>トラブル復帰</x:v>
      </x:c>
      <x:c r="J491" s="23" t="str">
        <x:v>パヴェ護衛</x:v>
      </x:c>
      <x:c r="K491" s="23" t="str">
        <x:v>ライン誘導</x:v>
      </x:c>
      <x:c r="L491" s="23" t="str">
        <x:v>石畳牽引</x:v>
      </x:c>
      <x:c r="M491" s="23" t="str">
        <x:v>石畳護衛</x:v>
      </x:c>
    </x:row>
    <x:row r="492" ht="40" customHeight="1">
      <x:c r="A492" s="23" t="str">
        <x:v>区分保留</x:v>
      </x:c>
      <x:c r="B492" s="26" t="n">
        <x:v>18</x:v>
      </x:c>
      <x:c r="C492" s="23" t="str">
        <x:v>Ben O'Connor</x:v>
      </x:c>
      <x:c r="D492" s="23" t="str">
        <x:v>クライマー</x:v>
      </x:c>
      <x:c r="E492" s="23" t="str">
        <x:v>総合型</x:v>
      </x:c>
      <x:c r="F492" s="23" t="str">
        <x:v>アシスト型</x:v>
      </x:c>
      <x:c r="G492" s="23" t="str">
        <x:v>山岳賞ハンター / 山岳アシスト / 山岳番手</x:v>
      </x:c>
      <x:c r="H492" s="23" t="str">
        <x:v>山岳ガード</x:v>
      </x:c>
      <x:c r="I492" s="23" t="str">
        <x:v>山岳牽引</x:v>
      </x:c>
      <x:c r="J492" s="23" t="str">
        <x:v>山岳番手</x:v>
      </x:c>
      <x:c r="K492" s="23" t="str">
        <x:v>最後の山岳牽引</x:v>
      </x:c>
      <x:c r="L492" s="23" t="str">
        <x:v>登坂チェイス</x:v>
      </x:c>
      <x:c r="M492" s="23" t="str">
        <x:v>山岳救援</x:v>
      </x:c>
    </x:row>
    <x:row r="493" ht="40" customHeight="1">
      <x:c r="A493" s="23" t="str">
        <x:v>区分保留</x:v>
      </x:c>
      <x:c r="B493" s="26" t="n">
        <x:v>19</x:v>
      </x:c>
      <x:c r="C493" s="23" t="str">
        <x:v>Amund Grondahl Jansen</x:v>
      </x:c>
      <x:c r="D493" s="23" t="str">
        <x:v>クラシック型</x:v>
      </x:c>
      <x:c r="E493" s="23" t="str">
        <x:v>パンチャー</x:v>
      </x:c>
      <x:c r="F493" s="23" t="str">
        <x:v>アシスト型</x:v>
      </x:c>
      <x:c r="G493" s="23" t="str">
        <x:v>ロードキャプテン / 石畳護衛 / 横風要員</x:v>
      </x:c>
      <x:c r="H493" s="23" t="str">
        <x:v>進路確保</x:v>
      </x:c>
      <x:c r="I493" s="23" t="str">
        <x:v>トラブル復帰</x:v>
      </x:c>
      <x:c r="J493" s="23" t="str">
        <x:v>前方誘導</x:v>
      </x:c>
      <x:c r="K493" s="23" t="str">
        <x:v>隊列再編</x:v>
      </x:c>
      <x:c r="L493" s="23" t="str">
        <x:v>仕掛け封じ</x:v>
      </x:c>
      <x:c r="M493" s="23" t="str">
        <x:v>緊急再編</x:v>
      </x:c>
    </x:row>
    <x:row r="494" ht="40" customHeight="1">
      <x:c r="A494" s="23" t="str">
        <x:v>区分保留</x:v>
      </x:c>
      <x:c r="B494" s="26" t="n">
        <x:v>20</x:v>
      </x:c>
      <x:c r="C494" s="23" t="str">
        <x:v>Stefan Kung</x:v>
      </x:c>
      <x:c r="D494" s="23" t="str">
        <x:v>TT・ルーラー型</x:v>
      </x:c>
      <x:c r="E494" s="23" t="str">
        <x:v>クラシック型</x:v>
      </x:c>
      <x:c r="F494" s="23" t="str">
        <x:v>アシスト型</x:v>
      </x:c>
      <x:c r="G494" s="23" t="str">
        <x:v>TTスペシャリスト / 平坦アシスト / ブレイクアウェイキラー</x:v>
      </x:c>
      <x:c r="H494" s="23" t="str">
        <x:v>平坦牽引</x:v>
      </x:c>
      <x:c r="I494" s="23" t="str">
        <x:v>風よけ</x:v>
      </x:c>
      <x:c r="J494" s="23" t="str">
        <x:v>前方誘導</x:v>
      </x:c>
      <x:c r="K494" s="23" t="str">
        <x:v>逃げ吸収</x:v>
      </x:c>
      <x:c r="L494" s="23" t="str">
        <x:v>ローテーション牽引</x:v>
      </x:c>
      <x:c r="M494" s="23" t="str">
        <x:v>完全吸収</x:v>
      </x:c>
    </x:row>
    <x:row r="495" ht="40" customHeight="1">
      <x:c r="A495" s="23" t="str">
        <x:v>区分保留</x:v>
      </x:c>
      <x:c r="B495" s="26" t="n">
        <x:v>21</x:v>
      </x:c>
      <x:c r="C495" s="23" t="str">
        <x:v>Marco Haller</x:v>
      </x:c>
      <x:c r="D495" s="23" t="str">
        <x:v>クラシック型</x:v>
      </x:c>
      <x:c r="E495" s="23" t="str">
        <x:v>パンチャー</x:v>
      </x:c>
      <x:c r="F495" s="23" t="str">
        <x:v>アシスト型</x:v>
      </x:c>
      <x:c r="G495" s="23" t="str">
        <x:v>ロードキャプテン / 石畳護衛 / 下り牽引</x:v>
      </x:c>
      <x:c r="H495" s="23" t="str">
        <x:v>安全誘導</x:v>
      </x:c>
      <x:c r="I495" s="23" t="str">
        <x:v>高速コーナリング</x:v>
      </x:c>
      <x:c r="J495" s="23" t="str">
        <x:v>進路確保</x:v>
      </x:c>
      <x:c r="K495" s="23" t="str">
        <x:v>ダウンヒル牽引</x:v>
      </x:c>
      <x:c r="L495" s="23" t="str">
        <x:v>下りアタック</x:v>
      </x:c>
      <x:c r="M495" s="23" t="str">
        <x:v>下り護衛</x:v>
      </x:c>
    </x:row>
    <x:row r="496" ht="40" customHeight="1">
      <x:c r="A496" s="23" t="str">
        <x:v>区分保留</x:v>
      </x:c>
      <x:c r="B496" s="26" t="n">
        <x:v>22</x:v>
      </x:c>
      <x:c r="C496" s="23" t="str">
        <x:v>Sep Vanmarcke</x:v>
      </x:c>
      <x:c r="D496" s="23" t="str">
        <x:v>クラシック型</x:v>
      </x:c>
      <x:c r="E496" s="23" t="str">
        <x:v>パンチャー</x:v>
      </x:c>
      <x:c r="F496" s="23" t="str">
        <x:v>アシスト型</x:v>
      </x:c>
      <x:c r="G496" s="23" t="str">
        <x:v>ロードキャプテン / 石畳護衛 / 横風要員</x:v>
      </x:c>
      <x:c r="H496" s="23" t="str">
        <x:v>パヴェ護衛</x:v>
      </x:c>
      <x:c r="I496" s="23" t="str">
        <x:v>進路確保</x:v>
      </x:c>
      <x:c r="J496" s="23" t="str">
        <x:v>トラブル復帰</x:v>
      </x:c>
      <x:c r="K496" s="23" t="str">
        <x:v>ライン誘導</x:v>
      </x:c>
      <x:c r="L496" s="23" t="str">
        <x:v>石畳牽引</x:v>
      </x:c>
      <x:c r="M496" s="23" t="str">
        <x:v>石畳護衛</x:v>
      </x:c>
    </x:row>
    <x:row r="497" ht="40" customHeight="1">
      <x:c r="A497" s="23" t="str">
        <x:v>区分保留</x:v>
      </x:c>
      <x:c r="B497" s="26" t="n">
        <x:v>23</x:v>
      </x:c>
      <x:c r="C497" s="23" t="str">
        <x:v>Jonathan Castroviejo</x:v>
      </x:c>
      <x:c r="D497" s="23" t="str">
        <x:v>TT・ルーラー型</x:v>
      </x:c>
      <x:c r="E497" s="23" t="str">
        <x:v>総合型</x:v>
      </x:c>
      <x:c r="F497" s="23" t="str">
        <x:v>アシスト型</x:v>
      </x:c>
      <x:c r="G497" s="23" t="str">
        <x:v>ロードキャプテン / TTスペシャリスト / 集団コントローラー</x:v>
      </x:c>
      <x:c r="H497" s="23" t="str">
        <x:v>平坦牽引</x:v>
      </x:c>
      <x:c r="I497" s="23" t="str">
        <x:v>風よけ</x:v>
      </x:c>
      <x:c r="J497" s="23" t="str">
        <x:v>前方誘導</x:v>
      </x:c>
      <x:c r="K497" s="23" t="str">
        <x:v>ローテーション牽引</x:v>
      </x:c>
      <x:c r="L497" s="23" t="str">
        <x:v>高速牽引</x:v>
      </x:c>
      <x:c r="M497" s="23" t="str">
        <x:v>完全吸収</x:v>
      </x:c>
    </x:row>
    <x:row r="498" ht="40" customHeight="1">
      <x:c r="A498" s="23" t="str">
        <x:v>区分保留</x:v>
      </x:c>
      <x:c r="B498" s="26" t="n">
        <x:v>24</x:v>
      </x:c>
      <x:c r="C498" s="23" t="str">
        <x:v>Boy van Poppel</x:v>
      </x:c>
      <x:c r="D498" s="23" t="str">
        <x:v>スプリンター</x:v>
      </x:c>
      <x:c r="E498" s="23" t="str">
        <x:v>TT・ルーラー型</x:v>
      </x:c>
      <x:c r="F498" s="23" t="str">
        <x:v>アシスト型</x:v>
      </x:c>
      <x:c r="G498" s="23" t="str">
        <x:v>リードアウト / 最終発射台 / スプリントトレイン</x:v>
      </x:c>
      <x:c r="H498" s="23" t="str">
        <x:v>前方誘導</x:v>
      </x:c>
      <x:c r="I498" s="23" t="str">
        <x:v>位置引き上げ</x:v>
      </x:c>
      <x:c r="J498" s="23" t="str">
        <x:v>平坦牽引</x:v>
      </x:c>
      <x:c r="K498" s="23" t="str">
        <x:v>トレイン加速</x:v>
      </x:c>
      <x:c r="L498" s="23" t="str">
        <x:v>高速リードアウト</x:v>
      </x:c>
      <x:c r="M498" s="23" t="str">
        <x:v>最終発射</x:v>
      </x:c>
    </x:row>
    <x:row r="499" ht="40" customHeight="1">
      <x:c r="A499" s="23" t="str">
        <x:v>区分保留</x:v>
      </x:c>
      <x:c r="B499" s="26" t="n">
        <x:v>25</x:v>
      </x:c>
      <x:c r="C499" s="23" t="str">
        <x:v>Lawson Craddock</x:v>
      </x:c>
      <x:c r="D499" s="23" t="str">
        <x:v>TT・ルーラー型</x:v>
      </x:c>
      <x:c r="E499" s="23" t="str">
        <x:v>総合型</x:v>
      </x:c>
      <x:c r="F499" s="23" t="str">
        <x:v>アシスト型</x:v>
      </x:c>
      <x:c r="G499" s="23" t="str">
        <x:v>ロードキャプテン / 平坦ペースメーカー / 集団コントローラー</x:v>
      </x:c>
      <x:c r="H499" s="23" t="str">
        <x:v>平坦牽引</x:v>
      </x:c>
      <x:c r="I499" s="23" t="str">
        <x:v>風よけ</x:v>
      </x:c>
      <x:c r="J499" s="23" t="str">
        <x:v>前方誘導</x:v>
      </x:c>
      <x:c r="K499" s="23" t="str">
        <x:v>ハイペース維持</x:v>
      </x:c>
      <x:c r="L499" s="23" t="str">
        <x:v>ローテーション牽引</x:v>
      </x:c>
      <x:c r="M499" s="23" t="str">
        <x:v>完全吸収</x:v>
      </x:c>
    </x:row>
    <x:row r="500" ht="40" customHeight="1">
      <x:c r="A500" s="23" t="str">
        <x:v>区分保留</x:v>
      </x:c>
      <x:c r="B500" s="26" t="n">
        <x:v>26</x:v>
      </x:c>
      <x:c r="C500" s="23" t="str">
        <x:v>Winner Anacona</x:v>
      </x:c>
      <x:c r="D500" s="23" t="str">
        <x:v>クライマー</x:v>
      </x:c>
      <x:c r="E500" s="23" t="str">
        <x:v>総合型</x:v>
      </x:c>
      <x:c r="F500" s="23" t="str">
        <x:v>アシスト型</x:v>
      </x:c>
      <x:c r="G500" s="23" t="str">
        <x:v>山岳賞ハンター / 山岳アシスト / 山岳ペースメーカー</x:v>
      </x:c>
      <x:c r="H500" s="23" t="str">
        <x:v>山岳ガード</x:v>
      </x:c>
      <x:c r="I500" s="23" t="str">
        <x:v>山岳牽引</x:v>
      </x:c>
      <x:c r="J500" s="23" t="str">
        <x:v>山岳番手</x:v>
      </x:c>
      <x:c r="K500" s="23" t="str">
        <x:v>登坂チェイス</x:v>
      </x:c>
      <x:c r="L500" s="23" t="str">
        <x:v>山岳先導</x:v>
      </x:c>
      <x:c r="M500" s="23" t="str">
        <x:v>山岳救援</x:v>
      </x:c>
    </x:row>
    <x:row r="501" ht="40" customHeight="1">
      <x:c r="A501" s="23" t="str">
        <x:v>区分保留</x:v>
      </x:c>
      <x:c r="B501" s="26" t="n">
        <x:v>27</x:v>
      </x:c>
      <x:c r="C501" s="23" t="str">
        <x:v>Jacopo Guarnieri</x:v>
      </x:c>
      <x:c r="D501" s="23" t="str">
        <x:v>スプリンター</x:v>
      </x:c>
      <x:c r="E501" s="23" t="str">
        <x:v>TT・ルーラー型</x:v>
      </x:c>
      <x:c r="F501" s="23" t="str">
        <x:v>アシスト型</x:v>
      </x:c>
      <x:c r="G501" s="23" t="str">
        <x:v>リードアウト / 最終発射台 / スプリントトレイン</x:v>
      </x:c>
      <x:c r="H501" s="23" t="str">
        <x:v>位置引き上げ</x:v>
      </x:c>
      <x:c r="I501" s="23" t="str">
        <x:v>前方誘導</x:v>
      </x:c>
      <x:c r="J501" s="23" t="str">
        <x:v>平坦牽引</x:v>
      </x:c>
      <x:c r="K501" s="23" t="str">
        <x:v>トレイン加速</x:v>
      </x:c>
      <x:c r="L501" s="23" t="str">
        <x:v>高速リードアウト</x:v>
      </x:c>
      <x:c r="M501" s="23" t="str">
        <x:v>最終発射</x:v>
      </x:c>
    </x:row>
    <x:row r="502" ht="40" customHeight="1">
      <x:c r="A502" s="23" t="str">
        <x:v>区分保留</x:v>
      </x:c>
      <x:c r="B502" s="26" t="n">
        <x:v>28</x:v>
      </x:c>
      <x:c r="C502" s="23" t="str">
        <x:v>Cameron Wurf</x:v>
      </x:c>
      <x:c r="D502" s="23" t="str">
        <x:v>TT・ルーラー型</x:v>
      </x:c>
      <x:c r="E502" s="23" t="str">
        <x:v>総合型</x:v>
      </x:c>
      <x:c r="F502" s="23" t="str">
        <x:v>アシスト型</x:v>
      </x:c>
      <x:c r="G502" s="23" t="str">
        <x:v>ロードキャプテン / 平坦ペースメーカー / 集団コントローラー</x:v>
      </x:c>
      <x:c r="H502" s="23" t="str">
        <x:v>平坦牽引</x:v>
      </x:c>
      <x:c r="I502" s="23" t="str">
        <x:v>風よけ</x:v>
      </x:c>
      <x:c r="J502" s="23" t="str">
        <x:v>前方誘導</x:v>
      </x:c>
      <x:c r="K502" s="23" t="str">
        <x:v>ハイペース維持</x:v>
      </x:c>
      <x:c r="L502" s="23" t="str">
        <x:v>隊列再編</x:v>
      </x:c>
      <x:c r="M502" s="23" t="str">
        <x:v>完全吸収</x:v>
      </x:c>
    </x:row>
    <x:row r="503" ht="40" customHeight="1">
      <x:c r="A503" s="23" t="str">
        <x:v>区分保留</x:v>
      </x:c>
      <x:c r="B503" s="26" t="n">
        <x:v>29</x:v>
      </x:c>
      <x:c r="C503" s="23" t="str">
        <x:v>Frederik Frison</x:v>
      </x:c>
      <x:c r="D503" s="23" t="str">
        <x:v>クラシック型</x:v>
      </x:c>
      <x:c r="E503" s="23" t="str">
        <x:v>パンチャー</x:v>
      </x:c>
      <x:c r="F503" s="23" t="str">
        <x:v>アシスト型</x:v>
      </x:c>
      <x:c r="G503" s="23" t="str">
        <x:v>ロードキャプテン / 石畳護衛 / 横風要員</x:v>
      </x:c>
      <x:c r="H503" s="23" t="str">
        <x:v>進路確保</x:v>
      </x:c>
      <x:c r="I503" s="23" t="str">
        <x:v>パヴェ護衛</x:v>
      </x:c>
      <x:c r="J503" s="23" t="str">
        <x:v>トラブル復帰</x:v>
      </x:c>
      <x:c r="K503" s="23" t="str">
        <x:v>ライン誘導</x:v>
      </x:c>
      <x:c r="L503" s="23" t="str">
        <x:v>石畳牽引</x:v>
      </x:c>
      <x:c r="M503" s="23" t="str">
        <x:v>石畳護衛</x:v>
      </x:c>
    </x:row>
    <x:row r="504" ht="40" customHeight="1">
      <x:c r="A504" s="23" t="str">
        <x:v>区分保留</x:v>
      </x:c>
      <x:c r="B504" s="26" t="n">
        <x:v>30</x:v>
      </x:c>
      <x:c r="C504" s="23" t="str">
        <x:v>Matteo Trentin</x:v>
      </x:c>
      <x:c r="D504" s="23" t="str">
        <x:v>TT・ルーラー型</x:v>
      </x:c>
      <x:c r="E504" s="23" t="str">
        <x:v>クラシック型</x:v>
      </x:c>
      <x:c r="F504" s="23" t="str">
        <x:v>アシスト型</x:v>
      </x:c>
      <x:c r="G504" s="23" t="str">
        <x:v>平坦アシスト / 平坦ペースメーカー / TT牽引</x:v>
      </x:c>
      <x:c r="H504" s="23" t="str">
        <x:v>平坦牽引</x:v>
      </x:c>
      <x:c r="I504" s="23" t="str">
        <x:v>風よけ</x:v>
      </x:c>
      <x:c r="J504" s="23" t="str">
        <x:v>前方誘導</x:v>
      </x:c>
      <x:c r="K504" s="23" t="str">
        <x:v>ローテーション牽引</x:v>
      </x:c>
      <x:c r="L504" s="23" t="str">
        <x:v>高速牽引</x:v>
      </x:c>
      <x:c r="M504" s="23" t="str">
        <x:v>全開牽引</x:v>
      </x:c>
    </x:row>
    <x:row r="505" ht="40" customHeight="1">
      <x:c r="A505" s="23" t="str">
        <x:v>区分保留</x:v>
      </x:c>
      <x:c r="B505" s="26" t="n">
        <x:v>31</x:v>
      </x:c>
      <x:c r="C505" s="23" t="str">
        <x:v>Roger Kluge</x:v>
      </x:c>
      <x:c r="D505" s="23" t="str">
        <x:v>スプリンター</x:v>
      </x:c>
      <x:c r="E505" s="23" t="str">
        <x:v>TT・ルーラー型</x:v>
      </x:c>
      <x:c r="F505" s="23" t="str">
        <x:v>アシスト型</x:v>
      </x:c>
      <x:c r="G505" s="23" t="str">
        <x:v>リードアウト / 最終発射台 / スプリントトレイン</x:v>
      </x:c>
      <x:c r="H505" s="23" t="str">
        <x:v>位置引き上げ</x:v>
      </x:c>
      <x:c r="I505" s="23" t="str">
        <x:v>前方誘導</x:v>
      </x:c>
      <x:c r="J505" s="23" t="str">
        <x:v>平坦牽引</x:v>
      </x:c>
      <x:c r="K505" s="23" t="str">
        <x:v>トレイン加速</x:v>
      </x:c>
      <x:c r="L505" s="23" t="str">
        <x:v>高速リードアウト</x:v>
      </x:c>
      <x:c r="M505" s="23" t="str">
        <x:v>最終発射</x:v>
      </x:c>
    </x:row>
    <x:row r="506" ht="40" customHeight="1">
      <x:c r="A506" s="23" t="str">
        <x:v>区分保留</x:v>
      </x:c>
      <x:c r="B506" s="26" t="n">
        <x:v>32</x:v>
      </x:c>
      <x:c r="C506" s="23" t="str">
        <x:v>Tim Declercq</x:v>
      </x:c>
      <x:c r="D506" s="23" t="str">
        <x:v>TT・ルーラー型</x:v>
      </x:c>
      <x:c r="E506" s="23" t="str">
        <x:v>クラシック型</x:v>
      </x:c>
      <x:c r="F506" s="23" t="str">
        <x:v>アシスト型</x:v>
      </x:c>
      <x:c r="G506" s="23" t="str">
        <x:v>平坦アシスト / 平坦ペースメーカー / 集団コントローラー</x:v>
      </x:c>
      <x:c r="H506" s="23" t="str">
        <x:v>風よけ</x:v>
      </x:c>
      <x:c r="I506" s="23" t="str">
        <x:v>平坦牽引</x:v>
      </x:c>
      <x:c r="J506" s="23" t="str">
        <x:v>パヴェ護衛</x:v>
      </x:c>
      <x:c r="K506" s="23" t="str">
        <x:v>ローテーション牽引</x:v>
      </x:c>
      <x:c r="L506" s="23" t="str">
        <x:v>高速牽引</x:v>
      </x:c>
      <x:c r="M506" s="23" t="str">
        <x:v>全開牽引</x:v>
      </x:c>
    </x:row>
    <x:row r="507" ht="40" customHeight="1">
      <x:c r="A507" s="23" t="str">
        <x:v>区分保留</x:v>
      </x:c>
      <x:c r="B507" s="26" t="n">
        <x:v>33</x:v>
      </x:c>
      <x:c r="C507" s="23" t="str">
        <x:v>Salvatore Puccio</x:v>
      </x:c>
      <x:c r="D507" s="23" t="str">
        <x:v>TT・ルーラー型</x:v>
      </x:c>
      <x:c r="E507" s="23" t="str">
        <x:v>クラシック型</x:v>
      </x:c>
      <x:c r="F507" s="23" t="str">
        <x:v>アシスト型</x:v>
      </x:c>
      <x:c r="G507" s="23" t="str">
        <x:v>TT牽引 / 集団コントローラー / トラブル復帰牽引</x:v>
      </x:c>
      <x:c r="H507" s="23" t="str">
        <x:v>平坦牽引</x:v>
      </x:c>
      <x:c r="I507" s="23" t="str">
        <x:v>風よけ</x:v>
      </x:c>
      <x:c r="J507" s="23" t="str">
        <x:v>前方誘導</x:v>
      </x:c>
      <x:c r="K507" s="23" t="str">
        <x:v>集団復帰</x:v>
      </x:c>
      <x:c r="L507" s="23" t="str">
        <x:v>ローテーション牽引</x:v>
      </x:c>
      <x:c r="M507" s="23" t="str">
        <x:v>全力復帰</x:v>
      </x:c>
    </x:row>
    <x:row r="508" ht="40" customHeight="1">
      <x:c r="A508" s="23" t="str">
        <x:v>区分保留</x:v>
      </x:c>
      <x:c r="B508" s="26" t="n">
        <x:v>34</x:v>
      </x:c>
      <x:c r="C508" s="23" t="str">
        <x:v>Nelson Oliveira</x:v>
      </x:c>
      <x:c r="D508" s="23" t="str">
        <x:v>TT・ルーラー型</x:v>
      </x:c>
      <x:c r="E508" s="23" t="str">
        <x:v>総合型</x:v>
      </x:c>
      <x:c r="F508" s="23" t="str">
        <x:v>アシスト型</x:v>
      </x:c>
      <x:c r="G508" s="23" t="str">
        <x:v>ロードキャプテン / 平坦ペースメーカー / 集団コントローラー</x:v>
      </x:c>
      <x:c r="H508" s="23" t="str">
        <x:v>平坦牽引</x:v>
      </x:c>
      <x:c r="I508" s="23" t="str">
        <x:v>風よけ</x:v>
      </x:c>
      <x:c r="J508" s="23" t="str">
        <x:v>山岳ガード</x:v>
      </x:c>
      <x:c r="K508" s="23" t="str">
        <x:v>ハイペース維持</x:v>
      </x:c>
      <x:c r="L508" s="23" t="str">
        <x:v>隊列再編</x:v>
      </x:c>
      <x:c r="M508" s="23" t="str">
        <x:v>完全吸収</x:v>
      </x:c>
    </x:row>
    <x:row r="509" ht="40" customHeight="1">
      <x:c r="A509" s="23" t="str">
        <x:v>区分保留</x:v>
      </x:c>
      <x:c r="B509" s="26" t="n">
        <x:v>35</x:v>
      </x:c>
      <x:c r="C509" s="23" t="str">
        <x:v>Nathan Van Hooydonck</x:v>
      </x:c>
      <x:c r="D509" s="23" t="str">
        <x:v>TT・ルーラー型</x:v>
      </x:c>
      <x:c r="E509" s="23" t="str">
        <x:v>クラシック型</x:v>
      </x:c>
      <x:c r="F509" s="23" t="str">
        <x:v>アシスト型</x:v>
      </x:c>
      <x:c r="G509" s="23" t="str">
        <x:v>平坦アシスト / TT牽引 / 集団コントローラー</x:v>
      </x:c>
      <x:c r="H509" s="23" t="str">
        <x:v>平坦牽引</x:v>
      </x:c>
      <x:c r="I509" s="23" t="str">
        <x:v>風よけ</x:v>
      </x:c>
      <x:c r="J509" s="23" t="str">
        <x:v>前方誘導</x:v>
      </x:c>
      <x:c r="K509" s="23" t="str">
        <x:v>ローテーション牽引</x:v>
      </x:c>
      <x:c r="L509" s="23" t="str">
        <x:v>高速牽引</x:v>
      </x:c>
      <x:c r="M509" s="23" t="str">
        <x:v>全開牽引</x:v>
      </x:c>
    </x:row>
    <x:row r="510" ht="40" customHeight="1">
      <x:c r="A510" s="23" t="str">
        <x:v>区分保留</x:v>
      </x:c>
      <x:c r="B510" s="26" t="n">
        <x:v>36</x:v>
      </x:c>
      <x:c r="C510" s="23" t="str">
        <x:v>Jack Bauer</x:v>
      </x:c>
      <x:c r="D510" s="23" t="str">
        <x:v>TT・ルーラー型</x:v>
      </x:c>
      <x:c r="E510" s="23" t="str">
        <x:v>クラシック型</x:v>
      </x:c>
      <x:c r="F510" s="23" t="str">
        <x:v>アシスト型</x:v>
      </x:c>
      <x:c r="G510" s="23" t="str">
        <x:v>TT牽引 / 集団コントローラー / トラブル復帰牽引</x:v>
      </x:c>
      <x:c r="H510" s="23" t="str">
        <x:v>平坦牽引</x:v>
      </x:c>
      <x:c r="I510" s="23" t="str">
        <x:v>風よけ</x:v>
      </x:c>
      <x:c r="J510" s="23" t="str">
        <x:v>前方誘導</x:v>
      </x:c>
      <x:c r="K510" s="23" t="str">
        <x:v>集団復帰</x:v>
      </x:c>
      <x:c r="L510" s="23" t="str">
        <x:v>ローテーション牽引</x:v>
      </x:c>
      <x:c r="M510" s="23" t="str">
        <x:v>全力復帰</x:v>
      </x:c>
    </x:row>
    <x:row r="511" ht="40" customHeight="1">
      <x:c r="A511" s="23" t="str">
        <x:v>区分保留</x:v>
      </x:c>
      <x:c r="B511" s="26" t="n">
        <x:v>37</x:v>
      </x:c>
      <x:c r="C511" s="23" t="str">
        <x:v>Michael Hepburn</x:v>
      </x:c>
      <x:c r="D511" s="23" t="str">
        <x:v>TT・ルーラー型</x:v>
      </x:c>
      <x:c r="E511" s="23" t="str">
        <x:v>クラシック型</x:v>
      </x:c>
      <x:c r="F511" s="23" t="str">
        <x:v>アシスト型</x:v>
      </x:c>
      <x:c r="G511" s="23" t="str">
        <x:v>平坦ペースメーカー / TT牽引 / 集団コントローラー</x:v>
      </x:c>
      <x:c r="H511" s="23" t="str">
        <x:v>平坦牽引</x:v>
      </x:c>
      <x:c r="I511" s="23" t="str">
        <x:v>風よけ</x:v>
      </x:c>
      <x:c r="J511" s="23" t="str">
        <x:v>前方誘導</x:v>
      </x:c>
      <x:c r="K511" s="23" t="str">
        <x:v>ローテーション牽引</x:v>
      </x:c>
      <x:c r="L511" s="23" t="str">
        <x:v>高速牽引</x:v>
      </x:c>
      <x:c r="M511" s="23" t="str">
        <x:v>全開牽引</x:v>
      </x:c>
    </x:row>
    <x:row r="512" ht="40" customHeight="1">
      <x:c r="A512" s="23" t="str">
        <x:v>区分保留</x:v>
      </x:c>
      <x:c r="B512" s="26" t="n">
        <x:v>38</x:v>
      </x:c>
      <x:c r="C512" s="23" t="str">
        <x:v>Luke Rowe</x:v>
      </x:c>
      <x:c r="D512" s="23" t="str">
        <x:v>クラシック型</x:v>
      </x:c>
      <x:c r="E512" s="23" t="str">
        <x:v>TT・ルーラー型</x:v>
      </x:c>
      <x:c r="F512" s="23" t="str">
        <x:v>アシスト型</x:v>
      </x:c>
      <x:c r="G512" s="23" t="str">
        <x:v>ロードキャプテン / 平坦アシスト / 石畳護衛</x:v>
      </x:c>
      <x:c r="H512" s="23" t="str">
        <x:v>パヴェ護衛</x:v>
      </x:c>
      <x:c r="I512" s="23" t="str">
        <x:v>進路確保</x:v>
      </x:c>
      <x:c r="J512" s="23" t="str">
        <x:v>トラブル復帰</x:v>
      </x:c>
      <x:c r="K512" s="23" t="str">
        <x:v>ライン誘導</x:v>
      </x:c>
      <x:c r="L512" s="23" t="str">
        <x:v>石畳牽引</x:v>
      </x:c>
      <x:c r="M512" s="23" t="str">
        <x:v>石畳護衛</x:v>
      </x:c>
    </x:row>
    <x:row r="513" ht="40" customHeight="1">
      <x:c r="A513" s="23" t="str">
        <x:v>区分保留</x:v>
      </x:c>
      <x:c r="B513" s="26" t="n">
        <x:v>39</x:v>
      </x:c>
      <x:c r="C513" s="23" t="str">
        <x:v>Simon Geschke</x:v>
      </x:c>
      <x:c r="D513" s="23" t="str">
        <x:v>クラシック型</x:v>
      </x:c>
      <x:c r="E513" s="23" t="str">
        <x:v>TT・ルーラー型</x:v>
      </x:c>
      <x:c r="F513" s="23" t="str">
        <x:v>アシスト型</x:v>
      </x:c>
      <x:c r="G513" s="23" t="str">
        <x:v>ロードキャプテン / 平坦アシスト / 石畳護衛</x:v>
      </x:c>
      <x:c r="H513" s="23" t="str">
        <x:v>進路確保</x:v>
      </x:c>
      <x:c r="I513" s="23" t="str">
        <x:v>トラブル復帰</x:v>
      </x:c>
      <x:c r="J513" s="23" t="str">
        <x:v>前方誘導</x:v>
      </x:c>
      <x:c r="K513" s="23" t="str">
        <x:v>隊列再編</x:v>
      </x:c>
      <x:c r="L513" s="23" t="str">
        <x:v>位置取り護衛</x:v>
      </x:c>
      <x:c r="M513" s="23" t="str">
        <x:v>緊急再編</x:v>
      </x:c>
    </x:row>
    <x:row r="514" ht="40" customHeight="1">
      <x:c r="A514" s="24" t="str">
        <x:v>区分保留</x:v>
      </x:c>
      <x:c r="B514" s="27" t="n">
        <x:v>40</x:v>
      </x:c>
      <x:c r="C514" s="24" t="str">
        <x:v>Yukiya Arashiro</x:v>
      </x:c>
      <x:c r="D514" s="24" t="str">
        <x:v>クラシック型</x:v>
      </x:c>
      <x:c r="E514" s="24" t="str">
        <x:v>パンチャー</x:v>
      </x:c>
      <x:c r="F514" s="24" t="str">
        <x:v>アシスト型</x:v>
      </x:c>
      <x:c r="G514" s="24" t="str">
        <x:v>ロードキャプテン / 平坦アシスト / 石畳護衛</x:v>
      </x:c>
      <x:c r="H514" s="24" t="str">
        <x:v>進路確保</x:v>
      </x:c>
      <x:c r="I514" s="24" t="str">
        <x:v>トラブル復帰</x:v>
      </x:c>
      <x:c r="J514" s="24" t="str">
        <x:v>丘陵牽引</x:v>
      </x:c>
      <x:c r="K514" s="24" t="str">
        <x:v>隊列再編</x:v>
      </x:c>
      <x:c r="L514" s="24" t="str">
        <x:v>ライン誘導</x:v>
      </x:c>
      <x:c r="M514" s="24" t="str">
        <x:v>緊急再編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fcbbbe01f6247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9" hidden="0" customWidth="1"/>
    <x:col min="4" max="4" width="27" hidden="0" customWidth="1"/>
    <x:col min="5" max="5" width="24" hidden="0" customWidth="1"/>
    <x:col min="6" max="6" width="58" hidden="0" customWidth="1"/>
    <x:col min="7" max="7" width="40" hidden="0" customWidth="1"/>
    <x:col min="8" max="8" width="58" hidden="0" customWidth="1"/>
  </x:cols>
  <x:sheetData>
    <x:row r="1" ht="34" customHeight="1">
      <x:c r="A1" s="3" t="str">
        <x:v>未割当カード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定義済みだが現在の固定6枚へ入っていないカード。削除候補ではなく、役割変更・将来選手・バランス調整用の監査対象です。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分類</x:v>
      </x:c>
      <x:c r="B4" s="14" t="str">
        <x:v>枠</x:v>
      </x:c>
      <x:c r="C4" s="14" t="str">
        <x:v>コスト</x:v>
      </x:c>
      <x:c r="D4" s="14" t="str">
        <x:v>カード名</x:v>
      </x:c>
      <x:c r="E4" s="14" t="str">
        <x:v>対応役割</x:v>
      </x:c>
      <x:c r="F4" s="14" t="str">
        <x:v>効果</x:v>
      </x:c>
      <x:c r="G4" s="14" t="str">
        <x:v>参照能力</x:v>
      </x:c>
      <x:c r="H4" s="14" t="str">
        <x:v>扱い</x:v>
      </x:c>
    </x:row>
    <x:row r="5" ht="40" customHeight="1">
      <x:c r="A5" s="31" t="str">
        <x:v>地形共通得意</x:v>
      </x:c>
      <x:c r="B5" s="31" t="str">
        <x:v>得意技</x:v>
      </x:c>
      <x:c r="C5" s="32" t="n">
        <x:v>2</x:v>
      </x:c>
      <x:c r="D5" s="31" t="str">
        <x:v>石畳進入</x:v>
      </x:c>
      <x:c r="E5" s="31" t="str">
        <x:v>パヴェアシスト</x:v>
      </x:c>
      <x:c r="F5" s="31" t="str">
        <x:v>パヴェ区間へ入る前に前方位置を確保し、分断や落車の危険を抑える。</x:v>
      </x:c>
      <x:c r="G5" s="31" t="str">
        <x:v>positioning / cobble / teamwork</x:v>
      </x:c>
      <x:c r="H5" s="31" t="str">
        <x:v>現在の510名固定デッキでは未採用。代替候補として定義を維持。</x:v>
      </x:c>
    </x:row>
    <x:row r="6" ht="40" customHeight="1">
      <x:c r="A6" s="33" t="str">
        <x:v>地形共通得意</x:v>
      </x:c>
      <x:c r="B6" s="33" t="str">
        <x:v>得意技</x:v>
      </x:c>
      <x:c r="C6" s="34" t="n">
        <x:v>2</x:v>
      </x:c>
      <x:c r="D6" s="33" t="str">
        <x:v>登り口誘導</x:v>
      </x:c>
      <x:c r="E6" s="33" t="str">
        <x:v>山岳アシスト</x:v>
      </x:c>
      <x:c r="F6" s="33" t="str">
        <x:v>山岳開始前に集団前方を確保し、味方エースを安全に登りへ入れる。</x:v>
      </x:c>
      <x:c r="G6" s="33" t="str">
        <x:v>positioning / climbing / teamwork</x:v>
      </x:c>
      <x:c r="H6" s="33" t="str">
        <x:v>現在の510名固定デッキでは未採用。代替候補として定義を維持。</x:v>
      </x:c>
    </x:row>
    <x:row r="7" ht="40" customHeight="1">
      <x:c r="A7" s="33" t="str">
        <x:v>役割共通</x:v>
      </x:c>
      <x:c r="B7" s="33" t="str">
        <x:v>得意技</x:v>
      </x:c>
      <x:c r="C7" s="34" t="n">
        <x:v>2</x:v>
      </x:c>
      <x:c r="D7" s="33" t="str">
        <x:v>サテライト合流</x:v>
      </x:c>
      <x:c r="E7" s="33" t="str">
        <x:v>サテライトライダー</x:v>
      </x:c>
      <x:c r="F7" s="33" t="str">
        <x:v>合流後に補給、牽引、風よけを提供する。</x:v>
      </x:c>
      <x:c r="G7" s="33" t="str">
        <x:v>climb / stamina / recovery / teamwork</x:v>
      </x:c>
      <x:c r="H7" s="33" t="str">
        <x:v>現在の510名固定デッキでは未採用。代替候補として定義を維持。</x:v>
      </x:c>
    </x:row>
    <x:row r="8" ht="40" customHeight="1">
      <x:c r="A8" s="33" t="str">
        <x:v>役割共通</x:v>
      </x:c>
      <x:c r="B8" s="33" t="str">
        <x:v>得意技</x:v>
      </x:c>
      <x:c r="C8" s="34" t="n">
        <x:v>2</x:v>
      </x:c>
      <x:c r="D8" s="33" t="str">
        <x:v>下り加速</x:v>
      </x:c>
      <x:c r="E8" s="33" t="str">
        <x:v>下り牽引</x:v>
      </x:c>
      <x:c r="F8" s="33" t="str">
        <x:v>下りの直線で速度を上げ、前方集団との差を縮める。</x:v>
      </x:c>
      <x:c r="G8" s="33" t="str">
        <x:v>bikeControl / technique / fighting</x:v>
      </x:c>
      <x:c r="H8" s="33" t="str">
        <x:v>現在の510名固定デッキでは未採用。代替候補として定義を維持。</x:v>
      </x:c>
    </x:row>
    <x:row r="9" ht="40" customHeight="1">
      <x:c r="A9" s="33" t="str">
        <x:v>役割共通</x:v>
      </x:c>
      <x:c r="B9" s="33" t="str">
        <x:v>得意技</x:v>
      </x:c>
      <x:c r="C9" s="34" t="n">
        <x:v>2</x:v>
      </x:c>
      <x:c r="D9" s="33" t="str">
        <x:v>下り復帰</x:v>
      </x:c>
      <x:c r="E9" s="33" t="str">
        <x:v>下り牽引</x:v>
      </x:c>
      <x:c r="F9" s="33" t="str">
        <x:v>下りで遅れた味方を牽引し、プロトンや前方集団へ復帰させる。</x:v>
      </x:c>
      <x:c r="G9" s="33" t="str">
        <x:v>bikeControl / technique / fighting</x:v>
      </x:c>
      <x:c r="H9" s="33" t="str">
        <x:v>現在の510名固定デッキでは未採用。代替候補として定義を維持。</x:v>
      </x:c>
    </x:row>
    <x:row r="10" ht="40" customHeight="1">
      <x:c r="A10" s="33" t="str">
        <x:v>役割共通</x:v>
      </x:c>
      <x:c r="B10" s="33" t="str">
        <x:v>得意技</x:v>
      </x:c>
      <x:c r="C10" s="34" t="n">
        <x:v>2</x:v>
      </x:c>
      <x:c r="D10" s="33" t="str">
        <x:v>逃げ選別</x:v>
      </x:c>
      <x:c r="E10" s="33" t="str">
        <x:v>逃げ屋</x:v>
      </x:c>
      <x:c r="F10" s="33" t="str">
        <x:v>起伏や横風でペースを上げ、逃げ集団の人数を絞り込む。</x:v>
      </x:c>
      <x:c r="G10" s="33" t="str">
        <x:v>stamina / cruise / fighting / recovery</x:v>
      </x:c>
      <x:c r="H10" s="33" t="str">
        <x:v>現在の510名固定デッキでは未採用。代替候補として定義を維持。</x:v>
      </x:c>
    </x:row>
    <x:row r="11" ht="40" customHeight="1">
      <x:c r="A11" s="33" t="str">
        <x:v>役割共通</x:v>
      </x:c>
      <x:c r="B11" s="33" t="str">
        <x:v>得意技</x:v>
      </x:c>
      <x:c r="C11" s="34" t="n">
        <x:v>2</x:v>
      </x:c>
      <x:c r="D11" s="33" t="str">
        <x:v>逃げ粘り</x:v>
      </x:c>
      <x:c r="E11" s="33" t="str">
        <x:v>逃げ屋</x:v>
      </x:c>
      <x:c r="F11" s="33" t="str">
        <x:v>吸収されそうな場面で再加速し、逃げ集団の生存時間を延ばす。</x:v>
      </x:c>
      <x:c r="G11" s="33" t="str">
        <x:v>stamina / cruise / fighting / recovery</x:v>
      </x:c>
      <x:c r="H11" s="33" t="str">
        <x:v>現在の510名固定デッキでは未採用。代替候補として定義を維持。</x:v>
      </x:c>
    </x:row>
    <x:row r="12" ht="40" customHeight="1">
      <x:c r="A12" s="33" t="str">
        <x:v>汎用勝負手</x:v>
      </x:c>
      <x:c r="B12" s="33" t="str">
        <x:v>勝負手</x:v>
      </x:c>
      <x:c r="C12" s="34" t="n">
        <x:v>3</x:v>
      </x:c>
      <x:c r="D12" s="33" t="str">
        <x:v>悪路独走</x:v>
      </x:c>
      <x:c r="E12" s="33" t="str">
        <x:v>パヴェエース</x:v>
      </x:c>
      <x:c r="F12" s="33" t="str">
        <x:v>荒れた路面を利用して単独で抜け出し、追走との差を広げる。</x:v>
      </x:c>
      <x:c r="G12" s="33" t="str">
        <x:v>cobble / fighting / stamina</x:v>
      </x:c>
      <x:c r="H12" s="33" t="str">
        <x:v>現在の510名固定デッキでは未採用。代替候補として定義を維持。</x:v>
      </x:c>
    </x:row>
    <x:row r="13" ht="40" customHeight="1">
      <x:c r="A13" s="33" t="str">
        <x:v>汎用勝負手</x:v>
      </x:c>
      <x:c r="B13" s="33" t="str">
        <x:v>勝負手</x:v>
      </x:c>
      <x:c r="C13" s="34" t="n">
        <x:v>3</x:v>
      </x:c>
      <x:c r="D13" s="33" t="str">
        <x:v>横風防衛</x:v>
      </x:c>
      <x:c r="E13" s="33" t="str">
        <x:v>横風アシスト</x:v>
      </x:c>
      <x:c r="F13" s="33" t="str">
        <x:v>横風による味方エースの消耗と分断を一度だけ防ぐ。</x:v>
      </x:c>
      <x:c r="G13" s="33" t="str">
        <x:v>cruise / positioning / teamwork</x:v>
      </x:c>
      <x:c r="H13" s="33" t="str">
        <x:v>現在の510名固定デッキでは未採用。代替候補として定義を維持。</x:v>
      </x:c>
    </x:row>
    <x:row r="14" ht="40" customHeight="1">
      <x:c r="A14" s="33" t="str">
        <x:v>汎用勝負手</x:v>
      </x:c>
      <x:c r="B14" s="33" t="str">
        <x:v>勝負手</x:v>
      </x:c>
      <x:c r="C14" s="34" t="n">
        <x:v>3</x:v>
      </x:c>
      <x:c r="D14" s="33" t="str">
        <x:v>下り勝負</x:v>
      </x:c>
      <x:c r="E14" s="33" t="str">
        <x:v>下りエース</x:v>
      </x:c>
      <x:c r="F14" s="33" t="str">
        <x:v>高速ダウンヒルで仕掛け、後続とのタイム差を広げる。</x:v>
      </x:c>
      <x:c r="G14" s="33" t="str">
        <x:v>bikeControl / technique / fighting</x:v>
      </x:c>
      <x:c r="H14" s="33" t="str">
        <x:v>現在の510名固定デッキでは未採用。代替候補として定義を維持。</x:v>
      </x:c>
    </x:row>
    <x:row r="15" ht="40" customHeight="1">
      <x:c r="A15" s="33" t="str">
        <x:v>汎用勝負手</x:v>
      </x:c>
      <x:c r="B15" s="33" t="str">
        <x:v>勝負手</x:v>
      </x:c>
      <x:c r="C15" s="34" t="n">
        <x:v>3</x:v>
      </x:c>
      <x:c r="D15" s="33" t="str">
        <x:v>決定的カウンター</x:v>
      </x:c>
      <x:c r="E15" s="33" t="str">
        <x:v>平坦エース</x:v>
      </x:c>
      <x:c r="F15" s="33" t="str">
        <x:v>ライバルの攻撃直後に最大加速し、その動きを逆に勝機へ変える。</x:v>
      </x:c>
      <x:c r="G15" s="33" t="str">
        <x:v>acceleration / positioning / fighting</x:v>
      </x:c>
      <x:c r="H15" s="33" t="str">
        <x:v>現在の510名固定デッキでは未採用。代替候補として定義を維持。</x:v>
      </x:c>
    </x:row>
    <x:row r="16" ht="40" customHeight="1">
      <x:c r="A16" s="33" t="str">
        <x:v>汎用勝負手</x:v>
      </x:c>
      <x:c r="B16" s="33" t="str">
        <x:v>勝負手</x:v>
      </x:c>
      <x:c r="C16" s="34" t="n">
        <x:v>3</x:v>
      </x:c>
      <x:c r="D16" s="33" t="str">
        <x:v>短坂決戦</x:v>
      </x:c>
      <x:c r="E16" s="33" t="str">
        <x:v>丘陵エース</x:v>
      </x:c>
      <x:c r="F16" s="33" t="str">
        <x:v>短い急坂へ全力を集中し、頂上までに決定的な差を作る。</x:v>
      </x:c>
      <x:c r="G16" s="33" t="str">
        <x:v>punch / fighting</x:v>
      </x:c>
      <x:c r="H16" s="33" t="str">
        <x:v>現在の510名固定デッキでは未採用。代替候補として定義を維持。</x:v>
      </x:c>
    </x:row>
    <x:row r="17" ht="40" customHeight="1">
      <x:c r="A17" s="33" t="str">
        <x:v>汎用勝負手</x:v>
      </x:c>
      <x:c r="B17" s="33" t="str">
        <x:v>勝負手</x:v>
      </x:c>
      <x:c r="C17" s="34" t="n">
        <x:v>3</x:v>
      </x:c>
      <x:c r="D17" s="33" t="str">
        <x:v>頂上前アタック</x:v>
      </x:c>
      <x:c r="E17" s="33" t="str">
        <x:v>山岳エース</x:v>
      </x:c>
      <x:c r="F17" s="33" t="str">
        <x:v>山頂前から全力で仕掛け、下りへ入る前に時間差を作る。</x:v>
      </x:c>
      <x:c r="G17" s="33" t="str">
        <x:v>climbing / acceleration</x:v>
      </x:c>
      <x:c r="H17" s="33" t="str">
        <x:v>現在の510名固定デッキでは未採用。代替候補として定義を維持。</x:v>
      </x:c>
    </x:row>
    <x:row r="18" ht="40" customHeight="1">
      <x:c r="A18" s="35" t="str">
        <x:v>汎用勝負手</x:v>
      </x:c>
      <x:c r="B18" s="35" t="str">
        <x:v>勝負手</x:v>
      </x:c>
      <x:c r="C18" s="36" t="n">
        <x:v>3</x:v>
      </x:c>
      <x:c r="D18" s="35" t="str">
        <x:v>逃げ切り</x:v>
      </x:c>
      <x:c r="E18" s="35" t="str">
        <x:v>逃げエース</x:v>
      </x:c>
      <x:c r="F18" s="35" t="str">
        <x:v>残り区間を全力で走り、プロトンの吸収を振り切る。</x:v>
      </x:c>
      <x:c r="G18" s="35" t="str">
        <x:v>stamina / cruise / fighting / recovery</x:v>
      </x:c>
      <x:c r="H18" s="35" t="str">
        <x:v>現在の510名固定デッキでは未採用。代替候補として定義を維持。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ad7d103a324e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72" hidden="0" customWidth="1"/>
  </x:cols>
  <x:sheetData>
    <x:row r="1" ht="34" customHeight="1">
      <x:c r="A1" s="3" t="str">
        <x:v>カード性能ルール</x:v>
      </x:c>
      <x:c r="B1" s="3"/>
      <x:c r="C1" s="3"/>
    </x:row>
    <x:row r="2" ht="34" customHeight="1">
      <x:c r="A2" s="8" t="str">
        <x:v>性能表を読むための共通ルール。数値化済みの項目と、今後定義が必要な項目を分離しています。</x:v>
      </x:c>
      <x:c r="B2" s="8"/>
      <x:c r="C2" s="8"/>
    </x:row>
    <x:row r="4" ht="30" customHeight="1">
      <x:c r="A4" s="14" t="str">
        <x:v>項目</x:v>
      </x:c>
      <x:c r="B4" s="14" t="str">
        <x:v>設定</x:v>
      </x:c>
      <x:c r="C4" s="14" t="str">
        <x:v>意味</x:v>
      </x:c>
    </x:row>
    <x:row r="5" ht="40" customHeight="1">
      <x:c r="A5" s="22" t="str">
        <x:v>1ターン作戦コスト</x:v>
      </x:c>
      <x:c r="B5" s="22" t="n">
        <x:v>5</x:v>
      </x:c>
      <x:c r="C5" s="22" t="str">
        <x:v>個人カードとチームカードの合計上限</x:v>
      </x:c>
    </x:row>
    <x:row r="6" ht="40" customHeight="1">
      <x:c r="A6" s="23" t="str">
        <x:v>未使用コスト持越</x:v>
      </x:c>
      <x:c r="B6" s="23" t="str">
        <x:v>なし</x:v>
      </x:c>
      <x:c r="C6" s="23" t="str">
        <x:v>次ターンへ持ち越さない</x:v>
      </x:c>
    </x:row>
    <x:row r="7" ht="40" customHeight="1">
      <x:c r="A7" s="23" t="str">
        <x:v>同一選手の個人カード</x:v>
      </x:c>
      <x:c r="B7" s="23" t="n">
        <x:v>1</x:v>
      </x:c>
      <x:c r="C7" s="23" t="str">
        <x:v>1ターンに使える上限</x:v>
      </x:c>
    </x:row>
    <x:row r="8" ht="40" customHeight="1">
      <x:c r="A8" s="23" t="str">
        <x:v>チームカード</x:v>
      </x:c>
      <x:c r="B8" s="23" t="n">
        <x:v>1</x:v>
      </x:c>
      <x:c r="C8" s="23" t="str">
        <x:v>1ターンに使える上限</x:v>
      </x:c>
    </x:row>
    <x:row r="9" ht="40" customHeight="1">
      <x:c r="A9" s="23" t="str">
        <x:v>基本技</x:v>
      </x:c>
      <x:c r="B9" s="23" t="n">
        <x:v>1</x:v>
      </x:c>
      <x:c r="C9" s="23" t="str">
        <x:v>低コストの通常行動／1選手3枚</x:v>
      </x:c>
    </x:row>
    <x:row r="10" ht="40" customHeight="1">
      <x:c r="A10" s="23" t="str">
        <x:v>得意技</x:v>
      </x:c>
      <x:c r="B10" s="23" t="n">
        <x:v>2</x:v>
      </x:c>
      <x:c r="C10" s="23" t="str">
        <x:v>条件に合う強い行動／1選手2枚</x:v>
      </x:c>
    </x:row>
    <x:row r="11" ht="40" customHeight="1">
      <x:c r="A11" s="23" t="str">
        <x:v>勝負手</x:v>
      </x:c>
      <x:c r="B11" s="23" t="n">
        <x:v>3</x:v>
      </x:c>
      <x:c r="C11" s="23" t="str">
        <x:v>原則レース中1回／1選手1枚</x:v>
      </x:c>
    </x:row>
    <x:row r="12" ht="40" customHeight="1">
      <x:c r="A12" s="23" t="str">
        <x:v>個人カード表示</x:v>
      </x:c>
      <x:c r="B12" s="23" t="n">
        <x:v>6</x:v>
      </x:c>
      <x:c r="C12" s="23" t="str">
        <x:v>選手選択時に固定表示。ランダムドローなし</x:v>
      </x:c>
    </x:row>
    <x:row r="13" ht="40" customHeight="1">
      <x:c r="A13" s="23" t="str">
        <x:v>8人編成の候補</x:v>
      </x:c>
      <x:c r="B13" s="23" t="n">
        <x:v>48</x:v>
      </x:c>
      <x:c r="C13" s="23" t="str">
        <x:v>8人×6枚</x:v>
      </x:c>
    </x:row>
    <x:row r="14" ht="40" customHeight="1">
      <x:c r="A14" s="24" t="str">
        <x:v>数値威力・体力/SP消費</x:v>
      </x:c>
      <x:c r="B14" s="24" t="str">
        <x:v>未定義</x:v>
      </x:c>
      <x:c r="C14" s="24" t="str">
        <x:v>現在は効果文と参照能力で管理。実装前に数値設計が必要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933245e60b249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4" max="4" width="24" hidden="0" customWidth="1"/>
    <x:col min="5" max="5" width="55" hidden="0" customWidth="1"/>
  </x:cols>
  <x:sheetData>
    <x:row r="1" ht="38" customHeight="1">
      <x:c r="A1" s="38" t="str">
        <x:v>QOMISO Game Tour カード性能台帳</x:v>
      </x:c>
      <x:c r="B1" s="38"/>
      <x:c r="C1" s="38"/>
      <x:c r="D1" s="38"/>
      <x:c r="E1" s="38"/>
      <x:c r="F1" s="38"/>
      <x:c r="G1" s="38"/>
      <x:c r="H1" s="38"/>
    </x:row>
    <x:row r="2" ht="32" customHeight="1">
      <x:c r="A2" s="41" t="str">
        <x:v>カードのコスト・回数・対象・効果・参照能力・採用状況を確認する正本。更新日 2026-07-20</x:v>
      </x:c>
      <x:c r="B2" s="41"/>
      <x:c r="C2" s="41"/>
      <x:c r="D2" s="41"/>
      <x:c r="E2" s="41"/>
      <x:c r="F2" s="41"/>
      <x:c r="G2" s="41"/>
      <x:c r="H2" s="41"/>
    </x:row>
    <x:row r="4">
      <x:c r="A4" s="42" t="str">
        <x:v>集計</x:v>
      </x:c>
      <x:c r="B4" s="42" t="str">
        <x:v>件数</x:v>
      </x:c>
      <x:c r="D4" s="42" t="str">
        <x:v>性能項目</x:v>
      </x:c>
      <x:c r="E4" s="42" t="str">
        <x:v>現在の定義</x:v>
      </x:c>
    </x:row>
    <x:row r="5">
      <x:c r="A5" s="47" t="str">
        <x:v>カード定義</x:v>
      </x:c>
      <x:c r="B5" s="50" t="n">
        <x:f>COUNTA('カード性能一覧'!$E$5:$E$161)</x:f>
        <x:v>157</x:v>
      </x:c>
      <x:c r="D5" s="47" t="str">
        <x:v>コスト</x:v>
      </x:c>
      <x:c r="E5" s="47" t="str">
        <x:v>基本1／得意2／勝負手3</x:v>
      </x:c>
    </x:row>
    <x:row r="6">
      <x:c r="A6" s="48" t="str">
        <x:v>基本技</x:v>
      </x:c>
      <x:c r="B6" s="51" t="n">
        <x:f>COUNTIF('カード性能一覧'!$B$5:$B$161,"基本技")</x:f>
        <x:v>28</x:v>
      </x:c>
      <x:c r="D6" s="48" t="str">
        <x:v>回数</x:v>
      </x:c>
      <x:c r="E6" s="48" t="str">
        <x:v>勝負手は原則1回</x:v>
      </x:c>
    </x:row>
    <x:row r="7">
      <x:c r="A7" s="48" t="str">
        <x:v>得意技</x:v>
      </x:c>
      <x:c r="B7" s="51" t="n">
        <x:f>COUNTIF('カード性能一覧'!$B$5:$B$161,"得意技")</x:f>
        <x:v>42</x:v>
      </x:c>
      <x:c r="D7" s="48" t="str">
        <x:v>対象</x:v>
      </x:c>
      <x:c r="E7" s="48" t="str">
        <x:v>本人・味方エース・チームなど</x:v>
      </x:c>
    </x:row>
    <x:row r="8">
      <x:c r="A8" s="48" t="str">
        <x:v>勝負手</x:v>
      </x:c>
      <x:c r="B8" s="51" t="n">
        <x:f>COUNTIF('カード性能一覧'!$B$5:$B$161,"勝負手")</x:f>
        <x:v>87</x:v>
      </x:c>
      <x:c r="D8" s="48" t="str">
        <x:v>効果</x:v>
      </x:c>
      <x:c r="E8" s="48" t="str">
        <x:v>カード別の行動・支援内容</x:v>
      </x:c>
    </x:row>
    <x:row r="9">
      <x:c r="A9" s="48" t="str">
        <x:v>採用中カード</x:v>
      </x:c>
      <x:c r="B9" s="51" t="n">
        <x:f>COUNTIF('カード性能一覧'!$N$5:$N$161,"採用中")</x:f>
        <x:v>143</x:v>
      </x:c>
      <x:c r="D9" s="48" t="str">
        <x:v>参照能力</x:v>
      </x:c>
      <x:c r="E9" s="48" t="str">
        <x:v>効果判定に使う選手能力</x:v>
      </x:c>
    </x:row>
    <x:row r="10">
      <x:c r="A10" s="48" t="str">
        <x:v>未割当カード</x:v>
      </x:c>
      <x:c r="B10" s="51" t="n">
        <x:f>COUNTIF('カード性能一覧'!$N$5:$N$161,"未割当")</x:f>
        <x:v>14</x:v>
      </x:c>
      <x:c r="D10" s="49" t="str">
        <x:v>個別数値</x:v>
      </x:c>
      <x:c r="E10" s="49" t="str">
        <x:v>威力係数・体力/SP消費は未定義</x:v>
      </x:c>
    </x:row>
    <x:row r="11">
      <x:c r="A11" s="48" t="str">
        <x:v>選手名簿行</x:v>
      </x:c>
      <x:c r="B11" s="51" t="n">
        <x:f>COUNTA('選手別採用'!$C$5:$C$514)</x:f>
        <x:v>510</x:v>
      </x:c>
    </x:row>
    <x:row r="12">
      <x:c r="A12" s="49" t="str">
        <x:v>カード枠合計</x:v>
      </x:c>
      <x:c r="B12" s="52" t="n">
        <x:f>B11*6</x:f>
        <x:v>3060</x:v>
      </x:c>
    </x:row>
  </x:sheetData>
  <x:mergeCells>
    <x:mergeCell ref="A1:H1"/>
    <x:mergeCell ref="A2:H2"/>
  </x:mergeCells>
  <x:pageMargins left="0.7" right="0.7" top="0.75" bottom="0.75" header="0.3" footer="0.3"/>
</x:worksheet>
</file>