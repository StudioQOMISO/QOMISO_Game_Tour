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a282f609a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66068690f2024b1d"/>
    <x:sheet xmlns:r="http://schemas.openxmlformats.org/officeDocument/2006/relationships" name="選手一覧" sheetId="2" r:id="R9e726dbf07b04842"/>
    <x:sheet xmlns:r="http://schemas.openxmlformats.org/officeDocument/2006/relationships" name="レジェンド別枠" sheetId="3" r:id="R66745abb5b204a08"/>
    <x:sheet xmlns:r="http://schemas.openxmlformats.org/officeDocument/2006/relationships" name="モニュメント実績" sheetId="4" r:id="R7dfe7cac387a44ad"/>
    <x:sheet xmlns:r="http://schemas.openxmlformats.org/officeDocument/2006/relationships" name="GT実績" sheetId="5" r:id="R62a6cac187074655"/>
    <x:sheet xmlns:r="http://schemas.openxmlformats.org/officeDocument/2006/relationships" name="能力概要" sheetId="6" r:id="R719df25728554ab3"/>
    <x:sheet xmlns:r="http://schemas.openxmlformats.org/officeDocument/2006/relationships" name="能力定義" sheetId="7" r:id="Rcc3b0d501b8943b6"/>
    <x:sheet xmlns:r="http://schemas.openxmlformats.org/officeDocument/2006/relationships" name="役割定義" sheetId="8" r:id="Red0fefae809e4403"/>
    <x:sheet xmlns:r="http://schemas.openxmlformats.org/officeDocument/2006/relationships" name="300選手能力" sheetId="9" r:id="Re9292c54aad9469a"/>
    <x:sheet xmlns:r="http://schemas.openxmlformats.org/officeDocument/2006/relationships" name="二つ名一覧" sheetId="10" r:id="R2a8cbe2b5ce94055"/>
    <x:sheet xmlns:r="http://schemas.openxmlformats.org/officeDocument/2006/relationships" name="パヴェ根拠" sheetId="11" r:id="Re9e789f34e624f61"/>
    <x:sheet xmlns:r="http://schemas.openxmlformats.org/officeDocument/2006/relationships" name="世界選手権実績" sheetId="12" r:id="R20e6d41b631446ca"/>
    <x:sheet xmlns:r="http://schemas.openxmlformats.org/officeDocument/2006/relationships" name="現役選手300名" sheetId="13" r:id="R295f46aeebee4979"/>
    <x:sheet xmlns:r="http://schemas.openxmlformats.org/officeDocument/2006/relationships" name="引退選手" sheetId="14" r:id="R768ff7d4cda645f1"/>
    <x:sheet xmlns:r="http://schemas.openxmlformats.org/officeDocument/2006/relationships" name="区分保留" sheetId="15" r:id="R671870ed49b8446d"/>
    <x:sheet xmlns:r="http://schemas.openxmlformats.org/officeDocument/2006/relationships" name="評価ルール" sheetId="16" r:id="Re06fceaeab76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#,##0 &quot;Cr&quot;"/>
    <x:numFmt numFmtId="203" formatCode="0.0%"/>
    <x:numFmt numFmtId="204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sz val="11"/>
      <x:color rgb="FF20313F"/>
      <x:name val="Carlito"/>
    </x:font>
    <x:font>
      <x:b/>
      <x:sz val="11"/>
      <x:color rgb="FFFFFFFF"/>
      <x:name val="Carlito"/>
    </x:font>
    <x:font>
      <x:b/>
      <x:sz val="11"/>
      <x:color rgb="FF20313F"/>
      <x:name val="Carlito"/>
    </x:font>
    <x:font>
      <x:b/>
      <x:sz val="18"/>
      <x:color rgb="FFFFFFFF"/>
      <x:name val="Yu Gothic"/>
    </x:font>
    <x:font>
      <x:sz val="11"/>
      <x:color rgb="FF20313F"/>
      <x:name val="Yu Gothic"/>
    </x:font>
    <x:font>
      <x:sz val="11"/>
      <x:name val="Yu Gothic"/>
    </x:font>
    <x:font>
      <x:b/>
      <x:sz val="11"/>
      <x:color rgb="FFFFFFFF"/>
      <x:name val="Yu Gothic"/>
    </x:font>
    <x:font>
      <x:b/>
      <x:sz val="11"/>
      <x:color rgb="FF20313F"/>
      <x:name val="Yu Gothic"/>
    </x:font>
    <x:font>
      <x:b/>
      <x:sz val="11"/>
      <x:color rgb="FF7A4A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DCE8EF"/>
      </x:patternFill>
    </x:fill>
    <x:fill>
      <x:patternFill patternType="solid">
        <x:fgColor rgb="FF2F6B8A"/>
      </x:patternFill>
    </x:fill>
    <x:fill>
      <x:patternFill patternType="solid">
        <x:fgColor rgb="FFEAF2F7"/>
      </x:patternFill>
    </x:fill>
    <x:fill>
      <x:patternFill patternType="solid">
        <x:fgColor rgb="FF18324A"/>
      </x:patternFill>
    </x:fill>
    <x:fill>
      <x:patternFill patternType="solid">
        <x:fgColor rgb="FFDCE8EF"/>
      </x:patternFill>
    </x:fill>
    <x:fill>
      <x:patternFill patternType="solid">
        <x:fgColor rgb="FF2F6B8A"/>
      </x:patternFill>
    </x:fill>
  </x:fills>
  <x:borders count="20">
    <x:border/>
    <x:border>
      <x:left style="thin">
        <x:color rgb="FFCAD8E2"/>
      </x:left>
      <x:top style="thin">
        <x:color rgb="FFCAD8E2"/>
      </x:top>
      <x:bottom style="thin">
        <x:color rgb="FFCAD8E2"/>
      </x:bottom>
    </x:border>
    <x:border>
      <x:right style="thin">
        <x:color rgb="FFCAD8E2"/>
      </x:right>
      <x:top style="thin">
        <x:color rgb="FFCAD8E2"/>
      </x:top>
      <x:bottom style="thin">
        <x:color rgb="FFCAD8E2"/>
      </x:bottom>
    </x:border>
    <x:border>
      <x:top style="thin">
        <x:color rgb="FFCAD8E2"/>
      </x:top>
      <x:bottom style="thin">
        <x:color rgb="FFCAD8E2"/>
      </x:bottom>
    </x:border>
    <x:border>
      <x:right style="thin">
        <x:color rgb="FFCAD8E2"/>
      </x:right>
      <x:bottom style="thin">
        <x:color rgb="FFCAD8E2"/>
      </x:bottom>
    </x:border>
    <x:border>
      <x:left style="thin">
        <x:color rgb="FFCAD8E2"/>
      </x:left>
      <x:bottom style="thin">
        <x:color rgb="FFCAD8E2"/>
      </x:bottom>
    </x:border>
    <x:border>
      <x:right style="thin">
        <x:color rgb="FFCAD8E2"/>
      </x:right>
      <x:top style="thin">
        <x:color rgb="FFCAD8E2"/>
      </x:top>
    </x:border>
    <x:border>
      <x:left style="thin">
        <x:color rgb="FFCAD8E2"/>
      </x:left>
      <x:top style="thin">
        <x:color rgb="FFCAD8E2"/>
      </x:top>
    </x:border>
    <x:border>
      <x:left style="thin">
        <x:color rgb="FFCAD8E2"/>
      </x:left>
      <x:right style="thin">
        <x:color rgb="FFCAD8E2"/>
      </x:right>
      <x:bottom style="thin">
        <x:color rgb="FFCAD8E2"/>
      </x:bottom>
    </x:border>
    <x:border>
      <x:left style="thin">
        <x:color rgb="FFCAD8E2"/>
      </x:left>
      <x:right style="thin">
        <x:color rgb="FFCAD8E2"/>
      </x:right>
      <x:top style="thin">
        <x:color rgb="FFCAD8E2"/>
      </x:top>
      <x:bottom style="thin">
        <x:color rgb="FFCAD8E2"/>
      </x:bottom>
    </x:border>
    <x:border>
      <x:left style="thin">
        <x:color rgb="FFCAD8E2"/>
      </x:left>
      <x:right style="thin">
        <x:color rgb="FFCAD8E2"/>
      </x:right>
      <x:top style="thin">
        <x:color rgb="FFCAD8E2"/>
      </x:top>
    </x:border>
    <x:border>
      <x:bottom style="thin">
        <x:color rgb="FFE2E9EE"/>
      </x:bottom>
    </x:border>
    <x:border>
      <x:top style="thin">
        <x:color rgb="FFE2E9EE"/>
      </x:top>
      <x:bottom style="thin">
        <x:color rgb="FFE2E9EE"/>
      </x:bottom>
    </x:border>
    <x:border>
      <x:top style="thin">
        <x:color rgb="FFE2E9EE"/>
      </x:top>
    </x:border>
    <x:border>
      <x:left style="thin">
        <x:color rgb="FFCAD8E2"/>
      </x:left>
      <x:top style="thin">
        <x:color rgb="FFCAD8E2"/>
      </x:top>
      <x:bottom style="thin">
        <x:color rgb="FFE2E9EE"/>
      </x:bottom>
    </x:border>
    <x:border>
      <x:right style="thin">
        <x:color rgb="FFCAD8E2"/>
      </x:right>
      <x:top style="thin">
        <x:color rgb="FFCAD8E2"/>
      </x:top>
      <x:bottom style="thin">
        <x:color rgb="FFE2E9EE"/>
      </x:bottom>
    </x:border>
    <x:border>
      <x:left style="thin">
        <x:color rgb="FFCAD8E2"/>
      </x:left>
      <x:top style="thin">
        <x:color rgb="FFE2E9EE"/>
      </x:top>
      <x:bottom style="thin">
        <x:color rgb="FFE2E9EE"/>
      </x:bottom>
    </x:border>
    <x:border>
      <x:left style="thin">
        <x:color rgb="FFCAD8E2"/>
      </x:left>
      <x:top style="thin">
        <x:color rgb="FFE2E9EE"/>
      </x:top>
      <x:bottom style="thin">
        <x:color rgb="FFCAD8E2"/>
      </x:bottom>
    </x:border>
    <x:border>
      <x:top style="thin">
        <x:color rgb="FFE2E9EE"/>
      </x:top>
      <x:bottom style="thin">
        <x:color rgb="FFCAD8E2"/>
      </x:bottom>
    </x:border>
    <x:border>
      <x:top style="thin">
        <x:color rgb="FFCAD8E2"/>
      </x:top>
      <x:bottom style="thin">
        <x:color rgb="FFE2E9EE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5" xfId="0" applyNumberFormat="1" applyFont="1" applyFill="1" applyBorder="1"/>
    <x:xf numFmtId="200" fontId="0" fillId="0" borderId="1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/>
    <x:xf numFmtId="202" fontId="0" fillId="0" borderId="5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/>
    <x:xf numFmtId="200" fontId="7" fillId="0" borderId="5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2" xfId="0" applyNumberFormat="1" applyFont="1" applyFill="1" applyBorder="1"/>
    <x:xf numFmtId="200" fontId="7" fillId="0" borderId="1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6" xfId="0" applyNumberFormat="1" applyFont="1" applyFill="1" applyBorder="1"/>
    <x:xf numFmtId="201" fontId="7" fillId="0" borderId="7" xfId="0" applyNumberFormat="1" applyFont="1" applyFill="1" applyBorder="1"/>
    <x:xf numFmtId="0" fontId="9" fillId="5" borderId="1" xfId="0" applyNumberFormat="1" applyFont="1" applyFill="1" applyBorder="1"/>
    <x:xf numFmtId="0" fontId="9" fillId="5" borderId="3" xfId="0" applyNumberFormat="1" applyFont="1" applyFill="1" applyBorder="1"/>
    <x:xf numFmtId="0" fontId="9" fillId="5" borderId="2" xfId="0" applyNumberFormat="1" applyFont="1" applyFill="1" applyBorder="1"/>
    <x:xf numFmtId="202" fontId="7" fillId="0" borderId="5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4" fontId="6" fillId="0" borderId="11" xfId="0" applyNumberFormat="1" applyFont="1" applyFill="1" applyBorder="1" applyAlignment="1">
      <x:alignment vertical="center"/>
    </x:xf>
    <x:xf numFmtId="204" fontId="6" fillId="0" borderId="12" xfId="0" applyNumberFormat="1" applyFont="1" applyFill="1" applyBorder="1" applyAlignment="1">
      <x:alignment vertical="center"/>
    </x:xf>
    <x:xf numFmtId="204" fontId="6" fillId="0" borderId="13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204" fontId="6" fillId="0" borderId="11" xfId="0" applyNumberFormat="1" applyFont="1" applyFill="1" applyBorder="1"/>
    <x:xf numFmtId="204" fontId="6" fillId="0" borderId="12" xfId="0" applyNumberFormat="1" applyFont="1" applyFill="1" applyBorder="1"/>
    <x:xf numFmtId="204" fontId="6" fillId="0" borderId="13" xfId="0" applyNumberFormat="1" applyFont="1" applyFill="1" applyBorder="1"/>
    <x:xf numFmtId="202" fontId="6" fillId="0" borderId="11" xfId="0" applyNumberFormat="1" applyFont="1" applyFill="1" applyBorder="1"/>
    <x:xf numFmtId="202" fontId="6" fillId="0" borderId="12" xfId="0" applyNumberFormat="1" applyFont="1" applyFill="1" applyBorder="1"/>
    <x:xf numFmtId="202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202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202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202" fontId="6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2" xfId="0" applyNumberFormat="1" applyFont="1" applyFill="1" applyBorder="1" applyAlignment="1">
      <x:alignment horizontal="center" wrapText="1"/>
    </x:xf>
    <x:xf numFmtId="0" fontId="8" fillId="8" borderId="3" xfId="0" applyNumberFormat="1" applyFont="1" applyFill="1" applyBorder="1"/>
    <x:xf numFmtId="0" fontId="8" fillId="8" borderId="3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wrapText="1"/>
    </x:xf>
    <x:xf numFmtId="0" fontId="9" fillId="8" borderId="2" xfId="0" applyNumberFormat="1" applyFont="1" applyFill="1" applyBorder="1" applyAlignment="1">
      <x:alignment horizontal="center" wrapText="1"/>
    </x:xf>
    <x:xf numFmtId="0" fontId="9" fillId="8" borderId="14" xfId="0" applyNumberFormat="1" applyFont="1" applyFill="1" applyBorder="1" applyAlignment="1">
      <x:alignment horizontal="center" wrapText="1"/>
    </x:xf>
    <x:xf numFmtId="0" fontId="9" fillId="8" borderId="15" xfId="0" applyNumberFormat="1" applyFont="1" applyFill="1" applyBorder="1" applyAlignment="1">
      <x:alignment horizontal="center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9" fillId="8" borderId="14" xfId="0" applyNumberFormat="1" applyFont="1" applyFill="1" applyBorder="1" applyAlignment="1">
      <x:alignment horizontal="center" vertical="center" wrapText="1"/>
    </x:xf>
    <x:xf numFmtId="0" fontId="9" fillId="8" borderId="15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9" fillId="8" borderId="3" xfId="0" applyNumberFormat="1" applyFont="1" applyFill="1" applyBorder="1" applyAlignment="1">
      <x:alignment horizontal="center" wrapText="1"/>
    </x:xf>
    <x:xf numFmtId="0" fontId="9" fillId="8" borderId="19" xfId="0" applyNumberFormat="1" applyFont="1" applyFill="1" applyBorder="1" applyAlignment="1">
      <x:alignment horizontal="center" wrapText="1"/>
    </x:xf>
    <x:xf numFmtId="0" fontId="9" fillId="8" borderId="19" xfId="0" applyNumberFormat="1" applyFont="1" applyFill="1" applyBorder="1" applyAlignment="1">
      <x:alignment horizontal="center" vertical="center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vertical="center"/>
    </x:xf>
    <x:xf numFmtId="0" fontId="10" fillId="0" borderId="13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 wrapText="1"/>
    </x:xf>
    <x:xf numFmtId="202" fontId="6" fillId="0" borderId="12" xfId="0" applyNumberFormat="1" applyFont="1" applyFill="1" applyBorder="1" applyAlignment="1">
      <x:alignment vertical="center" wrapText="1"/>
    </x:xf>
    <x:xf numFmtId="202" fontId="6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5B3A00"/>
      </x:font>
      <x:fill>
        <x:patternFill>
          <x:bgColor rgb="FFF4D35E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3a500c3bc482c" /><Relationship Type="http://schemas.openxmlformats.org/officeDocument/2006/relationships/theme" Target="/xl/theme/theme1.xml" Id="R5bfc5439e93744c3" /><Relationship Type="http://schemas.openxmlformats.org/officeDocument/2006/relationships/sharedStrings" Target="/xl/sharedStrings.xml" Id="Rc8664ee2ef674084" /><Relationship Type="http://schemas.openxmlformats.org/officeDocument/2006/relationships/worksheet" Target="/xl/worksheets/sheet1.xml" Id="R66068690f2024b1d" /><Relationship Type="http://schemas.openxmlformats.org/officeDocument/2006/relationships/worksheet" Target="/xl/worksheets/sheet2.xml" Id="R9e726dbf07b04842" /><Relationship Type="http://schemas.openxmlformats.org/officeDocument/2006/relationships/worksheet" Target="/xl/worksheets/sheet3.xml" Id="R66745abb5b204a08" /><Relationship Type="http://schemas.openxmlformats.org/officeDocument/2006/relationships/worksheet" Target="/xl/worksheets/sheet4.xml" Id="R7dfe7cac387a44ad" /><Relationship Type="http://schemas.openxmlformats.org/officeDocument/2006/relationships/worksheet" Target="/xl/worksheets/sheet5.xml" Id="R62a6cac187074655" /><Relationship Type="http://schemas.openxmlformats.org/officeDocument/2006/relationships/worksheet" Target="/xl/worksheets/sheet6.xml" Id="R719df25728554ab3" /><Relationship Type="http://schemas.openxmlformats.org/officeDocument/2006/relationships/worksheet" Target="/xl/worksheets/sheet7.xml" Id="Rcc3b0d501b8943b6" /><Relationship Type="http://schemas.openxmlformats.org/officeDocument/2006/relationships/worksheet" Target="/xl/worksheets/sheet8.xml" Id="Red0fefae809e4403" /><Relationship Type="http://schemas.openxmlformats.org/officeDocument/2006/relationships/worksheet" Target="/xl/worksheets/sheet9.xml" Id="Re9292c54aad9469a" /><Relationship Type="http://schemas.openxmlformats.org/officeDocument/2006/relationships/worksheet" Target="/xl/worksheets/sheet10.xml" Id="R2a8cbe2b5ce94055" /><Relationship Type="http://schemas.openxmlformats.org/officeDocument/2006/relationships/worksheet" Target="/xl/worksheets/sheet11.xml" Id="Re9e789f34e624f61" /><Relationship Type="http://schemas.openxmlformats.org/officeDocument/2006/relationships/worksheet" Target="/xl/worksheets/sheet12.xml" Id="R20e6d41b631446ca" /><Relationship Type="http://schemas.openxmlformats.org/officeDocument/2006/relationships/worksheet" Target="/xl/worksheets/sheet13.xml" Id="R295f46aeebee4979" /><Relationship Type="http://schemas.openxmlformats.org/officeDocument/2006/relationships/worksheet" Target="/xl/worksheets/sheet14.xml" Id="R768ff7d4cda645f1" /><Relationship Type="http://schemas.openxmlformats.org/officeDocument/2006/relationships/worksheet" Target="/xl/worksheets/sheet15.xml" Id="R671870ed49b8446d" /><Relationship Type="http://schemas.openxmlformats.org/officeDocument/2006/relationships/worksheet" Target="/xl/worksheets/sheet16.xml" Id="Re06fceaeab764995" /></Relationships>
</file>

<file path=xl/tables/table1.xml><?xml version="1.0" encoding="utf-8"?>
<x:table xmlns:x="http://schemas.openxmlformats.org/spreadsheetml/2006/main" id="1" name="RiderMotifTable" displayName="RiderMotifTable" ref="A4:N304" headerRowCount="1" totalsRowCount="0" totalsRowShown="0">
  <x:tableColumns count="14">
    <x:tableColumn id="1" name="No."/>
    <x:tableColumn id="2" name="実在選手名"/>
    <x:tableColumn id="3" name="国・地域"/>
    <x:tableColumn id="4" name="時代区分"/>
    <x:tableColumn id="5" name="主脚質"/>
    <x:tableColumn id="6" name="副脚質"/>
    <x:tableColumn id="7" name="エース適性"/>
    <x:tableColumn id="8" name="アシスト適性"/>
    <x:tableColumn id="9" name="得意役割"/>
    <x:tableColumn id="10" name="専門役割"/>
    <x:tableColumn id="11" name="適性タグ"/>
    <x:tableColumn id="12" name="仮Credit"/>
    <x:tableColumn id="13" name="主なモチーフ"/>
    <x:tableColumn id="14" name="人物確認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gacyRiderTable" displayName="LegacyRiderTable" ref="A4:K15" headerRowCount="1" totalsRowCount="0" totalsRowShown="0">
  <x:tableColumns count="11">
    <x:tableColumn id="1" name="No."/>
    <x:tableColumn id="2" name="実在選手名"/>
    <x:tableColumn id="3" name="国・地域"/>
    <x:tableColumn id="4" name="時代区分"/>
    <x:tableColumn id="5" name="主脚質"/>
    <x:tableColumn id="6" name="副脚質"/>
    <x:tableColumn id="7" name="エース適性"/>
    <x:tableColumn id="8" name="アシスト適性"/>
    <x:tableColumn id="9" name="適性タグ"/>
    <x:tableColumn id="10" name="仮Credit"/>
    <x:tableColumn id="11" name="人物確認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umentAchievementTable" displayName="MonumentAchievementTable" ref="A4:H304" headerRowCount="1" totalsRowCount="0" totalsRowShown="0">
  <x:tableColumns count="8">
    <x:tableColumn id="1" name="No."/>
    <x:tableColumn id="2" name="実在選手名"/>
    <x:tableColumn id="3" name="ミラノ〜サンレモ"/>
    <x:tableColumn id="4" name="ロンド"/>
    <x:tableColumn id="5" name="パリ〜ルーベ"/>
    <x:tableColumn id="6" name="リエージュ"/>
    <x:tableColumn id="7" name="ロンバルディア"/>
    <x:tableColumn id="8" name="合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andTourAchievementTable" displayName="GrandTourAchievementTable" ref="A4:Q304" headerRowCount="1" totalsRowCount="0" totalsRowShown="0">
  <x:tableColumns count="17">
    <x:tableColumn id="1" name="No."/>
    <x:tableColumn id="2" name="実在選手名"/>
    <x:tableColumn id="3" name="Tour総合"/>
    <x:tableColumn id="4" name="Tourステージ"/>
    <x:tableColumn id="5" name="Tourポイント"/>
    <x:tableColumn id="6" name="Tour山岳"/>
    <x:tableColumn id="7" name="Tour新人"/>
    <x:tableColumn id="8" name="Giro総合"/>
    <x:tableColumn id="9" name="Giroステージ"/>
    <x:tableColumn id="10" name="Giroポイント"/>
    <x:tableColumn id="11" name="Giro山岳"/>
    <x:tableColumn id="12" name="Giro新人"/>
    <x:tableColumn id="13" name="Vuelta総合"/>
    <x:tableColumn id="14" name="Vueltaステージ"/>
    <x:tableColumn id="15" name="Vueltaポイント"/>
    <x:tableColumn id="16" name="Vuelta山岳"/>
    <x:tableColumn id="17" name="Vuelta新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DefinitionTable" displayName="StatDefinitionTable" ref="A4:E19" headerRowCount="1" totalsRowCount="0" totalsRowShown="0">
  <x:tableColumns count="5">
    <x:tableColumn id="1" name="キー"/>
    <x:tableColumn id="2" name="表示名"/>
    <x:tableColumn id="3" name="特徴"/>
    <x:tableColumn id="4" name="ゲームへの影響"/>
    <x:tableColumn id="5" name="主な根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leDefinitionTable" displayName="RoleDefinitionTable" ref="A4:H34" headerRowCount="1" totalsRowCount="0" totalsRowShown="0">
  <x:tableColumns count="8">
    <x:tableColumn id="1" name="No."/>
    <x:tableColumn id="2" name="カテゴリー"/>
    <x:tableColumn id="3" name="役割・戦術特性"/>
    <x:tableColumn id="4" name="ロードレース上の意味"/>
    <x:tableColumn id="5" name="ゲーム内効果"/>
    <x:tableColumn id="6" name="主に参照する能力"/>
    <x:tableColumn id="7" name="実戦用語・英語"/>
    <x:tableColumn id="8" name="現役選手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iderParameterTable" displayName="RiderParameterTable" ref="A4:AL304" headerRowCount="1" totalsRowCount="0" totalsRowShown="0">
  <x:tableColumns count="38">
    <x:tableColumn id="1" name="No."/>
    <x:tableColumn id="2" name="実在選手名"/>
    <x:tableColumn id="3" name="二つ名"/>
    <x:tableColumn id="4" name="国・地域"/>
    <x:tableColumn id="5" name="時代"/>
    <x:tableColumn id="6" name="主脚質"/>
    <x:tableColumn id="7" name="副脚質"/>
    <x:tableColumn id="8" name="エース適性"/>
    <x:tableColumn id="9" name="アシスト適性"/>
    <x:tableColumn id="10" name="役割・戦術特性"/>
    <x:tableColumn id="11" name="旧専門役割"/>
    <x:tableColumn id="12" name="適性タグ"/>
    <x:tableColumn id="13" name="Credit"/>
    <x:tableColumn id="14" name="スプリント"/>
    <x:tableColumn id="15" name="加速力"/>
    <x:tableColumn id="16" name="パンチ力"/>
    <x:tableColumn id="17" name="巡航力"/>
    <x:tableColumn id="18" name="登坂力"/>
    <x:tableColumn id="19" name="持久力"/>
    <x:tableColumn id="20" name="耐性"/>
    <x:tableColumn id="21" name="技術"/>
    <x:tableColumn id="22" name="バイクコントロール"/>
    <x:tableColumn id="23" name="パヴェ"/>
    <x:tableColumn id="24" name="回復力"/>
    <x:tableColumn id="25" name="日間回復力"/>
    <x:tableColumn id="26" name="チームワーク"/>
    <x:tableColumn id="27" name="エゴ"/>
    <x:tableColumn id="28" name="負けん気"/>
    <x:tableColumn id="29" name="PR最高順位"/>
    <x:tableColumn id="30" name="PR完走"/>
    <x:tableColumn id="31" name="PR Top10"/>
    <x:tableColumn id="32" name="PR優勝"/>
    <x:tableColumn id="33" name="パヴェ検証"/>
    <x:tableColumn id="34" name="パヴェ根拠"/>
    <x:tableColumn id="35" name="パヴェ出典"/>
    <x:tableColumn id="36" name="能力検証"/>
    <x:tableColumn id="37" name="能力算出根拠"/>
    <x:tableColumn id="38" name="人物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iderTitleTable" displayName="RiderTitleTable" ref="A4:H16" headerRowCount="1" totalsRowCount="0" totalsRowShown="0">
  <x:tableColumns count="8">
    <x:tableColumn id="1" name="No."/>
    <x:tableColumn id="2" name="実在選手名"/>
    <x:tableColumn id="3" name="二つ名"/>
    <x:tableColumn id="4" name="付与区分"/>
    <x:tableColumn id="5" name="Credit"/>
    <x:tableColumn id="6" name="主脚質"/>
    <x:tableColumn id="7" name="副脚質"/>
    <x:tableColumn id="8" name="命名根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veEvidenceTable" displayName="PaveEvidenceTable" ref="A4:M304" headerRowCount="1" totalsRowCount="0" totalsRowShown="0">
  <x:tableColumns count="13">
    <x:tableColumn id="1" name="No."/>
    <x:tableColumn id="2" name="実在選手名"/>
    <x:tableColumn id="3" name="パヴェ"/>
    <x:tableColumn id="4" name="PR最高順位"/>
    <x:tableColumn id="5" name="PR完走"/>
    <x:tableColumn id="6" name="PR Top10"/>
    <x:tableColumn id="7" name="PR優勝"/>
    <x:tableColumn id="8" name="ロンド優勝"/>
    <x:tableColumn id="9" name="検証状態"/>
    <x:tableColumn id="10" name="評価根拠"/>
    <x:tableColumn id="11" name="PR出典URL"/>
    <x:tableColumn id="12" name="ロンド出典URL"/>
    <x:tableColumn id="13" name="備考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orldChampionshipTable" displayName="WorldChampionshipTable" ref="A4:L304" headerRowCount="1" totalsRowCount="0" totalsRowShown="0">
  <x:tableColumns count="12">
    <x:tableColumn id="1" name="No."/>
    <x:tableColumn id="2" name="実在選手名"/>
    <x:tableColumn id="3" name="ロード金"/>
    <x:tableColumn id="4" name="ロード銀"/>
    <x:tableColumn id="5" name="ロード銅"/>
    <x:tableColumn id="6" name="ITT金"/>
    <x:tableColumn id="7" name="ITT銀"/>
    <x:tableColumn id="8" name="ITT銅"/>
    <x:tableColumn id="9" name="ロード年"/>
    <x:tableColumn id="10" name="ITT年"/>
    <x:tableColumn id="11" name="評価根拠"/>
    <x:tableColumn id="12" name="出典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ctiveRiderTable" displayName="ActiveRiderTable" ref="A4:AF304" headerRowCount="1" totalsRowCount="0" totalsRowShown="0">
  <x:tableColumns count="32">
    <x:tableColumn id="1" name="No."/>
    <x:tableColumn id="2" name="実在選手名"/>
    <x:tableColumn id="3" name="二つ名"/>
    <x:tableColumn id="4" name="国・地域"/>
    <x:tableColumn id="5" name="現所属"/>
    <x:tableColumn id="6" name="生年月日"/>
    <x:tableColumn id="7" name="区分"/>
    <x:tableColumn id="8" name="主脚質"/>
    <x:tableColumn id="9" name="副脚質"/>
    <x:tableColumn id="10" name="エース適性"/>
    <x:tableColumn id="11" name="アシスト適性"/>
    <x:tableColumn id="12" name="役割・戦術特性"/>
    <x:tableColumn id="13" name="Credit"/>
    <x:tableColumn id="14" name="スプリント"/>
    <x:tableColumn id="15" name="加速力"/>
    <x:tableColumn id="16" name="パンチ力"/>
    <x:tableColumn id="17" name="巡航力"/>
    <x:tableColumn id="18" name="登坂力"/>
    <x:tableColumn id="19" name="持久力"/>
    <x:tableColumn id="20" name="耐性"/>
    <x:tableColumn id="21" name="技術"/>
    <x:tableColumn id="22" name="バイクコントロール"/>
    <x:tableColumn id="23" name="パヴェ"/>
    <x:tableColumn id="24" name="回復力"/>
    <x:tableColumn id="25" name="日間回復力"/>
    <x:tableColumn id="26" name="チームワーク"/>
    <x:tableColumn id="27" name="エゴ"/>
    <x:tableColumn id="28" name="負けん気"/>
    <x:tableColumn id="29" name="選定根拠"/>
    <x:tableColumn id="30" name="現役確認URL"/>
    <x:tableColumn id="31" name="評価状態"/>
    <x:tableColumn id="32" name="人物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tiredRiderTable" displayName="RetiredRiderTable" ref="A4:AF174" headerRowCount="1" totalsRowCount="0" totalsRowShown="0">
  <x:tableColumns count="32">
    <x:tableColumn id="1" name="No."/>
    <x:tableColumn id="2" name="実在選手名"/>
    <x:tableColumn id="3" name="二つ名"/>
    <x:tableColumn id="4" name="国・地域"/>
    <x:tableColumn id="5" name="現所属"/>
    <x:tableColumn id="6" name="生年月日"/>
    <x:tableColumn id="7" name="区分"/>
    <x:tableColumn id="8" name="主脚質"/>
    <x:tableColumn id="9" name="副脚質"/>
    <x:tableColumn id="10" name="エース適性"/>
    <x:tableColumn id="11" name="アシスト適性"/>
    <x:tableColumn id="12" name="役割・戦術特性"/>
    <x:tableColumn id="13" name="Credit"/>
    <x:tableColumn id="14" name="スプリント"/>
    <x:tableColumn id="15" name="加速力"/>
    <x:tableColumn id="16" name="パンチ力"/>
    <x:tableColumn id="17" name="巡航力"/>
    <x:tableColumn id="18" name="登坂力"/>
    <x:tableColumn id="19" name="持久力"/>
    <x:tableColumn id="20" name="耐性"/>
    <x:tableColumn id="21" name="技術"/>
    <x:tableColumn id="22" name="バイクコントロール"/>
    <x:tableColumn id="23" name="パヴェ"/>
    <x:tableColumn id="24" name="回復力"/>
    <x:tableColumn id="25" name="日間回復力"/>
    <x:tableColumn id="26" name="チームワーク"/>
    <x:tableColumn id="27" name="エゴ"/>
    <x:tableColumn id="28" name="負けん気"/>
    <x:tableColumn id="29" name="選定根拠"/>
    <x:tableColumn id="30" name="現役確認URL"/>
    <x:tableColumn id="31" name="評価状態"/>
    <x:tableColumn id="32" name="人物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endingRiderTable" displayName="PendingRiderTable" ref="A4:AF44" headerRowCount="1" totalsRowCount="0" totalsRowShown="0">
  <x:tableColumns count="32">
    <x:tableColumn id="1" name="No."/>
    <x:tableColumn id="2" name="実在選手名"/>
    <x:tableColumn id="3" name="二つ名"/>
    <x:tableColumn id="4" name="国・地域"/>
    <x:tableColumn id="5" name="現所属"/>
    <x:tableColumn id="6" name="生年月日"/>
    <x:tableColumn id="7" name="区分"/>
    <x:tableColumn id="8" name="主脚質"/>
    <x:tableColumn id="9" name="副脚質"/>
    <x:tableColumn id="10" name="エース適性"/>
    <x:tableColumn id="11" name="アシスト適性"/>
    <x:tableColumn id="12" name="役割・戦術特性"/>
    <x:tableColumn id="13" name="Credit"/>
    <x:tableColumn id="14" name="スプリント"/>
    <x:tableColumn id="15" name="加速力"/>
    <x:tableColumn id="16" name="パンチ力"/>
    <x:tableColumn id="17" name="巡航力"/>
    <x:tableColumn id="18" name="登坂力"/>
    <x:tableColumn id="19" name="持久力"/>
    <x:tableColumn id="20" name="耐性"/>
    <x:tableColumn id="21" name="技術"/>
    <x:tableColumn id="22" name="バイクコントロール"/>
    <x:tableColumn id="23" name="パヴェ"/>
    <x:tableColumn id="24" name="回復力"/>
    <x:tableColumn id="25" name="日間回復力"/>
    <x:tableColumn id="26" name="チームワーク"/>
    <x:tableColumn id="27" name="エゴ"/>
    <x:tableColumn id="28" name="負けん気"/>
    <x:tableColumn id="29" name="選定根拠"/>
    <x:tableColumn id="30" name="現役確認URL"/>
    <x:tableColumn id="31" name="評価状態"/>
    <x:tableColumn id="32" name="人物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a97f3a9b53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e35c5fe7154b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4c6aae51e947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32192dd85f49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30c1f165e664f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78b33c57a1a4d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7077ec4381241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c4db6ca1e8740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abfd057d1b46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6f5075341e84f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2554d9e7b254d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3785173cbcb40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8f72ee61207946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3" hidden="0" customWidth="1"/>
    <x:col min="4" max="4" width="22" hidden="0" customWidth="1"/>
    <x:col min="5" max="5" width="10" hidden="0" customWidth="1"/>
    <x:col min="6" max="6" width="45" hidden="0" customWidth="1"/>
  </x:cols>
  <x:sheetData>
    <x:row r="1" ht="34" customHeight="1">
      <x:c r="A1" s="50" t="str">
        <x:v>初期ロードレース選手モチーフ 300名 — 主脚質・副脚質＋適性タグ</x:v>
      </x:c>
      <x:c r="B1" s="50"/>
      <x:c r="C1" s="50"/>
      <x:c r="D1" s="50"/>
      <x:c r="E1" s="50"/>
      <x:c r="F1" s="50"/>
    </x:row>
    <x:row r="2" ht="34" customHeight="1">
      <x:c r="A2" s="51" t="str">
        <x:v>主脚質を最も強く、副脚質を次点、適性タグを第3脚質ではない局面適性として分離します。</x:v>
      </x:c>
      <x:c r="B2" s="51"/>
      <x:c r="C2" s="51"/>
      <x:c r="D2" s="51"/>
      <x:c r="E2" s="51"/>
      <x:c r="F2" s="51"/>
    </x:row>
    <x:row r="3" ht="22" customHeight="1">
      <x:c r="A3" s="52"/>
      <x:c r="B3" s="52"/>
      <x:c r="C3" s="52"/>
      <x:c r="D3" s="52"/>
      <x:c r="E3" s="52"/>
      <x:c r="F3" s="52"/>
    </x:row>
    <x:row r="4" ht="22" customHeight="1">
      <x:c r="A4" s="53" t="str">
        <x:v>検証項目</x:v>
      </x:c>
      <x:c r="B4" s="54" t="str">
        <x:v>値</x:v>
      </x:c>
      <x:c r="C4" s="52"/>
      <x:c r="D4" s="53" t="str">
        <x:v>主脚質</x:v>
      </x:c>
      <x:c r="E4" s="55" t="str">
        <x:v>人数</x:v>
      </x:c>
      <x:c r="F4" s="54" t="str">
        <x:v>設計上の意味</x:v>
      </x:c>
    </x:row>
    <x:row r="5" ht="22" customHeight="1">
      <x:c r="A5" s="56" t="str">
        <x:v>総人数</x:v>
      </x:c>
      <x:c r="B5" s="57" t="n">
        <x:f>COUNTA('選手一覧'!$B$5:$B$304)</x:f>
        <x:v>300</x:v>
      </x:c>
      <x:c r="C5" s="52"/>
      <x:c r="D5" s="58" t="str">
        <x:v>総合型</x:v>
      </x:c>
      <x:c r="E5" s="59" t="n">
        <x:f>COUNTIF('選手一覧'!$E$5:$E$304,D5)</x:f>
        <x:v>0</x:v>
      </x:c>
      <x:c r="F5" s="60" t="str">
        <x:v>長期総合、登坂、TT、日ごとの回復</x:v>
      </x:c>
    </x:row>
    <x:row r="6" ht="22" customHeight="1">
      <x:c r="A6" s="61" t="str">
        <x:v>主脚質数</x:v>
      </x:c>
      <x:c r="B6" s="62" t="n">
        <x:f>COUNTA(D5:D10)</x:f>
        <x:v>6</x:v>
      </x:c>
      <x:c r="C6" s="52"/>
      <x:c r="D6" s="63" t="str">
        <x:v>スプリンター</x:v>
      </x:c>
      <x:c r="E6" s="64" t="n">
        <x:f>COUNTIF('選手一覧'!$E$5:$E$304,D6)</x:f>
        <x:v>0</x:v>
      </x:c>
      <x:c r="F6" s="65" t="str">
        <x:v>平坦の最高速、位置取り、発射台連携</x:v>
      </x:c>
    </x:row>
    <x:row r="7" ht="22" customHeight="1">
      <x:c r="A7" s="61" t="str">
        <x:v>ステージハンター適性</x:v>
      </x:c>
      <x:c r="B7" s="62" t="n">
        <x:f>COUNTIF('選手一覧'!$J$5:$J$304,"ステージハンター")</x:f>
        <x:v>3</x:v>
      </x:c>
      <x:c r="C7" s="52"/>
      <x:c r="D7" s="63" t="str">
        <x:v>クライマー</x:v>
      </x:c>
      <x:c r="E7" s="64" t="n">
        <x:f>COUNTIF('選手一覧'!$E$5:$E$304,D7)</x:f>
        <x:v>0</x:v>
      </x:c>
      <x:c r="F7" s="65" t="str">
        <x:v>長い登坂、山岳耐久、軽量性</x:v>
      </x:c>
    </x:row>
    <x:row r="8" ht="22" customHeight="1">
      <x:c r="A8" s="61" t="str">
        <x:v>逃げ屋適性</x:v>
      </x:c>
      <x:c r="B8" s="62" t="n">
        <x:f>COUNTIF('選手一覧'!$J$5:$J$304,"逃げ屋")</x:f>
        <x:v>0</x:v>
      </x:c>
      <x:c r="C8" s="52"/>
      <x:c r="D8" s="63" t="str">
        <x:v>パンチャー</x:v>
      </x:c>
      <x:c r="E8" s="64" t="n">
        <x:f>COUNTIF('選手一覧'!$E$5:$E$304,D8)</x:f>
        <x:v>0</x:v>
      </x:c>
      <x:c r="F8" s="65" t="str">
        <x:v>短い急坂、反復加速、丘陵決着</x:v>
      </x:c>
    </x:row>
    <x:row r="9" ht="22" customHeight="1">
      <x:c r="A9" s="61" t="str">
        <x:v>日本人モチーフ</x:v>
      </x:c>
      <x:c r="B9" s="62" t="n">
        <x:f>COUNTIF('選手一覧'!$C$5:$C$304,"日本")</x:f>
        <x:v>0</x:v>
      </x:c>
      <x:c r="C9" s="52"/>
      <x:c r="D9" s="63" t="str">
        <x:v>クラシック型</x:v>
      </x:c>
      <x:c r="E9" s="64" t="n">
        <x:f>COUNTIF('選手一覧'!$E$5:$E$304,D9)</x:f>
        <x:v>0</x:v>
      </x:c>
      <x:c r="F9" s="65" t="str">
        <x:v>石畳、横風、位置取り、悪天候</x:v>
      </x:c>
    </x:row>
    <x:row r="10" ht="22" customHeight="1">
      <x:c r="A10" s="61" t="str">
        <x:v>エース適性80以上</x:v>
      </x:c>
      <x:c r="B10" s="62" t="n">
        <x:f>COUNTIF('選手一覧'!$G$5:$G$304,"&gt;=80")</x:f>
        <x:v>0</x:v>
      </x:c>
      <x:c r="C10" s="52"/>
      <x:c r="D10" s="66" t="str">
        <x:v>TT・ルーラー型</x:v>
      </x:c>
      <x:c r="E10" s="67" t="n">
        <x:f>COUNTIF('選手一覧'!$E$5:$E$304,D10)</x:f>
        <x:v>0</x:v>
      </x:c>
      <x:c r="F10" s="68" t="str">
        <x:v>巡航、単独走、集団牽引、隊列維持</x:v>
      </x:c>
    </x:row>
    <x:row r="11" ht="22" customHeight="1">
      <x:c r="A11" s="61" t="str">
        <x:v>アシスト適性80以上</x:v>
      </x:c>
      <x:c r="B11" s="62" t="n">
        <x:f>COUNTIF('選手一覧'!$H$5:$H$304,"&gt;=80")</x:f>
        <x:v>56</x:v>
      </x:c>
      <x:c r="C11" s="52"/>
      <x:c r="D11" s="52"/>
      <x:c r="E11" s="52"/>
      <x:c r="F11" s="52"/>
    </x:row>
    <x:row r="12" ht="22" customHeight="1">
      <x:c r="A12" s="69" t="str">
        <x:v>平均仮Credit</x:v>
      </x:c>
      <x:c r="B12" s="70" t="n">
        <x:f>AVERAGE('選手一覧'!$L$5:$L$304)</x:f>
        <x:v>5442.5</x:v>
      </x:c>
      <x:c r="C12" s="52"/>
      <x:c r="D12" s="52"/>
      <x:c r="E12" s="52"/>
      <x:c r="F12" s="52"/>
    </x:row>
    <x:row r="13" ht="22" customHeight="1">
      <x:c r="A13" s="52"/>
      <x:c r="B13" s="52"/>
      <x:c r="C13" s="52"/>
      <x:c r="D13" s="52"/>
      <x:c r="E13" s="52"/>
      <x:c r="F13" s="52"/>
    </x:row>
    <x:row r="14" ht="22" customHeight="1">
      <x:c r="A14" s="52"/>
      <x:c r="B14" s="52"/>
      <x:c r="C14" s="52"/>
      <x:c r="D14" s="52"/>
      <x:c r="E14" s="52"/>
      <x:c r="F14" s="52"/>
    </x:row>
    <x:row r="15" ht="22" customHeight="1">
      <x:c r="A15" s="71" t="str">
        <x:v>主脚質・副脚質＋適性タグのルール</x:v>
      </x:c>
      <x:c r="B15" s="72"/>
      <x:c r="C15" s="72"/>
      <x:c r="D15" s="72"/>
      <x:c r="E15" s="72"/>
      <x:c r="F15" s="73"/>
    </x:row>
    <x:row r="16" ht="40" customHeight="1">
      <x:c r="A16" s="58" t="str">
        <x:v>選手固有</x:v>
      </x:c>
      <x:c r="B16" s="60" t="str">
        <x:v>主脚質 / 副脚質 / 適性タグ（最大3つ） / エース適性 / アシスト適性</x:v>
      </x:c>
      <x:c r="C16" s="52"/>
      <x:c r="D16" s="52"/>
      <x:c r="E16" s="52"/>
      <x:c r="F16" s="52"/>
    </x:row>
    <x:row r="17" ht="40" customHeight="1">
      <x:c r="A17" s="63" t="str">
        <x:v>レース役割</x:v>
      </x:c>
      <x:c r="B17" s="65" t="str">
        <x:v>当日エース / 副エース / アシスト / ロードキャプテン / リードアウト / ステージハンター / 逃げ屋</x:v>
      </x:c>
      <x:c r="C17" s="52"/>
      <x:c r="D17" s="52"/>
      <x:c r="E17" s="52"/>
      <x:c r="F17" s="52"/>
    </x:row>
    <x:row r="18" ht="40" customHeight="1">
      <x:c r="A18" s="63" t="str">
        <x:v>8人編成</x:v>
      </x:c>
      <x:c r="B18" s="65" t="str">
        <x:v>エース候補2名＋支援役割6名を基本形。支援役割は固定身分ではなく当日の任務</x:v>
      </x:c>
      <x:c r="C18" s="52"/>
      <x:c r="D18" s="52"/>
      <x:c r="E18" s="52"/>
      <x:c r="F18" s="52"/>
    </x:row>
    <x:row r="19" ht="40" customHeight="1">
      <x:c r="A19" s="63" t="str">
        <x:v>役割変更</x:v>
      </x:c>
      <x:c r="B19" s="65" t="str">
        <x:v>コース、体調、疲労、健康度、年間目標により同じ選手の担当を変更可能</x:v>
      </x:c>
      <x:c r="C19" s="52"/>
      <x:c r="D19" s="52"/>
      <x:c r="E19" s="52"/>
      <x:c r="F19" s="52"/>
    </x:row>
    <x:row r="20" ht="40" customHeight="1">
      <x:c r="A20" s="63" t="str">
        <x:v>適性値</x:v>
      </x:c>
      <x:c r="B20" s="65" t="str">
        <x:v>0〜100。高いほどその任務で能力と固有パッシブを発揮しやすい</x:v>
      </x:c>
      <x:c r="C20" s="52"/>
      <x:c r="D20" s="52"/>
      <x:c r="E20" s="52"/>
      <x:c r="F20" s="52"/>
    </x:row>
    <x:row r="21" ht="40" customHeight="1">
      <x:c r="A21" s="63" t="str">
        <x:v>適性タグ</x:v>
      </x:c>
      <x:c r="B21" s="65" t="str">
        <x:v>第3脚質ではなく局面適性。最大3つ。主副脚質の人数集計には含めない</x:v>
      </x:c>
      <x:c r="C21" s="52"/>
      <x:c r="D21" s="52"/>
      <x:c r="E21" s="52"/>
      <x:c r="F21" s="52"/>
    </x:row>
    <x:row r="22" ht="40" customHeight="1">
      <x:c r="A22" s="63" t="str">
        <x:v>年俸上限</x:v>
      </x:c>
      <x:c r="B22" s="65" t="str">
        <x:v>通常42,000 / 上位45,000 / 最高峰48,000 Cr</x:v>
      </x:c>
      <x:c r="C22" s="52"/>
      <x:c r="D22" s="52"/>
      <x:c r="E22" s="52"/>
      <x:c r="F22" s="52"/>
    </x:row>
    <x:row r="23" ht="40" customHeight="1">
      <x:c r="A23" s="66" t="str">
        <x:v>日本人</x:v>
      </x:c>
      <x:c r="B23" s="68" t="str">
        <x:v>Fumiyuki Beppu / Yukiya Arashiro モチーフ</x:v>
      </x:c>
      <x:c r="C23" s="52"/>
      <x:c r="D23" s="52"/>
      <x:c r="E23" s="52"/>
      <x:c r="F23" s="52"/>
    </x:row>
    <x:row r="24" ht="22" customHeight="1">
      <x:c r="A24" s="52"/>
      <x:c r="B24" s="52"/>
      <x:c r="C24" s="52"/>
      <x:c r="D24" s="52"/>
      <x:c r="E24" s="52"/>
      <x:c r="F24" s="52"/>
    </x:row>
    <x:row r="25" ht="22" customHeight="1">
      <x:c r="A25" s="71" t="str">
        <x:v>参考情報</x:v>
      </x:c>
      <x:c r="B25" s="72"/>
      <x:c r="C25" s="72"/>
      <x:c r="D25" s="72"/>
      <x:c r="E25" s="72"/>
      <x:c r="F25" s="73"/>
    </x:row>
    <x:row r="26" ht="22" customHeight="1">
      <x:c r="A26" s="53" t="str">
        <x:v>項目</x:v>
      </x:c>
      <x:c r="B26" s="54" t="str">
        <x:v>URL</x:v>
      </x:c>
      <x:c r="C26" s="52"/>
      <x:c r="D26" s="52"/>
      <x:c r="E26" s="52"/>
      <x:c r="F26" s="52"/>
    </x:row>
    <x:row r="27" ht="34" customHeight="1">
      <x:c r="A27" s="58" t="str">
        <x:v>UCI 世界選手権史</x:v>
      </x:c>
      <x:c r="B27" s="60" t="str">
        <x:v>https://www.uci.org/article/the-history-and-the-records-of-road-s-rainbow-jersey/3Qvg8Z7qJQeieqj8EYNoCd</x:v>
      </x:c>
      <x:c r="C27" s="52"/>
      <x:c r="D27" s="52"/>
      <x:c r="E27" s="52"/>
      <x:c r="F27" s="52"/>
    </x:row>
    <x:row r="28" ht="34" customHeight="1">
      <x:c r="A28" s="63" t="str">
        <x:v>Tour de France 公式</x:v>
      </x:c>
      <x:c r="B28" s="65" t="str">
        <x:v>https://www.letour.fr/en/</x:v>
      </x:c>
      <x:c r="C28" s="52"/>
      <x:c r="D28" s="52"/>
      <x:c r="E28" s="52"/>
      <x:c r="F28" s="52"/>
    </x:row>
    <x:row r="29" ht="34" customHeight="1">
      <x:c r="A29" s="66" t="str">
        <x:v>Giro d’Italia 公式</x:v>
      </x:c>
      <x:c r="B29" s="68" t="str">
        <x:v>https://www.giroditalia.it/en/</x:v>
      </x:c>
      <x:c r="C29" s="52"/>
      <x:c r="D29" s="52"/>
      <x:c r="E29" s="52"/>
      <x:c r="F29" s="52"/>
    </x:row>
    <x:row r="30" ht="22" customHeight="1">
      <x:c r="A30" s="52"/>
      <x:c r="B30" s="52"/>
      <x:c r="C30" s="52"/>
      <x:c r="D30" s="52"/>
      <x:c r="E30" s="52"/>
      <x:c r="F30" s="52"/>
    </x:row>
    <x:row r="31" ht="22" customHeight="1">
      <x:c r="A31" s="71" t="str">
        <x:v>Credit適正化検証</x:v>
      </x:c>
      <x:c r="B31" s="72"/>
      <x:c r="C31" s="72"/>
      <x:c r="D31" s="72"/>
      <x:c r="E31" s="72"/>
      <x:c r="F31" s="73"/>
    </x:row>
    <x:row r="32" ht="22" customHeight="1">
      <x:c r="A32" s="58" t="str">
        <x:v>最高Credit</x:v>
      </x:c>
      <x:c r="B32" s="74" t="n">
        <x:f>MAX('選手一覧'!$L$5:$L$304)</x:f>
        <x:v>20000</x:v>
      </x:c>
      <x:c r="C32" s="52"/>
      <x:c r="D32" s="53" t="str">
        <x:v>価格帯</x:v>
      </x:c>
      <x:c r="E32" s="55" t="str">
        <x:v>人数</x:v>
      </x:c>
      <x:c r="F32" s="54" t="str">
        <x:v>設計意図</x:v>
      </x:c>
    </x:row>
    <x:row r="33" ht="22" customHeight="1">
      <x:c r="A33" s="63" t="str">
        <x:v>最高額選手</x:v>
      </x:c>
      <x:c r="B33" s="75" t="str">
        <x:f>INDEX('選手一覧'!$B$5:$B$304,MATCH(B32,'選手一覧'!$L$5:$L$304,0))</x:f>
        <x:v>Tadej Pogacar</x:v>
      </x:c>
      <x:c r="C33" s="52"/>
      <x:c r="D33" s="58" t="str">
        <x:v>15,000 Cr</x:v>
      </x:c>
      <x:c r="E33" s="59" t="n">
        <x:f>COUNTIF('選手一覧'!$L$5:$L$304,15000)</x:f>
        <x:v>0</x:v>
      </x:c>
      <x:c r="F33" s="60" t="str">
        <x:v>世代最強級の例外枠</x:v>
      </x:c>
    </x:row>
    <x:row r="34" ht="22" customHeight="1">
      <x:c r="A34" s="63" t="str">
        <x:v>中央値</x:v>
      </x:c>
      <x:c r="B34" s="75" t="n">
        <x:f>MEDIAN('選手一覧'!$L$5:$L$304)</x:f>
        <x:v>5100</x:v>
      </x:c>
      <x:c r="C34" s="52"/>
      <x:c r="D34" s="63" t="str">
        <x:v>12,000–14,999 Cr</x:v>
      </x:c>
      <x:c r="E34" s="64" t="n">
        <x:f>COUNTIFS('選手一覧'!$L$5:$L$304,"&gt;=12000",'選手一覧'!$L$5:$L$304,"&lt;15000")</x:f>
        <x:v>4</x:v>
      </x:c>
      <x:c r="F34" s="65" t="str">
        <x:v>歴代級・最上位エース</x:v>
      </x:c>
    </x:row>
    <x:row r="35" ht="22" customHeight="1">
      <x:c r="A35" s="63" t="str">
        <x:v>通常レース上限</x:v>
      </x:c>
      <x:c r="B35" s="75" t="n">
        <x:f>42000</x:f>
        <x:v>42000</x:v>
      </x:c>
      <x:c r="C35" s="52"/>
      <x:c r="D35" s="63" t="str">
        <x:v>9,000–11,999 Cr</x:v>
      </x:c>
      <x:c r="E35" s="64" t="n">
        <x:f>COUNTIFS('選手一覧'!$L$5:$L$304,"&gt;=9000",'選手一覧'!$L$5:$L$304,"&lt;12000")</x:f>
        <x:v>11</x:v>
      </x:c>
      <x:c r="F35" s="65" t="str">
        <x:v>トップエース</x:v>
      </x:c>
    </x:row>
    <x:row r="36" ht="22" customHeight="1">
      <x:c r="A36" s="63" t="str">
        <x:v>上位レース上限</x:v>
      </x:c>
      <x:c r="B36" s="75" t="n">
        <x:f>45000</x:f>
        <x:v>45000</x:v>
      </x:c>
      <x:c r="C36" s="52"/>
      <x:c r="D36" s="63" t="str">
        <x:v>6,000–8,999 Cr</x:v>
      </x:c>
      <x:c r="E36" s="64" t="n">
        <x:f>COUNTIFS('選手一覧'!$L$5:$L$304,"&gt;=6000",'選手一覧'!$L$5:$L$304,"&lt;9000")</x:f>
        <x:v>86</x:v>
      </x:c>
      <x:c r="F36" s="65" t="str">
        <x:v>主力・専門カード</x:v>
      </x:c>
    </x:row>
    <x:row r="37" ht="22" customHeight="1">
      <x:c r="A37" s="63" t="str">
        <x:v>最高峰レース上限</x:v>
      </x:c>
      <x:c r="B37" s="75" t="n">
        <x:f>48000</x:f>
        <x:v>48000</x:v>
      </x:c>
      <x:c r="C37" s="52"/>
      <x:c r="D37" s="63" t="str">
        <x:v>3,000–5,999 Cr</x:v>
      </x:c>
      <x:c r="E37" s="64" t="n">
        <x:f>COUNTIFS('選手一覧'!$L$5:$L$304,"&gt;=3000",'選手一覧'!$L$5:$L$304,"&lt;6000")</x:f>
        <x:v>183</x:v>
      </x:c>
      <x:c r="F37" s="65" t="str">
        <x:v>中核・アシスト</x:v>
      </x:c>
    </x:row>
    <x:row r="38" ht="22" customHeight="1">
      <x:c r="A38" s="63" t="str">
        <x:v>最高額の通常上限比率</x:v>
      </x:c>
      <x:c r="B38" s="76" t="n">
        <x:f>B32/B35</x:f>
        <x:v>0.47619047619047616</x:v>
      </x:c>
      <x:c r="C38" s="52"/>
      <x:c r="D38" s="66" t="str">
        <x:v>3,000 Cr未満</x:v>
      </x:c>
      <x:c r="E38" s="67" t="n">
        <x:f>COUNTIF('選手一覧'!$L$5:$L$304,"&lt;3000")</x:f>
        <x:v>15</x:v>
      </x:c>
      <x:c r="F38" s="68" t="str">
        <x:v>低コスト編成枠</x:v>
      </x:c>
    </x:row>
    <x:row r="39" ht="22" customHeight="1">
      <x:c r="A39" s="63" t="str">
        <x:v>最高額の最高峰上限比率</x:v>
      </x:c>
      <x:c r="B39" s="76" t="n">
        <x:f>B32/B37</x:f>
        <x:v>0.4166666666666667</x:v>
      </x:c>
      <x:c r="C39" s="52"/>
      <x:c r="D39" s="52"/>
      <x:c r="E39" s="52"/>
      <x:c r="F39" s="52"/>
    </x:row>
    <x:row r="40" ht="22" customHeight="1">
      <x:c r="A40" s="63" t="str">
        <x:v>次点との差</x:v>
      </x:c>
      <x:c r="B40" s="75" t="n">
        <x:f>B32-LARGE('選手一覧'!$L$5:$L$304,2)</x:f>
        <x:v>7000</x:v>
      </x:c>
      <x:c r="C40" s="52"/>
      <x:c r="D40" s="52"/>
      <x:c r="E40" s="52"/>
      <x:c r="F40" s="52"/>
    </x:row>
    <x:row r="41" ht="40" customHeight="1">
      <x:c r="A41" s="66" t="str">
        <x:v>検証判定</x:v>
      </x:c>
      <x:c r="B41" s="68" t="str">
        <x:v>15,000 Cr＋13,000 Crを同時採用すると残り6枠は20,000 Cr。二枚看板と支援層の配分が重要</x:v>
      </x:c>
      <x:c r="C41" s="52"/>
      <x:c r="D41" s="52"/>
      <x:c r="E41" s="52"/>
      <x:c r="F41" s="52"/>
    </x:row>
  </x:sheetData>
  <x:mergeCells>
    <x:mergeCell ref="A1:F1"/>
    <x:mergeCell ref="A2:F2"/>
    <x:mergeCell ref="A15:F15"/>
    <x:mergeCell ref="A25:F25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11" hidden="0" customWidth="1"/>
    <x:col min="5" max="5" width="17" hidden="0" customWidth="1"/>
    <x:col min="6" max="6" width="17" hidden="0" customWidth="1"/>
    <x:col min="7" max="7" width="12" hidden="0" customWidth="1"/>
    <x:col min="8" max="8" width="14" hidden="0" customWidth="1"/>
    <x:col min="9" max="9" width="28" hidden="0" customWidth="1"/>
    <x:col min="10" max="10" width="20" hidden="0" customWidth="1"/>
    <x:col min="11" max="11" width="30" hidden="0" customWidth="1"/>
    <x:col min="12" max="12" width="13" hidden="0" customWidth="1"/>
    <x:col min="13" max="13" width="48" hidden="0" customWidth="1"/>
    <x:col min="14" max="14" width="62" hidden="0" customWidth="1"/>
  </x:cols>
  <x:sheetData>
    <x:row r="1" ht="34" customHeight="1">
      <x:c r="A1" s="3" t="str">
        <x:v>初期選手300名 — 主脚質・副脚質 × 適性タグ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6" t="str">
        <x:v>主脚質は最も強く、副脚質は対応範囲を広げ、適性タグは第3脚質にせず局面の得意を最大3つまで表します。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二つ名</x:v>
      </x:c>
      <x:c r="D4" s="20" t="str">
        <x:v>国・地域</x:v>
      </x:c>
      <x:c r="E4" s="20" t="str">
        <x:v>現所属</x:v>
      </x:c>
      <x:c r="F4" s="20" t="str">
        <x:v>主脚質</x:v>
      </x:c>
      <x:c r="G4" s="20" t="str">
        <x:v>副脚質</x:v>
      </x:c>
      <x:c r="H4" s="20" t="str">
        <x:v>エース適性</x:v>
      </x:c>
      <x:c r="I4" s="20" t="str">
        <x:v>アシスト適性</x:v>
      </x:c>
      <x:c r="J4" s="20" t="str">
        <x:v>役割・戦術特性</x:v>
      </x:c>
      <x:c r="K4" s="20" t="str">
        <x:v>適性タグ</x:v>
      </x:c>
      <x:c r="L4" s="20" t="str">
        <x:v>Credit</x:v>
      </x:c>
      <x:c r="M4" s="20" t="str">
        <x:v>現役区分</x:v>
      </x:c>
      <x:c r="N4" s="16" t="str">
        <x:v>人物URL</x:v>
      </x:c>
    </x:row>
    <x:row r="5" ht="22" customHeight="1">
      <x:c r="A5" s="81" t="n">
        <x:v>1</x:v>
      </x:c>
      <x:c r="B5" s="81" t="str">
        <x:v>Tadej Pogacar</x:v>
      </x:c>
      <x:c r="C5" s="81" t="str">
        <x:v>新時代の皇帝</x:v>
      </x:c>
      <x:c r="D5" s="81" t="str">
        <x:v>スロベニア</x:v>
      </x:c>
      <x:c r="E5" s="81" t="str">
        <x:v>UAE Team Emirates XRG</x:v>
      </x:c>
      <x:c r="F5" s="81" t="str">
        <x:v>総合型</x:v>
      </x:c>
      <x:c r="G5" s="84" t="str">
        <x:v>パンチャー</x:v>
      </x:c>
      <x:c r="H5" s="84" t="n">
        <x:v>100</x:v>
      </x:c>
      <x:c r="I5" s="90" t="n">
        <x:v>83</x:v>
      </x:c>
      <x:c r="J5" s="90" t="str">
        <x:v>エース / 山岳賞ハンター / 超ロングスパート / サテライトライダー / 無賃乗車 / カウンターアタッカー</x:v>
      </x:c>
      <x:c r="K5" s="90" t="str">
        <x:v>パンチ力 / TT適性 / 日別回復</x:v>
      </x:c>
      <x:c r="L5" s="87" t="n">
        <x:v>20000</x:v>
      </x:c>
      <x:c r="M5" s="90" t="str">
        <x:v>現役確認済</x:v>
      </x:c>
      <x:c r="N5" s="90" t="str">
        <x:v>https://en.wikipedia.org/wiki/Special:Search?search=Tadej%20Pogacar%20cyclist</x:v>
      </x:c>
    </x:row>
    <x:row r="6" ht="22" customHeight="1">
      <x:c r="A6" s="82" t="n">
        <x:v>2</x:v>
      </x:c>
      <x:c r="B6" s="82" t="str">
        <x:v>Mathieu van der Poel</x:v>
      </x:c>
      <x:c r="C6" s="82" t="str">
        <x:v>虹色の暴君</x:v>
      </x:c>
      <x:c r="D6" s="82" t="str">
        <x:v>オランダ</x:v>
      </x:c>
      <x:c r="E6" s="82" t="str">
        <x:v>Alpecin–Premier Tech</x:v>
      </x:c>
      <x:c r="F6" s="82" t="str">
        <x:v>クラシック型</x:v>
      </x:c>
      <x:c r="G6" s="85" t="str">
        <x:v>パンチャー</x:v>
      </x:c>
      <x:c r="H6" s="85" t="n">
        <x:v>97</x:v>
      </x:c>
      <x:c r="I6" s="91" t="n">
        <x:v>76</x:v>
      </x:c>
      <x:c r="J6" s="91" t="str">
        <x:v>エース / リードアウト / 最終発射台 / 石畳護衛 / 横風要員 / 超ロングスパート / 無賃乗車</x:v>
      </x:c>
      <x:c r="K6" s="91" t="str">
        <x:v>バイクコントロール / 反復加速 / リードアウト</x:v>
      </x:c>
      <x:c r="L6" s="88" t="n">
        <x:v>13000</x:v>
      </x:c>
      <x:c r="M6" s="91" t="str">
        <x:v>現役確認済</x:v>
      </x:c>
      <x:c r="N6" s="91" t="str">
        <x:v>https://en.wikipedia.org/wiki/Special:Search?search=Mathieu%20van%20der%20Poel%20cyclist</x:v>
      </x:c>
    </x:row>
    <x:row r="7" ht="22" customHeight="1">
      <x:c r="A7" s="82" t="n">
        <x:v>3</x:v>
      </x:c>
      <x:c r="B7" s="82" t="str">
        <x:v>Paul Seixas</x:v>
      </x:c>
      <x:c r="C7" s="82" t="str"/>
      <x:c r="D7" s="82" t="str">
        <x:v>フランス</x:v>
      </x:c>
      <x:c r="E7" s="82" t="str">
        <x:v>Decathlon–CMA CGM</x:v>
      </x:c>
      <x:c r="F7" s="82" t="str">
        <x:v>総合型</x:v>
      </x:c>
      <x:c r="G7" s="85" t="str">
        <x:v>パンチャー</x:v>
      </x:c>
      <x:c r="H7" s="85" t="n">
        <x:v>94</x:v>
      </x:c>
      <x:c r="I7" s="91" t="n">
        <x:v>74</x:v>
      </x:c>
      <x:c r="J7" s="91" t="str">
        <x:v>エース / 集団コントローラー</x:v>
      </x:c>
      <x:c r="K7" s="91" t="str">
        <x:v>登坂力 / パンチ力 / 若手総合</x:v>
      </x:c>
      <x:c r="L7" s="88" t="n">
        <x:v>9300</x:v>
      </x:c>
      <x:c r="M7" s="91" t="str">
        <x:v>現役確認済</x:v>
      </x:c>
      <x:c r="N7" s="91" t="str">
        <x:v>https://en.wikipedia.org/wiki/Special:Search?search=Paul%20Seixas%20cyclist</x:v>
      </x:c>
    </x:row>
    <x:row r="8" ht="22" customHeight="1">
      <x:c r="A8" s="82" t="n">
        <x:v>4</x:v>
      </x:c>
      <x:c r="B8" s="82" t="str">
        <x:v>Isaac del Toro</x:v>
      </x:c>
      <x:c r="C8" s="82" t="str"/>
      <x:c r="D8" s="82" t="str">
        <x:v>メキシコ</x:v>
      </x:c>
      <x:c r="E8" s="82" t="str">
        <x:v>UAE Team Emirates XRG</x:v>
      </x:c>
      <x:c r="F8" s="82" t="str">
        <x:v>総合型</x:v>
      </x:c>
      <x:c r="G8" s="85" t="str">
        <x:v>パンチャー</x:v>
      </x:c>
      <x:c r="H8" s="85" t="n">
        <x:v>93</x:v>
      </x:c>
      <x:c r="I8" s="91" t="n">
        <x:v>75</x:v>
      </x:c>
      <x:c r="J8" s="91" t="str">
        <x:v>エース / 山岳番手</x:v>
      </x:c>
      <x:c r="K8" s="91" t="str">
        <x:v>登坂力 / パンチ力 / 若手総合</x:v>
      </x:c>
      <x:c r="L8" s="88" t="n">
        <x:v>9200</x:v>
      </x:c>
      <x:c r="M8" s="91" t="str">
        <x:v>現役確認済</x:v>
      </x:c>
      <x:c r="N8" s="91" t="str">
        <x:v>https://en.wikipedia.org/wiki/Special:Search?search=Isaac%20del%20Toro%20cyclist</x:v>
      </x:c>
    </x:row>
    <x:row r="9" ht="22" customHeight="1">
      <x:c r="A9" s="82" t="n">
        <x:v>5</x:v>
      </x:c>
      <x:c r="B9" s="82" t="str">
        <x:v>Jonas Vingegaard</x:v>
      </x:c>
      <x:c r="C9" s="82" t="str">
        <x:v>北海の山岳王</x:v>
      </x:c>
      <x:c r="D9" s="82" t="str">
        <x:v>デンマーク</x:v>
      </x:c>
      <x:c r="E9" s="82" t="str">
        <x:v>Visma–Lease a Bike</x:v>
      </x:c>
      <x:c r="F9" s="82" t="str">
        <x:v>総合型</x:v>
      </x:c>
      <x:c r="G9" s="85" t="str">
        <x:v>クライマー</x:v>
      </x:c>
      <x:c r="H9" s="85" t="n">
        <x:v>92</x:v>
      </x:c>
      <x:c r="I9" s="91" t="n">
        <x:v>74</x:v>
      </x:c>
      <x:c r="J9" s="91" t="str">
        <x:v>エース / 山岳賞ハンター / 山岳番手</x:v>
      </x:c>
      <x:c r="K9" s="91" t="str">
        <x:v>日別回復 / 登坂力</x:v>
      </x:c>
      <x:c r="L9" s="88" t="n">
        <x:v>13000</x:v>
      </x:c>
      <x:c r="M9" s="91" t="str">
        <x:v>現役確認済</x:v>
      </x:c>
      <x:c r="N9" s="91" t="str">
        <x:v>https://en.wikipedia.org/wiki/Special:Search?search=Jonas%20Vingegaard%20cyclist</x:v>
      </x:c>
    </x:row>
    <x:row r="10" ht="22" customHeight="1">
      <x:c r="A10" s="82" t="n">
        <x:v>6</x:v>
      </x:c>
      <x:c r="B10" s="82" t="str">
        <x:v>Wout van Aert</x:v>
      </x:c>
      <x:c r="C10" s="82" t="str">
        <x:v>万能の銀弾</x:v>
      </x:c>
      <x:c r="D10" s="82" t="str">
        <x:v>ベルギー</x:v>
      </x:c>
      <x:c r="E10" s="82" t="str">
        <x:v>Visma–Lease a Bike</x:v>
      </x:c>
      <x:c r="F10" s="82" t="str">
        <x:v>クラシック型</x:v>
      </x:c>
      <x:c r="G10" s="85" t="str">
        <x:v>パンチャー</x:v>
      </x:c>
      <x:c r="H10" s="85" t="n">
        <x:v>92</x:v>
      </x:c>
      <x:c r="I10" s="91" t="n">
        <x:v>90</x:v>
      </x:c>
      <x:c r="J10" s="91" t="str">
        <x:v>エース / TTスペシャリスト / 石畳護衛 / 横風要員 / 逃げ屋 / 超ロングスパート</x:v>
      </x:c>
      <x:c r="K10" s="91" t="str">
        <x:v>最高速 / TT適性 / ステージハンター</x:v>
      </x:c>
      <x:c r="L10" s="88" t="n">
        <x:v>12500</x:v>
      </x:c>
      <x:c r="M10" s="91" t="str">
        <x:v>現役確認済</x:v>
      </x:c>
      <x:c r="N10" s="91" t="str">
        <x:v>https://en.wikipedia.org/wiki/Special:Search?search=Wout%20van%20Aert%20cyclist</x:v>
      </x:c>
    </x:row>
    <x:row r="11" ht="22" customHeight="1">
      <x:c r="A11" s="82" t="n">
        <x:v>7</x:v>
      </x:c>
      <x:c r="B11" s="82" t="str">
        <x:v>Remco Evenepoel</x:v>
      </x:c>
      <x:c r="C11" s="82" t="str">
        <x:v>弾丸の天才</x:v>
      </x:c>
      <x:c r="D11" s="82" t="str">
        <x:v>ベルギー</x:v>
      </x:c>
      <x:c r="E11" s="82" t="str">
        <x:v>Red Bull–Bora–Hansgrohe</x:v>
      </x:c>
      <x:c r="F11" s="82" t="str">
        <x:v>総合型</x:v>
      </x:c>
      <x:c r="G11" s="85" t="str">
        <x:v>TT・ルーラー型</x:v>
      </x:c>
      <x:c r="H11" s="85" t="n">
        <x:v>92</x:v>
      </x:c>
      <x:c r="I11" s="91" t="n">
        <x:v>76</x:v>
      </x:c>
      <x:c r="J11" s="91" t="str">
        <x:v>エース / TTスペシャリスト / 山岳番手 / 超ロングスパート</x:v>
      </x:c>
      <x:c r="K11" s="91" t="str">
        <x:v>日別回復 / TT適性</x:v>
      </x:c>
      <x:c r="L11" s="88" t="n">
        <x:v>12500</x:v>
      </x:c>
      <x:c r="M11" s="91" t="str">
        <x:v>現役確認済</x:v>
      </x:c>
      <x:c r="N11" s="91" t="str">
        <x:v>https://en.wikipedia.org/wiki/Special:Search?search=Remco%20Evenepoel%20cyclist</x:v>
      </x:c>
    </x:row>
    <x:row r="12" ht="22" customHeight="1">
      <x:c r="A12" s="82" t="n">
        <x:v>8</x:v>
      </x:c>
      <x:c r="B12" s="82" t="str">
        <x:v>Primoz Roglic</x:v>
      </x:c>
      <x:c r="C12" s="82" t="str">
        <x:v>不屈の跳躍者</x:v>
      </x:c>
      <x:c r="D12" s="82" t="str">
        <x:v>スロベニア</x:v>
      </x:c>
      <x:c r="E12" s="82" t="str">
        <x:v>Red Bull–Bora–Hansgrohe</x:v>
      </x:c>
      <x:c r="F12" s="82" t="str">
        <x:v>総合型</x:v>
      </x:c>
      <x:c r="G12" s="85" t="str">
        <x:v>パンチャー</x:v>
      </x:c>
      <x:c r="H12" s="85" t="n">
        <x:v>92</x:v>
      </x:c>
      <x:c r="I12" s="91" t="n">
        <x:v>74</x:v>
      </x:c>
      <x:c r="J12" s="91" t="str">
        <x:v>エース / 逃げ屋</x:v>
      </x:c>
      <x:c r="K12" s="91" t="str">
        <x:v>日別回復 / 反復加速</x:v>
      </x:c>
      <x:c r="L12" s="88" t="n">
        <x:v>10550</x:v>
      </x:c>
      <x:c r="M12" s="91" t="str">
        <x:v>現役確認済</x:v>
      </x:c>
      <x:c r="N12" s="91" t="str">
        <x:v>https://en.wikipedia.org/wiki/Special:Search?search=Primoz%20Roglic%20cyclist</x:v>
      </x:c>
    </x:row>
    <x:row r="13" ht="22" customHeight="1">
      <x:c r="A13" s="82" t="n">
        <x:v>9</x:v>
      </x:c>
      <x:c r="B13" s="82" t="str">
        <x:v>Julian Alaphilippe</x:v>
      </x:c>
      <x:c r="C13" s="82" t="str">
        <x:v>虹色の踊り子</x:v>
      </x:c>
      <x:c r="D13" s="82" t="str">
        <x:v>フランス</x:v>
      </x:c>
      <x:c r="E13" s="82" t="str">
        <x:v>Tudor Pro Cycling Team</x:v>
      </x:c>
      <x:c r="F13" s="82" t="str">
        <x:v>パンチャー</x:v>
      </x:c>
      <x:c r="G13" s="85" t="str">
        <x:v>クライマー</x:v>
      </x:c>
      <x:c r="H13" s="85" t="n">
        <x:v>91</x:v>
      </x:c>
      <x:c r="I13" s="91" t="n">
        <x:v>67</x:v>
      </x:c>
      <x:c r="J13" s="91" t="str">
        <x:v>エース / ステージハンター / 山岳賞ハンター / 下り牽引 / 逃げ屋 / 超ロングスパート</x:v>
      </x:c>
      <x:c r="K13" s="91" t="str">
        <x:v>パンチ力 / 登坂力 / ステージハンター</x:v>
      </x:c>
      <x:c r="L13" s="88" t="n">
        <x:v>10000</x:v>
      </x:c>
      <x:c r="M13" s="91" t="str">
        <x:v>現役確認済</x:v>
      </x:c>
      <x:c r="N13" s="91" t="str">
        <x:v>https://en.wikipedia.org/wiki/Special:Search?search=Julian%20Alaphilippe%20cyclist</x:v>
      </x:c>
    </x:row>
    <x:row r="14" ht="22" customHeight="1">
      <x:c r="A14" s="82" t="n">
        <x:v>10</x:v>
      </x:c>
      <x:c r="B14" s="82" t="str">
        <x:v>Jasper Philipsen</x:v>
      </x:c>
      <x:c r="C14" s="82" t="str"/>
      <x:c r="D14" s="82" t="str">
        <x:v>ベルギー</x:v>
      </x:c>
      <x:c r="E14" s="82" t="str">
        <x:v>Alpecin–Premier Tech</x:v>
      </x:c>
      <x:c r="F14" s="82" t="str">
        <x:v>スプリンター</x:v>
      </x:c>
      <x:c r="G14" s="85" t="str">
        <x:v>クラシック型</x:v>
      </x:c>
      <x:c r="H14" s="85" t="n">
        <x:v>90</x:v>
      </x:c>
      <x:c r="I14" s="91" t="n">
        <x:v>69</x:v>
      </x:c>
      <x:c r="J14" s="91" t="str">
        <x:v>エース / ステージハンター / リードアウト / 最終発射台 / 無賃乗車</x:v>
      </x:c>
      <x:c r="K14" s="91" t="str">
        <x:v>最高速 / 位置取り / クラシックスプリント</x:v>
      </x:c>
      <x:c r="L14" s="88" t="n">
        <x:v>9150</x:v>
      </x:c>
      <x:c r="M14" s="91" t="str">
        <x:v>現役確認済</x:v>
      </x:c>
      <x:c r="N14" s="91" t="str">
        <x:v>https://en.wikipedia.org/wiki/Special:Search?search=Jasper%20Philipsen%20cyclist</x:v>
      </x:c>
    </x:row>
    <x:row r="15" ht="22" customHeight="1">
      <x:c r="A15" s="82" t="n">
        <x:v>11</x:v>
      </x:c>
      <x:c r="B15" s="82" t="str">
        <x:v>Filippo Ganna</x:v>
      </x:c>
      <x:c r="C15" s="82" t="str">
        <x:v>蒼きトップギア</x:v>
      </x:c>
      <x:c r="D15" s="82" t="str">
        <x:v>イタリア</x:v>
      </x:c>
      <x:c r="E15" s="82" t="str">
        <x:v>Netcompany INEOS Cycling Team</x:v>
      </x:c>
      <x:c r="F15" s="82" t="str">
        <x:v>TT・ルーラー型</x:v>
      </x:c>
      <x:c r="G15" s="85" t="str">
        <x:v>クラシック型</x:v>
      </x:c>
      <x:c r="H15" s="85" t="n">
        <x:v>88</x:v>
      </x:c>
      <x:c r="I15" s="91" t="n">
        <x:v>78</x:v>
      </x:c>
      <x:c r="J15" s="91" t="str">
        <x:v>エース / TTスペシャリスト / ブレイクアウェイキラー / ポジションキーパー</x:v>
      </x:c>
      <x:c r="K15" s="91" t="str">
        <x:v>巡航力 / 悪路耐性</x:v>
      </x:c>
      <x:c r="L15" s="88" t="n">
        <x:v>10650</x:v>
      </x:c>
      <x:c r="M15" s="91" t="str">
        <x:v>現役確認済</x:v>
      </x:c>
      <x:c r="N15" s="91" t="str">
        <x:v>https://en.wikipedia.org/wiki/Special:Search?search=Filippo%20Ganna%20cyclist</x:v>
      </x:c>
    </x:row>
    <x:row r="16" ht="22" customHeight="1">
      <x:c r="A16" s="82" t="n">
        <x:v>12</x:v>
      </x:c>
      <x:c r="B16" s="82" t="str">
        <x:v>Egan Bernal</x:v>
      </x:c>
      <x:c r="C16" s="82" t="str">
        <x:v>アンデスの若き王</x:v>
      </x:c>
      <x:c r="D16" s="82" t="str">
        <x:v>コロンビア</x:v>
      </x:c>
      <x:c r="E16" s="82" t="str">
        <x:v>Netcompany INEOS Cycling Team</x:v>
      </x:c>
      <x:c r="F16" s="82" t="str">
        <x:v>総合型</x:v>
      </x:c>
      <x:c r="G16" s="85" t="str">
        <x:v>クライマー</x:v>
      </x:c>
      <x:c r="H16" s="85" t="n">
        <x:v>88</x:v>
      </x:c>
      <x:c r="I16" s="91" t="n">
        <x:v>71</x:v>
      </x:c>
      <x:c r="J16" s="91" t="str">
        <x:v>エース / 山岳賞ハンター / 山岳アシスト</x:v>
      </x:c>
      <x:c r="K16" s="91" t="str">
        <x:v>日別回復 / 登坂力</x:v>
      </x:c>
      <x:c r="L16" s="88" t="n">
        <x:v>9350</x:v>
      </x:c>
      <x:c r="M16" s="91" t="str">
        <x:v>現役確認済</x:v>
      </x:c>
      <x:c r="N16" s="91" t="str">
        <x:v>https://en.wikipedia.org/wiki/Special:Search?search=Egan%20Bernal%20cyclist</x:v>
      </x:c>
    </x:row>
    <x:row r="17" ht="22" customHeight="1">
      <x:c r="A17" s="82" t="n">
        <x:v>13</x:v>
      </x:c>
      <x:c r="B17" s="82" t="str">
        <x:v>Jonathan Milan</x:v>
      </x:c>
      <x:c r="C17" s="82" t="str"/>
      <x:c r="D17" s="82" t="str">
        <x:v>イタリア</x:v>
      </x:c>
      <x:c r="E17" s="82" t="str">
        <x:v>Lidl–Trek</x:v>
      </x:c>
      <x:c r="F17" s="82" t="str">
        <x:v>スプリンター</x:v>
      </x:c>
      <x:c r="G17" s="85" t="str">
        <x:v>TT・ルーラー型</x:v>
      </x:c>
      <x:c r="H17" s="85" t="n">
        <x:v>88</x:v>
      </x:c>
      <x:c r="I17" s="91" t="n">
        <x:v>73</x:v>
      </x:c>
      <x:c r="J17" s="91" t="str">
        <x:v>エース / リードアウト / 最終発射台 / 無賃乗車</x:v>
      </x:c>
      <x:c r="K17" s="91" t="str">
        <x:v>最高速 / リードアウト / TT適性</x:v>
      </x:c>
      <x:c r="L17" s="88" t="n">
        <x:v>8500</x:v>
      </x:c>
      <x:c r="M17" s="91" t="str">
        <x:v>現役確認済</x:v>
      </x:c>
      <x:c r="N17" s="91" t="str">
        <x:v>https://en.wikipedia.org/wiki/Special:Search?search=Jonathan%20Milan%20cyclist</x:v>
      </x:c>
    </x:row>
    <x:row r="18" ht="22" customHeight="1">
      <x:c r="A18" s="82" t="n">
        <x:v>14</x:v>
      </x:c>
      <x:c r="B18" s="82" t="str">
        <x:v>Biniam Girmay</x:v>
      </x:c>
      <x:c r="C18" s="82" t="str"/>
      <x:c r="D18" s="82" t="str">
        <x:v>エリトリア</x:v>
      </x:c>
      <x:c r="E18" s="82" t="str">
        <x:v>NSN Cycling Team</x:v>
      </x:c>
      <x:c r="F18" s="82" t="str">
        <x:v>スプリンター</x:v>
      </x:c>
      <x:c r="G18" s="85" t="str">
        <x:v>パンチャー</x:v>
      </x:c>
      <x:c r="H18" s="85" t="n">
        <x:v>88</x:v>
      </x:c>
      <x:c r="I18" s="91" t="n">
        <x:v>72</x:v>
      </x:c>
      <x:c r="J18" s="91" t="str">
        <x:v>エース / ステージハンター / リードアウト / 最終発射台</x:v>
      </x:c>
      <x:c r="K18" s="91" t="str">
        <x:v>最高速 / パンチ力 / 石畳</x:v>
      </x:c>
      <x:c r="L18" s="88" t="n">
        <x:v>8350</x:v>
      </x:c>
      <x:c r="M18" s="91" t="str">
        <x:v>現役確認済</x:v>
      </x:c>
      <x:c r="N18" s="91" t="str">
        <x:v>https://en.wikipedia.org/wiki/Special:Search?search=Biniam%20Girmay%20cyclist</x:v>
      </x:c>
    </x:row>
    <x:row r="19" ht="22" customHeight="1">
      <x:c r="A19" s="82" t="n">
        <x:v>15</x:v>
      </x:c>
      <x:c r="B19" s="82" t="str">
        <x:v>Arnaud De Lie</x:v>
      </x:c>
      <x:c r="C19" s="82" t="str"/>
      <x:c r="D19" s="82" t="str">
        <x:v>ベルギー</x:v>
      </x:c>
      <x:c r="E19" s="82" t="str">
        <x:v>Lotto–Intermarché</x:v>
      </x:c>
      <x:c r="F19" s="82" t="str">
        <x:v>パンチャー</x:v>
      </x:c>
      <x:c r="G19" s="85" t="str">
        <x:v>スプリンター</x:v>
      </x:c>
      <x:c r="H19" s="85" t="n">
        <x:v>87</x:v>
      </x:c>
      <x:c r="I19" s="91" t="n">
        <x:v>72</x:v>
      </x:c>
      <x:c r="J19" s="91" t="str">
        <x:v>エース / ステージハンター / スプリントトレイン / 下り牽引</x:v>
      </x:c>
      <x:c r="K19" s="91" t="str">
        <x:v>パンチ力 / 最高速 / 悪路耐性</x:v>
      </x:c>
      <x:c r="L19" s="88" t="n">
        <x:v>8350</x:v>
      </x:c>
      <x:c r="M19" s="91" t="str">
        <x:v>現役確認済</x:v>
      </x:c>
      <x:c r="N19" s="91" t="str">
        <x:v>https://en.wikipedia.org/wiki/Special:Search?search=Arnaud%20De%20Lie%20cyclist</x:v>
      </x:c>
    </x:row>
    <x:row r="20" ht="22" customHeight="1">
      <x:c r="A20" s="82" t="n">
        <x:v>16</x:v>
      </x:c>
      <x:c r="B20" s="82" t="str">
        <x:v>Juan Ayuso</x:v>
      </x:c>
      <x:c r="C20" s="82" t="str"/>
      <x:c r="D20" s="82" t="str">
        <x:v>スペイン</x:v>
      </x:c>
      <x:c r="E20" s="82" t="str">
        <x:v>Lidl–Trek</x:v>
      </x:c>
      <x:c r="F20" s="82" t="str">
        <x:v>総合型</x:v>
      </x:c>
      <x:c r="G20" s="85" t="str">
        <x:v>パンチャー</x:v>
      </x:c>
      <x:c r="H20" s="85" t="n">
        <x:v>87</x:v>
      </x:c>
      <x:c r="I20" s="91" t="n">
        <x:v>73</x:v>
      </x:c>
      <x:c r="J20" s="91" t="str">
        <x:v>エース / 山岳番手</x:v>
      </x:c>
      <x:c r="K20" s="91" t="str">
        <x:v>登坂力 / パンチ力 / ステージハンター</x:v>
      </x:c>
      <x:c r="L20" s="88" t="n">
        <x:v>8150</x:v>
      </x:c>
      <x:c r="M20" s="91" t="str">
        <x:v>現役確認済</x:v>
      </x:c>
      <x:c r="N20" s="91" t="str">
        <x:v>https://en.wikipedia.org/wiki/Special:Search?search=Juan%20Ayuso%20cyclist</x:v>
      </x:c>
    </x:row>
    <x:row r="21" ht="22" customHeight="1">
      <x:c r="A21" s="82" t="n">
        <x:v>17</x:v>
      </x:c>
      <x:c r="B21" s="82" t="str">
        <x:v>Olav Kooij</x:v>
      </x:c>
      <x:c r="C21" s="82" t="str"/>
      <x:c r="D21" s="82" t="str">
        <x:v>オランダ</x:v>
      </x:c>
      <x:c r="E21" s="82" t="str">
        <x:v>Decathlon–CMA CGM</x:v>
      </x:c>
      <x:c r="F21" s="82" t="str">
        <x:v>スプリンター</x:v>
      </x:c>
      <x:c r="G21" s="85" t="str">
        <x:v>TT・ルーラー型</x:v>
      </x:c>
      <x:c r="H21" s="85" t="n">
        <x:v>87</x:v>
      </x:c>
      <x:c r="I21" s="91" t="n">
        <x:v>72</x:v>
      </x:c>
      <x:c r="J21" s="91" t="str">
        <x:v>エース / リードアウト / 最終発射台 / 下り牽引 / 無賃乗車</x:v>
      </x:c>
      <x:c r="K21" s="91" t="str">
        <x:v>最高速 / 位置取り / 集団スプリント</x:v>
      </x:c>
      <x:c r="L21" s="88" t="n">
        <x:v>7950</x:v>
      </x:c>
      <x:c r="M21" s="91" t="str">
        <x:v>現役確認済</x:v>
      </x:c>
      <x:c r="N21" s="91" t="str">
        <x:v>https://en.wikipedia.org/wiki/Special:Search?search=Olav%20Kooij%20cyclist</x:v>
      </x:c>
    </x:row>
    <x:row r="22" ht="22" customHeight="1">
      <x:c r="A22" s="82" t="n">
        <x:v>18</x:v>
      </x:c>
      <x:c r="B22" s="82" t="str">
        <x:v>Alberto Bettiol</x:v>
      </x:c>
      <x:c r="C22" s="82" t="str"/>
      <x:c r="D22" s="82" t="str">
        <x:v>イタリア</x:v>
      </x:c>
      <x:c r="E22" s="82" t="str">
        <x:v>XDS Astana Team</x:v>
      </x:c>
      <x:c r="F22" s="82" t="str">
        <x:v>クラシック型</x:v>
      </x:c>
      <x:c r="G22" s="85" t="str">
        <x:v>パンチャー</x:v>
      </x:c>
      <x:c r="H22" s="85" t="n">
        <x:v>86</x:v>
      </x:c>
      <x:c r="I22" s="91" t="n">
        <x:v>77</x:v>
      </x:c>
      <x:c r="J22" s="91" t="str">
        <x:v>エース / 石畳護衛 / ブリッジャー / カウンターアタッカー / 横風分断</x:v>
      </x:c>
      <x:c r="K22" s="91" t="str">
        <x:v>石畳 / パンチ力 / 単独走</x:v>
      </x:c>
      <x:c r="L22" s="88" t="n">
        <x:v>9000</x:v>
      </x:c>
      <x:c r="M22" s="91" t="str">
        <x:v>現役確認済</x:v>
      </x:c>
      <x:c r="N22" s="91" t="str">
        <x:v>https://en.wikipedia.org/wiki/Special:Search?search=Alberto%20Bettiol%20cyclist</x:v>
      </x:c>
    </x:row>
    <x:row r="23" ht="22" customHeight="1">
      <x:c r="A23" s="82" t="n">
        <x:v>19</x:v>
      </x:c>
      <x:c r="B23" s="82" t="str">
        <x:v>Tim Wellens</x:v>
      </x:c>
      <x:c r="C23" s="82" t="str"/>
      <x:c r="D23" s="82" t="str">
        <x:v>ベルギー</x:v>
      </x:c>
      <x:c r="E23" s="82" t="str">
        <x:v>UAE Team Emirates XRG</x:v>
      </x:c>
      <x:c r="F23" s="82" t="str">
        <x:v>パンチャー</x:v>
      </x:c>
      <x:c r="G23" s="85" t="str">
        <x:v>クラシック型</x:v>
      </x:c>
      <x:c r="H23" s="85" t="n">
        <x:v>86</x:v>
      </x:c>
      <x:c r="I23" s="91" t="n">
        <x:v>71</x:v>
      </x:c>
      <x:c r="J23" s="91" t="str">
        <x:v>エース / ステージハンター / カウンターアタッカー</x:v>
      </x:c>
      <x:c r="K23" s="91" t="str">
        <x:v>パンチ力 / 悪天候 / 逃げ屋</x:v>
      </x:c>
      <x:c r="L23" s="88" t="n">
        <x:v>8500</x:v>
      </x:c>
      <x:c r="M23" s="91" t="str">
        <x:v>現役確認済</x:v>
      </x:c>
      <x:c r="N23" s="91" t="str">
        <x:v>https://en.wikipedia.org/wiki/Special:Search?search=Tim%20Wellens%20cyclist</x:v>
      </x:c>
    </x:row>
    <x:row r="24" ht="22" customHeight="1">
      <x:c r="A24" s="82" t="n">
        <x:v>20</x:v>
      </x:c>
      <x:c r="B24" s="82" t="str">
        <x:v>Mattias Skjelmose</x:v>
      </x:c>
      <x:c r="C24" s="82" t="str"/>
      <x:c r="D24" s="82" t="str">
        <x:v>デンマーク</x:v>
      </x:c>
      <x:c r="E24" s="82" t="str">
        <x:v>Lidl–Trek</x:v>
      </x:c>
      <x:c r="F24" s="82" t="str">
        <x:v>パンチャー</x:v>
      </x:c>
      <x:c r="G24" s="85" t="str">
        <x:v>総合型</x:v>
      </x:c>
      <x:c r="H24" s="85" t="n">
        <x:v>86</x:v>
      </x:c>
      <x:c r="I24" s="91" t="n">
        <x:v>71</x:v>
      </x:c>
      <x:c r="J24" s="91" t="str">
        <x:v>エース / ステージハンター / 集団コントローラー / カウンターアタッカー</x:v>
      </x:c>
      <x:c r="K24" s="91" t="str">
        <x:v>パンチ力 / 総合安定 / TT適性</x:v>
      </x:c>
      <x:c r="L24" s="88" t="n">
        <x:v>8000</x:v>
      </x:c>
      <x:c r="M24" s="91" t="str">
        <x:v>現役確認済</x:v>
      </x:c>
      <x:c r="N24" s="91" t="str">
        <x:v>https://en.wikipedia.org/wiki/Special:Search?search=Mattias%20Skjelmose%20cyclist</x:v>
      </x:c>
    </x:row>
    <x:row r="25" ht="22" customHeight="1">
      <x:c r="A25" s="82" t="n">
        <x:v>21</x:v>
      </x:c>
      <x:c r="B25" s="82" t="str">
        <x:v>Kaden Groves</x:v>
      </x:c>
      <x:c r="C25" s="82" t="str"/>
      <x:c r="D25" s="82" t="str">
        <x:v>オーストラリア</x:v>
      </x:c>
      <x:c r="E25" s="82" t="str">
        <x:v>Alpecin–Premier Tech</x:v>
      </x:c>
      <x:c r="F25" s="82" t="str">
        <x:v>スプリンター</x:v>
      </x:c>
      <x:c r="G25" s="85" t="str">
        <x:v>クラシック型</x:v>
      </x:c>
      <x:c r="H25" s="85" t="n">
        <x:v>86</x:v>
      </x:c>
      <x:c r="I25" s="91" t="n">
        <x:v>70</x:v>
      </x:c>
      <x:c r="J25" s="91" t="str">
        <x:v>エース / リードアウト / 最終発射台 / 下り牽引</x:v>
      </x:c>
      <x:c r="K25" s="91" t="str">
        <x:v>最高速 / 悪路耐性 / 反復スプリント</x:v>
      </x:c>
      <x:c r="L25" s="88" t="n">
        <x:v>7950</x:v>
      </x:c>
      <x:c r="M25" s="91" t="str">
        <x:v>現役確認済</x:v>
      </x:c>
      <x:c r="N25" s="91" t="str">
        <x:v>https://en.wikipedia.org/wiki/Special:Search?search=Kaden%20Groves%20cyclist</x:v>
      </x:c>
    </x:row>
    <x:row r="26" ht="22" customHeight="1">
      <x:c r="A26" s="82" t="n">
        <x:v>22</x:v>
      </x:c>
      <x:c r="B26" s="82" t="str">
        <x:v>Fabio Jakobsen</x:v>
      </x:c>
      <x:c r="C26" s="82" t="str"/>
      <x:c r="D26" s="82" t="str">
        <x:v>オランダ</x:v>
      </x:c>
      <x:c r="E26" s="82" t="str">
        <x:v>Team Picnic–PostNL</x:v>
      </x:c>
      <x:c r="F26" s="82" t="str">
        <x:v>スプリンター</x:v>
      </x:c>
      <x:c r="G26" s="85" t="str">
        <x:v>クラシック型</x:v>
      </x:c>
      <x:c r="H26" s="85" t="n">
        <x:v>86</x:v>
      </x:c>
      <x:c r="I26" s="91" t="n">
        <x:v>70</x:v>
      </x:c>
      <x:c r="J26" s="91" t="str">
        <x:v>エース / リードアウト / 最終発射台 / スプリントトレイン</x:v>
      </x:c>
      <x:c r="K26" s="91" t="str">
        <x:v>最高速 / 集団スプリント / 勝負強さ</x:v>
      </x:c>
      <x:c r="L26" s="88" t="n">
        <x:v>7450</x:v>
      </x:c>
      <x:c r="M26" s="91" t="str">
        <x:v>現役確認済</x:v>
      </x:c>
      <x:c r="N26" s="91" t="str">
        <x:v>https://en.wikipedia.org/wiki/Special:Search?search=Fabio%20Jakobsen%20cyclist</x:v>
      </x:c>
    </x:row>
    <x:row r="27" ht="22" customHeight="1">
      <x:c r="A27" s="82" t="n">
        <x:v>23</x:v>
      </x:c>
      <x:c r="B27" s="82" t="str">
        <x:v>Tom Pidcock</x:v>
      </x:c>
      <x:c r="C27" s="82" t="str"/>
      <x:c r="D27" s="82" t="str">
        <x:v>イギリス</x:v>
      </x:c>
      <x:c r="E27" s="82" t="str">
        <x:v>Pinarello–Q36.5 Pro Cycling Team</x:v>
      </x:c>
      <x:c r="F27" s="82" t="str">
        <x:v>クラシック型</x:v>
      </x:c>
      <x:c r="G27" s="85" t="str">
        <x:v>パンチャー</x:v>
      </x:c>
      <x:c r="H27" s="85" t="n">
        <x:v>86</x:v>
      </x:c>
      <x:c r="I27" s="91" t="n">
        <x:v>77</x:v>
      </x:c>
      <x:c r="J27" s="91" t="str">
        <x:v>エース / 石畳護衛 / 逃げ屋 / カウンターアタッカー / 横風分断 / 無賃乗車</x:v>
      </x:c>
      <x:c r="K27" s="91" t="str">
        <x:v>パンチ力 / バイクコントロール / 下り</x:v>
      </x:c>
      <x:c r="L27" s="88" t="n">
        <x:v>7350</x:v>
      </x:c>
      <x:c r="M27" s="91" t="str">
        <x:v>現役確認済</x:v>
      </x:c>
      <x:c r="N27" s="91" t="str">
        <x:v>https://en.wikipedia.org/wiki/Special:Search?search=Tom%20Pidcock%20cyclist</x:v>
      </x:c>
    </x:row>
    <x:row r="28" ht="22" customHeight="1">
      <x:c r="A28" s="82" t="n">
        <x:v>24</x:v>
      </x:c>
      <x:c r="B28" s="82" t="str">
        <x:v>Jasper Stuyven</x:v>
      </x:c>
      <x:c r="C28" s="82" t="str"/>
      <x:c r="D28" s="82" t="str">
        <x:v>ベルギー</x:v>
      </x:c>
      <x:c r="E28" s="82" t="str">
        <x:v>Soudal–Quick-Step</x:v>
      </x:c>
      <x:c r="F28" s="82" t="str">
        <x:v>クラシック型</x:v>
      </x:c>
      <x:c r="G28" s="85" t="str">
        <x:v>スプリンター</x:v>
      </x:c>
      <x:c r="H28" s="85" t="n">
        <x:v>85</x:v>
      </x:c>
      <x:c r="I28" s="91" t="n">
        <x:v>77</x:v>
      </x:c>
      <x:c r="J28" s="91" t="str">
        <x:v>エース / スプリントトレイン / 石畳護衛 / 横風要員</x:v>
      </x:c>
      <x:c r="K28" s="91" t="str">
        <x:v>石畳 / 長距離耐久 / 逃げ屋</x:v>
      </x:c>
      <x:c r="L28" s="88" t="n">
        <x:v>8850</x:v>
      </x:c>
      <x:c r="M28" s="91" t="str">
        <x:v>現役確認済</x:v>
      </x:c>
      <x:c r="N28" s="91" t="str">
        <x:v>https://en.wikipedia.org/wiki/Special:Search?search=Jasper%20Stuyven%20cyclist</x:v>
      </x:c>
    </x:row>
    <x:row r="29" ht="22" customHeight="1">
      <x:c r="A29" s="82" t="n">
        <x:v>25</x:v>
      </x:c>
      <x:c r="B29" s="82" t="str">
        <x:v>Warren Barguil</x:v>
      </x:c>
      <x:c r="C29" s="82" t="str"/>
      <x:c r="D29" s="82" t="str">
        <x:v>フランス</x:v>
      </x:c>
      <x:c r="E29" s="82" t="str">
        <x:v>Team Picnic–PostNL</x:v>
      </x:c>
      <x:c r="F29" s="82" t="str">
        <x:v>クライマー</x:v>
      </x:c>
      <x:c r="G29" s="85" t="str">
        <x:v>パンチャー</x:v>
      </x:c>
      <x:c r="H29" s="85" t="n">
        <x:v>85</x:v>
      </x:c>
      <x:c r="I29" s="91" t="n">
        <x:v>73</x:v>
      </x:c>
      <x:c r="J29" s="91" t="str">
        <x:v>エース / 山岳アシスト / 山岳番手</x:v>
      </x:c>
      <x:c r="K29" s="91" t="str">
        <x:v>登坂力 / 山岳賞 / 逃げ屋</x:v>
      </x:c>
      <x:c r="L29" s="88" t="n">
        <x:v>7650</x:v>
      </x:c>
      <x:c r="M29" s="91" t="str">
        <x:v>現役確認済</x:v>
      </x:c>
      <x:c r="N29" s="91" t="str">
        <x:v>https://en.wikipedia.org/wiki/Special:Search?search=Warren%20Barguil%20cyclist</x:v>
      </x:c>
    </x:row>
    <x:row r="30" ht="22" customHeight="1">
      <x:c r="A30" s="82" t="n">
        <x:v>26</x:v>
      </x:c>
      <x:c r="B30" s="82" t="str">
        <x:v>Maxim Van Gils</x:v>
      </x:c>
      <x:c r="C30" s="82" t="str"/>
      <x:c r="D30" s="82" t="str">
        <x:v>ベルギー</x:v>
      </x:c>
      <x:c r="E30" s="82" t="str">
        <x:v>Red Bull–Bora–Hansgrohe</x:v>
      </x:c>
      <x:c r="F30" s="82" t="str">
        <x:v>パンチャー</x:v>
      </x:c>
      <x:c r="G30" s="85" t="str">
        <x:v>クライマー</x:v>
      </x:c>
      <x:c r="H30" s="85" t="n">
        <x:v>85</x:v>
      </x:c>
      <x:c r="I30" s="91" t="n">
        <x:v>71</x:v>
      </x:c>
      <x:c r="J30" s="91" t="str">
        <x:v>エース / ステージハンター / 山岳賞ハンター</x:v>
      </x:c>
      <x:c r="K30" s="91" t="str">
        <x:v>パンチ力 / 登坂力 / 急坂</x:v>
      </x:c>
      <x:c r="L30" s="88" t="n">
        <x:v>7400</x:v>
      </x:c>
      <x:c r="M30" s="91" t="str">
        <x:v>現役確認済</x:v>
      </x:c>
      <x:c r="N30" s="91" t="str">
        <x:v>https://en.wikipedia.org/wiki/Special:Search?search=Maxim%20Van%20Gils%20cyclist</x:v>
      </x:c>
    </x:row>
    <x:row r="31" ht="22" customHeight="1">
      <x:c r="A31" s="82" t="n">
        <x:v>27</x:v>
      </x:c>
      <x:c r="B31" s="82" t="str">
        <x:v>Pascal Ackermann</x:v>
      </x:c>
      <x:c r="C31" s="82" t="str"/>
      <x:c r="D31" s="82" t="str">
        <x:v>ドイツ</x:v>
      </x:c>
      <x:c r="E31" s="82" t="str">
        <x:v>Team Jayco–AlUla</x:v>
      </x:c>
      <x:c r="F31" s="82" t="str">
        <x:v>スプリンター</x:v>
      </x:c>
      <x:c r="G31" s="85" t="str">
        <x:v>TT・ルーラー型</x:v>
      </x:c>
      <x:c r="H31" s="85" t="n">
        <x:v>85</x:v>
      </x:c>
      <x:c r="I31" s="91" t="n">
        <x:v>70</x:v>
      </x:c>
      <x:c r="J31" s="91" t="str">
        <x:v>エース / リードアウト / 最終発射台</x:v>
      </x:c>
      <x:c r="K31" s="91" t="str">
        <x:v>最高速 / 反復スプリント / 巡航力</x:v>
      </x:c>
      <x:c r="L31" s="88" t="n">
        <x:v>7050</x:v>
      </x:c>
      <x:c r="M31" s="91" t="str">
        <x:v>現役確認済</x:v>
      </x:c>
      <x:c r="N31" s="91" t="str">
        <x:v>https://en.wikipedia.org/wiki/Special:Search?search=Pascal%20Ackermann%20cyclist</x:v>
      </x:c>
    </x:row>
    <x:row r="32" ht="22" customHeight="1">
      <x:c r="A32" s="82" t="n">
        <x:v>28</x:v>
      </x:c>
      <x:c r="B32" s="82" t="str">
        <x:v>Giulio Ciccone</x:v>
      </x:c>
      <x:c r="C32" s="82" t="str"/>
      <x:c r="D32" s="82" t="str">
        <x:v>イタリア</x:v>
      </x:c>
      <x:c r="E32" s="82" t="str">
        <x:v>Lidl–Trek</x:v>
      </x:c>
      <x:c r="F32" s="82" t="str">
        <x:v>クライマー</x:v>
      </x:c>
      <x:c r="G32" s="85" t="str">
        <x:v>パンチャー</x:v>
      </x:c>
      <x:c r="H32" s="85" t="n">
        <x:v>84</x:v>
      </x:c>
      <x:c r="I32" s="91" t="n">
        <x:v>75</x:v>
      </x:c>
      <x:c r="J32" s="91" t="str">
        <x:v>エース / 山岳アシスト / 山岳ペースメーカー</x:v>
      </x:c>
      <x:c r="K32" s="91" t="str">
        <x:v>登坂力 / 山岳賞 / ステージハンター</x:v>
      </x:c>
      <x:c r="L32" s="88" t="n">
        <x:v>8200</x:v>
      </x:c>
      <x:c r="M32" s="91" t="str">
        <x:v>現役確認済</x:v>
      </x:c>
      <x:c r="N32" s="91" t="str">
        <x:v>https://en.wikipedia.org/wiki/Special:Search?search=Giulio%20Ciccone%20cyclist</x:v>
      </x:c>
    </x:row>
    <x:row r="33" ht="22" customHeight="1">
      <x:c r="A33" s="82" t="n">
        <x:v>29</x:v>
      </x:c>
      <x:c r="B33" s="82" t="str">
        <x:v>Jai Hindley</x:v>
      </x:c>
      <x:c r="C33" s="82" t="str"/>
      <x:c r="D33" s="82" t="str">
        <x:v>オーストラリア</x:v>
      </x:c>
      <x:c r="E33" s="82" t="str">
        <x:v>Red Bull–Bora–Hansgrohe</x:v>
      </x:c>
      <x:c r="F33" s="82" t="str">
        <x:v>総合型</x:v>
      </x:c>
      <x:c r="G33" s="85" t="str">
        <x:v>クライマー</x:v>
      </x:c>
      <x:c r="H33" s="85" t="n">
        <x:v>84</x:v>
      </x:c>
      <x:c r="I33" s="91" t="n">
        <x:v>75</x:v>
      </x:c>
      <x:c r="J33" s="91" t="str">
        <x:v>エース / 山岳賞ハンター / 山岳アシスト / 山岳番手</x:v>
      </x:c>
      <x:c r="K33" s="91" t="str">
        <x:v>登坂力 / 日別回復 / 総合安定</x:v>
      </x:c>
      <x:c r="L33" s="88" t="n">
        <x:v>7750</x:v>
      </x:c>
      <x:c r="M33" s="91" t="str">
        <x:v>現役確認済</x:v>
      </x:c>
      <x:c r="N33" s="91" t="str">
        <x:v>https://en.wikipedia.org/wiki/Special:Search?search=Jai%20Hindley%20cyclist</x:v>
      </x:c>
    </x:row>
    <x:row r="34" ht="22" customHeight="1">
      <x:c r="A34" s="82" t="n">
        <x:v>30</x:v>
      </x:c>
      <x:c r="B34" s="82" t="str">
        <x:v>Matej Mohoric</x:v>
      </x:c>
      <x:c r="C34" s="82" t="str"/>
      <x:c r="D34" s="82" t="str">
        <x:v>スロベニア</x:v>
      </x:c>
      <x:c r="E34" s="82" t="str">
        <x:v>Team Bahrain Victorious</x:v>
      </x:c>
      <x:c r="F34" s="82" t="str">
        <x:v>クラシック型</x:v>
      </x:c>
      <x:c r="G34" s="85" t="str">
        <x:v>パンチャー</x:v>
      </x:c>
      <x:c r="H34" s="85" t="n">
        <x:v>84</x:v>
      </x:c>
      <x:c r="I34" s="91" t="n">
        <x:v>78</x:v>
      </x:c>
      <x:c r="J34" s="91" t="str">
        <x:v>エース / 石畳護衛 / 下り牽引 / 超ロングスパート / ブリッジャー</x:v>
      </x:c>
      <x:c r="K34" s="91" t="str">
        <x:v>バイクコントロール / 下り / 逃げ屋</x:v>
      </x:c>
      <x:c r="L34" s="88" t="n">
        <x:v>7650</x:v>
      </x:c>
      <x:c r="M34" s="91" t="str">
        <x:v>現役確認済</x:v>
      </x:c>
      <x:c r="N34" s="91" t="str">
        <x:v>https://en.wikipedia.org/wiki/Special:Search?search=Matej%20Mohoric%20cyclist</x:v>
      </x:c>
    </x:row>
    <x:row r="35" ht="22" customHeight="1">
      <x:c r="A35" s="82" t="n">
        <x:v>31</x:v>
      </x:c>
      <x:c r="B35" s="82" t="str">
        <x:v>David Gaudu</x:v>
      </x:c>
      <x:c r="C35" s="82" t="str"/>
      <x:c r="D35" s="82" t="str">
        <x:v>フランス</x:v>
      </x:c>
      <x:c r="E35" s="82" t="str">
        <x:v>Groupama–FDJ United</x:v>
      </x:c>
      <x:c r="F35" s="82" t="str">
        <x:v>クライマー</x:v>
      </x:c>
      <x:c r="G35" s="85" t="str">
        <x:v>総合型</x:v>
      </x:c>
      <x:c r="H35" s="85" t="n">
        <x:v>84</x:v>
      </x:c>
      <x:c r="I35" s="91" t="n">
        <x:v>74</x:v>
      </x:c>
      <x:c r="J35" s="91" t="str">
        <x:v>エース / 山岳賞ハンター / 山岳アシスト / 集団コントローラー</x:v>
      </x:c>
      <x:c r="K35" s="91" t="str">
        <x:v>登坂力 / 総合安定 / 山岳耐久</x:v>
      </x:c>
      <x:c r="L35" s="88" t="n">
        <x:v>7650</x:v>
      </x:c>
      <x:c r="M35" s="91" t="str">
        <x:v>現役確認済</x:v>
      </x:c>
      <x:c r="N35" s="91" t="str">
        <x:v>https://en.wikipedia.org/wiki/Special:Search?search=David%20Gaudu%20cyclist</x:v>
      </x:c>
    </x:row>
    <x:row r="36" ht="22" customHeight="1">
      <x:c r="A36" s="82" t="n">
        <x:v>32</x:v>
      </x:c>
      <x:c r="B36" s="82" t="str">
        <x:v>Tiesj Benoot</x:v>
      </x:c>
      <x:c r="C36" s="82" t="str"/>
      <x:c r="D36" s="82" t="str">
        <x:v>ベルギー</x:v>
      </x:c>
      <x:c r="E36" s="82" t="str">
        <x:v>Decathlon–CMA CGM</x:v>
      </x:c>
      <x:c r="F36" s="82" t="str">
        <x:v>クラシック型</x:v>
      </x:c>
      <x:c r="G36" s="85" t="str">
        <x:v>パンチャー</x:v>
      </x:c>
      <x:c r="H36" s="85" t="n">
        <x:v>84</x:v>
      </x:c>
      <x:c r="I36" s="91" t="n">
        <x:v>78</x:v>
      </x:c>
      <x:c r="J36" s="91" t="str">
        <x:v>エース / 石畳護衛 / カウンターアタッカー</x:v>
      </x:c>
      <x:c r="K36" s="91" t="str">
        <x:v>石畳 / パンチ力 / 逃げ屋</x:v>
      </x:c>
      <x:c r="L36" s="88" t="n">
        <x:v>7500</x:v>
      </x:c>
      <x:c r="M36" s="91" t="str">
        <x:v>現役確認済</x:v>
      </x:c>
      <x:c r="N36" s="91" t="str">
        <x:v>https://en.wikipedia.org/wiki/Special:Search?search=Tiesj%20Benoot%20cyclist</x:v>
      </x:c>
    </x:row>
    <x:row r="37" ht="22" customHeight="1">
      <x:c r="A37" s="82" t="n">
        <x:v>33</x:v>
      </x:c>
      <x:c r="B37" s="82" t="str">
        <x:v>Valentin Madouas</x:v>
      </x:c>
      <x:c r="C37" s="82" t="str"/>
      <x:c r="D37" s="82" t="str">
        <x:v>フランス</x:v>
      </x:c>
      <x:c r="E37" s="82" t="str">
        <x:v>Groupama–FDJ United</x:v>
      </x:c>
      <x:c r="F37" s="82" t="str">
        <x:v>パンチャー</x:v>
      </x:c>
      <x:c r="G37" s="85" t="str">
        <x:v>クラシック型</x:v>
      </x:c>
      <x:c r="H37" s="85" t="n">
        <x:v>84</x:v>
      </x:c>
      <x:c r="I37" s="91" t="n">
        <x:v>72</x:v>
      </x:c>
      <x:c r="J37" s="91" t="str">
        <x:v>エース / ステージハンター / 下り牽引 / カウンターアタッカー</x:v>
      </x:c>
      <x:c r="K37" s="91" t="str">
        <x:v>パンチ力 / 石畳 / 長距離耐久</x:v>
      </x:c>
      <x:c r="L37" s="88" t="n">
        <x:v>7250</x:v>
      </x:c>
      <x:c r="M37" s="91" t="str">
        <x:v>現役確認済</x:v>
      </x:c>
      <x:c r="N37" s="91" t="str">
        <x:v>https://en.wikipedia.org/wiki/Special:Search?search=Valentin%20Madouas%20cyclist</x:v>
      </x:c>
    </x:row>
    <x:row r="38" ht="22" customHeight="1">
      <x:c r="A38" s="82" t="n">
        <x:v>34</x:v>
      </x:c>
      <x:c r="B38" s="82" t="str">
        <x:v>Florian Lipowitz</x:v>
      </x:c>
      <x:c r="C38" s="82" t="str"/>
      <x:c r="D38" s="82" t="str">
        <x:v>ドイツ</x:v>
      </x:c>
      <x:c r="E38" s="82" t="str">
        <x:v>Red Bull–Bora–Hansgrohe</x:v>
      </x:c>
      <x:c r="F38" s="82" t="str">
        <x:v>総合型</x:v>
      </x:c>
      <x:c r="G38" s="85" t="str">
        <x:v>クライマー</x:v>
      </x:c>
      <x:c r="H38" s="85" t="n">
        <x:v>84</x:v>
      </x:c>
      <x:c r="I38" s="91" t="n">
        <x:v>75</x:v>
      </x:c>
      <x:c r="J38" s="91" t="str">
        <x:v>エース / ロードキャプテン / 山岳アシスト</x:v>
      </x:c>
      <x:c r="K38" s="91" t="str">
        <x:v>登坂力 / 日別回復 / 若手総合</x:v>
      </x:c>
      <x:c r="L38" s="88" t="n">
        <x:v>7250</x:v>
      </x:c>
      <x:c r="M38" s="91" t="str">
        <x:v>現役確認済</x:v>
      </x:c>
      <x:c r="N38" s="91" t="str">
        <x:v>https://en.wikipedia.org/wiki/Special:Search?search=Florian%20Lipowitz%20cyclist</x:v>
      </x:c>
    </x:row>
    <x:row r="39" ht="22" customHeight="1">
      <x:c r="A39" s="82" t="n">
        <x:v>35</x:v>
      </x:c>
      <x:c r="B39" s="82" t="str">
        <x:v>Pello Bilbao</x:v>
      </x:c>
      <x:c r="C39" s="82" t="str"/>
      <x:c r="D39" s="82" t="str">
        <x:v>スペイン</x:v>
      </x:c>
      <x:c r="E39" s="82" t="str">
        <x:v>Team Bahrain Victorious</x:v>
      </x:c>
      <x:c r="F39" s="82" t="str">
        <x:v>パンチャー</x:v>
      </x:c>
      <x:c r="G39" s="85" t="str">
        <x:v>総合型</x:v>
      </x:c>
      <x:c r="H39" s="85" t="n">
        <x:v>84</x:v>
      </x:c>
      <x:c r="I39" s="91" t="n">
        <x:v>72</x:v>
      </x:c>
      <x:c r="J39" s="91" t="str">
        <x:v>エース / ステージハンター / 下り牽引 / 集団コントローラー / カウンターアタッカー</x:v>
      </x:c>
      <x:c r="K39" s="91" t="str">
        <x:v>パンチ力 / 下り / ステージハンター</x:v>
      </x:c>
      <x:c r="L39" s="88" t="n">
        <x:v>7150</x:v>
      </x:c>
      <x:c r="M39" s="91" t="str">
        <x:v>現役確認済</x:v>
      </x:c>
      <x:c r="N39" s="91" t="str">
        <x:v>https://en.wikipedia.org/wiki/Special:Search?search=Pello%20Bilbao%20cyclist</x:v>
      </x:c>
    </x:row>
    <x:row r="40" ht="22" customHeight="1">
      <x:c r="A40" s="82" t="n">
        <x:v>36</x:v>
      </x:c>
      <x:c r="B40" s="82" t="str">
        <x:v>Romain Gregoire</x:v>
      </x:c>
      <x:c r="C40" s="82" t="str"/>
      <x:c r="D40" s="82" t="str">
        <x:v>フランス</x:v>
      </x:c>
      <x:c r="E40" s="82" t="str">
        <x:v>Groupama–FDJ United</x:v>
      </x:c>
      <x:c r="F40" s="82" t="str">
        <x:v>パンチャー</x:v>
      </x:c>
      <x:c r="G40" s="85" t="str">
        <x:v>スプリンター</x:v>
      </x:c>
      <x:c r="H40" s="85" t="n">
        <x:v>84</x:v>
      </x:c>
      <x:c r="I40" s="91" t="n">
        <x:v>71</x:v>
      </x:c>
      <x:c r="J40" s="91" t="str">
        <x:v>エース / ステージハンター / スプリントトレイン / 下り牽引</x:v>
      </x:c>
      <x:c r="K40" s="91" t="str">
        <x:v>パンチ力 / 最高速 / 若手</x:v>
      </x:c>
      <x:c r="L40" s="88" t="n">
        <x:v>7100</x:v>
      </x:c>
      <x:c r="M40" s="91" t="str">
        <x:v>現役確認済</x:v>
      </x:c>
      <x:c r="N40" s="91" t="str">
        <x:v>https://en.wikipedia.org/wiki/Special:Search?search=Romain%20Gregoire%20cyclist</x:v>
      </x:c>
    </x:row>
    <x:row r="41" ht="22" customHeight="1">
      <x:c r="A41" s="82" t="n">
        <x:v>37</x:v>
      </x:c>
      <x:c r="B41" s="82" t="str">
        <x:v>Juan Sebastian Molano</x:v>
      </x:c>
      <x:c r="C41" s="82" t="str"/>
      <x:c r="D41" s="82" t="str">
        <x:v>コロンビア</x:v>
      </x:c>
      <x:c r="E41" s="82" t="str">
        <x:v>UAE Team Emirates XRG</x:v>
      </x:c>
      <x:c r="F41" s="82" t="str">
        <x:v>スプリンター</x:v>
      </x:c>
      <x:c r="G41" s="85" t="str">
        <x:v>TT・ルーラー型</x:v>
      </x:c>
      <x:c r="H41" s="85" t="n">
        <x:v>84</x:v>
      </x:c>
      <x:c r="I41" s="91" t="n">
        <x:v>71</x:v>
      </x:c>
      <x:c r="J41" s="91" t="str">
        <x:v>エース / リードアウト / 最終発射台 / 無賃乗車</x:v>
      </x:c>
      <x:c r="K41" s="91" t="str">
        <x:v>最高速 / 巡航力 / 位置取り</x:v>
      </x:c>
      <x:c r="L41" s="88" t="n">
        <x:v>6850</x:v>
      </x:c>
      <x:c r="M41" s="91" t="str">
        <x:v>現役確認済</x:v>
      </x:c>
      <x:c r="N41" s="91" t="str">
        <x:v>https://en.wikipedia.org/wiki/Special:Search?search=Juan%20Sebastian%20Molano%20cyclist</x:v>
      </x:c>
    </x:row>
    <x:row r="42" ht="22" customHeight="1">
      <x:c r="A42" s="82" t="n">
        <x:v>38</x:v>
      </x:c>
      <x:c r="B42" s="82" t="str">
        <x:v>Jhonatan Narvaez</x:v>
      </x:c>
      <x:c r="C42" s="82" t="str"/>
      <x:c r="D42" s="82" t="str">
        <x:v>エクアドル</x:v>
      </x:c>
      <x:c r="E42" s="82" t="str">
        <x:v>UAE Team Emirates XRG</x:v>
      </x:c>
      <x:c r="F42" s="82" t="str">
        <x:v>パンチャー</x:v>
      </x:c>
      <x:c r="G42" s="85" t="str">
        <x:v>クラシック型</x:v>
      </x:c>
      <x:c r="H42" s="85" t="n">
        <x:v>83</x:v>
      </x:c>
      <x:c r="I42" s="91" t="n">
        <x:v>72</x:v>
      </x:c>
      <x:c r="J42" s="91" t="str">
        <x:v>エース / ステージハンター / 下り牽引 / カウンターアタッカー</x:v>
      </x:c>
      <x:c r="K42" s="91" t="str">
        <x:v>パンチ力 / 最高速 / 逃げ屋</x:v>
      </x:c>
      <x:c r="L42" s="88" t="n">
        <x:v>7250</x:v>
      </x:c>
      <x:c r="M42" s="91" t="str">
        <x:v>現役確認済</x:v>
      </x:c>
      <x:c r="N42" s="91" t="str">
        <x:v>https://en.wikipedia.org/wiki/Special:Search?search=Jhonatan%20Narvaez%20cyclist</x:v>
      </x:c>
    </x:row>
    <x:row r="43" ht="22" customHeight="1">
      <x:c r="A43" s="82" t="n">
        <x:v>39</x:v>
      </x:c>
      <x:c r="B43" s="82" t="str">
        <x:v>Felix Gall</x:v>
      </x:c>
      <x:c r="C43" s="82" t="str"/>
      <x:c r="D43" s="82" t="str">
        <x:v>オーストリア</x:v>
      </x:c>
      <x:c r="E43" s="82" t="str">
        <x:v>Decathlon–CMA CGM</x:v>
      </x:c>
      <x:c r="F43" s="82" t="str">
        <x:v>クライマー</x:v>
      </x:c>
      <x:c r="G43" s="85" t="str">
        <x:v>総合型</x:v>
      </x:c>
      <x:c r="H43" s="85" t="n">
        <x:v>83</x:v>
      </x:c>
      <x:c r="I43" s="91" t="n">
        <x:v>74</x:v>
      </x:c>
      <x:c r="J43" s="91" t="str">
        <x:v>エース / 山岳アシスト / 山岳番手 / 集団コントローラー</x:v>
      </x:c>
      <x:c r="K43" s="91" t="str">
        <x:v>登坂力 / 山岳耐久 / ステージハンター</x:v>
      </x:c>
      <x:c r="L43" s="88" t="n">
        <x:v>7150</x:v>
      </x:c>
      <x:c r="M43" s="91" t="str">
        <x:v>現役確認済</x:v>
      </x:c>
      <x:c r="N43" s="91" t="str">
        <x:v>https://en.wikipedia.org/wiki/Special:Search?search=Felix%20Gall%20cyclist</x:v>
      </x:c>
    </x:row>
    <x:row r="44" ht="22" customHeight="1">
      <x:c r="A44" s="82" t="n">
        <x:v>40</x:v>
      </x:c>
      <x:c r="B44" s="82" t="str">
        <x:v>Jordi Meeus</x:v>
      </x:c>
      <x:c r="C44" s="82" t="str"/>
      <x:c r="D44" s="82" t="str">
        <x:v>ベルギー</x:v>
      </x:c>
      <x:c r="E44" s="82" t="str">
        <x:v>Red Bull–Bora–Hansgrohe</x:v>
      </x:c>
      <x:c r="F44" s="82" t="str">
        <x:v>スプリンター</x:v>
      </x:c>
      <x:c r="G44" s="85" t="str">
        <x:v>クラシック型</x:v>
      </x:c>
      <x:c r="H44" s="85" t="n">
        <x:v>83</x:v>
      </x:c>
      <x:c r="I44" s="91" t="n">
        <x:v>71</x:v>
      </x:c>
      <x:c r="J44" s="91" t="str">
        <x:v>エース / リードアウト / 最終発射台 / 無賃乗車</x:v>
      </x:c>
      <x:c r="K44" s="91" t="str">
        <x:v>最高速 / 位置取り / 集団スプリント</x:v>
      </x:c>
      <x:c r="L44" s="88" t="n">
        <x:v>6800</x:v>
      </x:c>
      <x:c r="M44" s="91" t="str">
        <x:v>現役確認済</x:v>
      </x:c>
      <x:c r="N44" s="91" t="str">
        <x:v>https://en.wikipedia.org/wiki/Special:Search?search=Jordi%20Meeus%20cyclist</x:v>
      </x:c>
    </x:row>
    <x:row r="45" ht="22" customHeight="1">
      <x:c r="A45" s="82" t="n">
        <x:v>41</x:v>
      </x:c>
      <x:c r="B45" s="82" t="str">
        <x:v>Tim Merlier</x:v>
      </x:c>
      <x:c r="C45" s="82" t="str"/>
      <x:c r="D45" s="82" t="str">
        <x:v>ベルギー</x:v>
      </x:c>
      <x:c r="E45" s="82" t="str">
        <x:v>Soudal–Quick-Step</x:v>
      </x:c>
      <x:c r="F45" s="82" t="str">
        <x:v>スプリンター</x:v>
      </x:c>
      <x:c r="G45" s="85" t="str">
        <x:v>クラシック型</x:v>
      </x:c>
      <x:c r="H45" s="85" t="n">
        <x:v>83</x:v>
      </x:c>
      <x:c r="I45" s="91" t="n">
        <x:v>71</x:v>
      </x:c>
      <x:c r="J45" s="91" t="str">
        <x:v>エース / リードアウト / 最終発射台 / 無賃乗車</x:v>
      </x:c>
      <x:c r="K45" s="91" t="str">
        <x:v>最高速 / 悪路耐性 / 位置取り</x:v>
      </x:c>
      <x:c r="L45" s="88" t="n">
        <x:v>6750</x:v>
      </x:c>
      <x:c r="M45" s="91" t="str">
        <x:v>現役確認済</x:v>
      </x:c>
      <x:c r="N45" s="91" t="str">
        <x:v>https://en.wikipedia.org/wiki/Special:Search?search=Tim%20Merlier%20cyclist</x:v>
      </x:c>
    </x:row>
    <x:row r="46" ht="22" customHeight="1">
      <x:c r="A46" s="82" t="n">
        <x:v>42</x:v>
      </x:c>
      <x:c r="B46" s="82" t="str">
        <x:v>Antonio Tiberi</x:v>
      </x:c>
      <x:c r="C46" s="82" t="str"/>
      <x:c r="D46" s="82" t="str">
        <x:v>イタリア</x:v>
      </x:c>
      <x:c r="E46" s="82" t="str">
        <x:v>Team Bahrain Victorious</x:v>
      </x:c>
      <x:c r="F46" s="82" t="str">
        <x:v>総合型</x:v>
      </x:c>
      <x:c r="G46" s="85" t="str">
        <x:v>TT・ルーラー型</x:v>
      </x:c>
      <x:c r="H46" s="85" t="n">
        <x:v>83</x:v>
      </x:c>
      <x:c r="I46" s="91" t="n">
        <x:v>75</x:v>
      </x:c>
      <x:c r="J46" s="91" t="str">
        <x:v>エース / ロードキャプテン / 山岳アシスト</x:v>
      </x:c>
      <x:c r="K46" s="91" t="str">
        <x:v>TT適性 / 登坂力 / 若手総合</x:v>
      </x:c>
      <x:c r="L46" s="88" t="n">
        <x:v>6700</x:v>
      </x:c>
      <x:c r="M46" s="91" t="str">
        <x:v>現役確認済</x:v>
      </x:c>
      <x:c r="N46" s="91" t="str">
        <x:v>https://en.wikipedia.org/wiki/Special:Search?search=Antonio%20Tiberi%20cyclist</x:v>
      </x:c>
    </x:row>
    <x:row r="47" ht="22" customHeight="1">
      <x:c r="A47" s="82" t="n">
        <x:v>43</x:v>
      </x:c>
      <x:c r="B47" s="82" t="str">
        <x:v>Oscar Onley</x:v>
      </x:c>
      <x:c r="C47" s="82" t="str"/>
      <x:c r="D47" s="82" t="str">
        <x:v>イギリス</x:v>
      </x:c>
      <x:c r="E47" s="82" t="str">
        <x:v>Netcompany INEOS Cycling Team</x:v>
      </x:c>
      <x:c r="F47" s="82" t="str">
        <x:v>パンチャー</x:v>
      </x:c>
      <x:c r="G47" s="85" t="str">
        <x:v>クライマー</x:v>
      </x:c>
      <x:c r="H47" s="85" t="n">
        <x:v>83</x:v>
      </x:c>
      <x:c r="I47" s="91" t="n">
        <x:v>72</x:v>
      </x:c>
      <x:c r="J47" s="91" t="str">
        <x:v>エース / ステージハンター / 山岳賞ハンター</x:v>
      </x:c>
      <x:c r="K47" s="91" t="str">
        <x:v>パンチ力 / 登坂力 / 若手総合</x:v>
      </x:c>
      <x:c r="L47" s="88" t="n">
        <x:v>6600</x:v>
      </x:c>
      <x:c r="M47" s="91" t="str">
        <x:v>現役確認済</x:v>
      </x:c>
      <x:c r="N47" s="91" t="str">
        <x:v>https://en.wikipedia.org/wiki/Special:Search?search=Oscar%20Onley%20cyclist</x:v>
      </x:c>
    </x:row>
    <x:row r="48" ht="22" customHeight="1">
      <x:c r="A48" s="82" t="n">
        <x:v>44</x:v>
      </x:c>
      <x:c r="B48" s="82" t="str">
        <x:v>Benoit Cosnefroy</x:v>
      </x:c>
      <x:c r="C48" s="82" t="str"/>
      <x:c r="D48" s="82" t="str">
        <x:v>フランス</x:v>
      </x:c>
      <x:c r="E48" s="82" t="str">
        <x:v>UAE Team Emirates XRG</x:v>
      </x:c>
      <x:c r="F48" s="82" t="str">
        <x:v>パンチャー</x:v>
      </x:c>
      <x:c r="G48" s="85" t="str">
        <x:v>スプリンター</x:v>
      </x:c>
      <x:c r="H48" s="85" t="n">
        <x:v>83</x:v>
      </x:c>
      <x:c r="I48" s="91" t="n">
        <x:v>71</x:v>
      </x:c>
      <x:c r="J48" s="91" t="str">
        <x:v>エース / ステージハンター / スプリントトレイン</x:v>
      </x:c>
      <x:c r="K48" s="91" t="str">
        <x:v>パンチ力 / 最高速 / 急坂</x:v>
      </x:c>
      <x:c r="L48" s="88" t="n">
        <x:v>6550</x:v>
      </x:c>
      <x:c r="M48" s="91" t="str">
        <x:v>現役確認済</x:v>
      </x:c>
      <x:c r="N48" s="91" t="str">
        <x:v>https://en.wikipedia.org/wiki/Special:Search?search=Benoit%20Cosnefroy%20cyclist</x:v>
      </x:c>
    </x:row>
    <x:row r="49" ht="22" customHeight="1">
      <x:c r="A49" s="82" t="n">
        <x:v>45</x:v>
      </x:c>
      <x:c r="B49" s="82" t="str">
        <x:v>Mads Pedersen (cyclist)</x:v>
      </x:c>
      <x:c r="C49" s="82" t="str"/>
      <x:c r="D49" s="82" t="str">
        <x:v>デンマーク</x:v>
      </x:c>
      <x:c r="E49" s="82" t="str">
        <x:v>Lidl–Trek</x:v>
      </x:c>
      <x:c r="F49" s="82" t="str">
        <x:v>クラシック型</x:v>
      </x:c>
      <x:c r="G49" s="85" t="str">
        <x:v>スプリンター</x:v>
      </x:c>
      <x:c r="H49" s="85" t="n">
        <x:v>82</x:v>
      </x:c>
      <x:c r="I49" s="91" t="n">
        <x:v>82</x:v>
      </x:c>
      <x:c r="J49" s="91" t="str">
        <x:v>スプリントトレイン / 平坦アシスト / TT牽引 / 石畳護衛 / 横風要員 / 逃げ屋 / 横風分断</x:v>
      </x:c>
      <x:c r="K49" s="91" t="str">
        <x:v>クラシック型 / スプリンター</x:v>
      </x:c>
      <x:c r="L49" s="88" t="n">
        <x:v>9500</x:v>
      </x:c>
      <x:c r="M49" s="91" t="str">
        <x:v>現役確認済</x:v>
      </x:c>
      <x:c r="N49" s="91" t="str">
        <x:v>https://en.wikipedia.org/wiki/Mads_Pedersen</x:v>
      </x:c>
    </x:row>
    <x:row r="50" ht="22" customHeight="1">
      <x:c r="A50" s="82" t="n">
        <x:v>46</x:v>
      </x:c>
      <x:c r="B50" s="82" t="str">
        <x:v>Daniel Martínez (cyclist)</x:v>
      </x:c>
      <x:c r="C50" s="82" t="str"/>
      <x:c r="D50" s="82" t="str">
        <x:v>コロンビア</x:v>
      </x:c>
      <x:c r="E50" s="82" t="str">
        <x:v>Red Bull–Bora–Hansgrohe</x:v>
      </x:c>
      <x:c r="F50" s="82" t="str">
        <x:v>総合型</x:v>
      </x:c>
      <x:c r="G50" s="85" t="str">
        <x:v>スプリンター</x:v>
      </x:c>
      <x:c r="H50" s="85" t="n">
        <x:v>82</x:v>
      </x:c>
      <x:c r="I50" s="91" t="n">
        <x:v>79</x:v>
      </x:c>
      <x:c r="J50" s="91" t="str">
        <x:v>ロードキャプテン / スプリントトレイン / 平坦アシスト / 山岳アシスト / TT牽引 / ブレイクアウェイキラー / 超ロングスパート</x:v>
      </x:c>
      <x:c r="K50" s="91" t="str">
        <x:v>総合型 / スプリンター</x:v>
      </x:c>
      <x:c r="L50" s="88" t="n">
        <x:v>9150</x:v>
      </x:c>
      <x:c r="M50" s="91" t="str">
        <x:v>現役確認済</x:v>
      </x:c>
      <x:c r="N50" s="91" t="str">
        <x:v>https://en.wikipedia.org/wiki/Daniel_Mart%C3%ADnez_(cyclist)</x:v>
      </x:c>
    </x:row>
    <x:row r="51" ht="22" customHeight="1">
      <x:c r="A51" s="82" t="n">
        <x:v>47</x:v>
      </x:c>
      <x:c r="B51" s="82" t="str">
        <x:v>Guillaume Martin</x:v>
      </x:c>
      <x:c r="C51" s="82" t="str"/>
      <x:c r="D51" s="82" t="str">
        <x:v>フランス</x:v>
      </x:c>
      <x:c r="E51" s="82" t="str">
        <x:v>Groupama–FDJ United</x:v>
      </x:c>
      <x:c r="F51" s="82" t="str">
        <x:v>クライマー</x:v>
      </x:c>
      <x:c r="G51" s="85" t="str">
        <x:v>総合型</x:v>
      </x:c>
      <x:c r="H51" s="85" t="n">
        <x:v>82</x:v>
      </x:c>
      <x:c r="I51" s="91" t="n">
        <x:v>75</x:v>
      </x:c>
      <x:c r="J51" s="91" t="str">
        <x:v>エース / 山岳賞ハンター / 山岳アシスト / 集団コントローラー</x:v>
      </x:c>
      <x:c r="K51" s="91" t="str">
        <x:v>登坂力 / 山岳耐久 / 逃げ屋</x:v>
      </x:c>
      <x:c r="L51" s="88" t="n">
        <x:v>7200</x:v>
      </x:c>
      <x:c r="M51" s="91" t="str">
        <x:v>現役確認済</x:v>
      </x:c>
      <x:c r="N51" s="91" t="str">
        <x:v>https://en.wikipedia.org/wiki/Special:Search?search=Guillaume%20Martin%20cyclist</x:v>
      </x:c>
    </x:row>
    <x:row r="52" ht="22" customHeight="1">
      <x:c r="A52" s="82" t="n">
        <x:v>48</x:v>
      </x:c>
      <x:c r="B52" s="82" t="str">
        <x:v>Giulio Pellizzari</x:v>
      </x:c>
      <x:c r="C52" s="82" t="str"/>
      <x:c r="D52" s="82" t="str">
        <x:v>イタリア</x:v>
      </x:c>
      <x:c r="E52" s="82" t="str">
        <x:v>Red Bull–Bora–Hansgrohe</x:v>
      </x:c>
      <x:c r="F52" s="82" t="str">
        <x:v>クライマー</x:v>
      </x:c>
      <x:c r="G52" s="85" t="str">
        <x:v>総合型</x:v>
      </x:c>
      <x:c r="H52" s="85" t="n">
        <x:v>82</x:v>
      </x:c>
      <x:c r="I52" s="91" t="n">
        <x:v>75</x:v>
      </x:c>
      <x:c r="J52" s="91" t="str">
        <x:v>エース / 山岳賞ハンター / 山岳アシスト / 集団コントローラー</x:v>
      </x:c>
      <x:c r="K52" s="91" t="str">
        <x:v>登坂力 / 山岳耐久 / 若手総合</x:v>
      </x:c>
      <x:c r="L52" s="88" t="n">
        <x:v>6700</x:v>
      </x:c>
      <x:c r="M52" s="91" t="str">
        <x:v>現役確認済</x:v>
      </x:c>
      <x:c r="N52" s="91" t="str">
        <x:v>https://en.wikipedia.org/wiki/Special:Search?search=Giulio%20Pellizzari%20cyclist</x:v>
      </x:c>
    </x:row>
    <x:row r="53" ht="22" customHeight="1">
      <x:c r="A53" s="82" t="n">
        <x:v>49</x:v>
      </x:c>
      <x:c r="B53" s="82" t="str">
        <x:v>Enric Mas</x:v>
      </x:c>
      <x:c r="C53" s="82" t="str"/>
      <x:c r="D53" s="82" t="str">
        <x:v>スペイン</x:v>
      </x:c>
      <x:c r="E53" s="82" t="str">
        <x:v>Movistar Team</x:v>
      </x:c>
      <x:c r="F53" s="82" t="str">
        <x:v>総合型</x:v>
      </x:c>
      <x:c r="G53" s="85" t="str">
        <x:v>クライマー</x:v>
      </x:c>
      <x:c r="H53" s="85" t="n">
        <x:v>82</x:v>
      </x:c>
      <x:c r="I53" s="91" t="n">
        <x:v>75</x:v>
      </x:c>
      <x:c r="J53" s="91" t="str">
        <x:v>エース / ロードキャプテン / 山岳アシスト</x:v>
      </x:c>
      <x:c r="K53" s="91" t="str">
        <x:v>総合安定 / 登坂力 / 日別回復</x:v>
      </x:c>
      <x:c r="L53" s="88" t="n">
        <x:v>6600</x:v>
      </x:c>
      <x:c r="M53" s="91" t="str">
        <x:v>現役確認済</x:v>
      </x:c>
      <x:c r="N53" s="91" t="str">
        <x:v>https://en.wikipedia.org/wiki/Special:Search?search=Enric%20Mas%20cyclist</x:v>
      </x:c>
    </x:row>
    <x:row r="54" ht="22" customHeight="1">
      <x:c r="A54" s="82" t="n">
        <x:v>50</x:v>
      </x:c>
      <x:c r="B54" s="82" t="str">
        <x:v>Hugo Houle</x:v>
      </x:c>
      <x:c r="C54" s="82" t="str"/>
      <x:c r="D54" s="82" t="str">
        <x:v>カナダ</x:v>
      </x:c>
      <x:c r="E54" s="82" t="str">
        <x:v>Alpecin–Premier Tech</x:v>
      </x:c>
      <x:c r="F54" s="82" t="str">
        <x:v>総合型</x:v>
      </x:c>
      <x:c r="G54" s="85" t="str">
        <x:v>スプリンター</x:v>
      </x:c>
      <x:c r="H54" s="85" t="n">
        <x:v>81</x:v>
      </x:c>
      <x:c r="I54" s="91" t="n">
        <x:v>77</x:v>
      </x:c>
      <x:c r="J54" s="91" t="str">
        <x:v>山岳賞ハンター / スプリントトレイン / 平坦アシスト / 山岳アシスト / 山岳番手 / ブレイクアウェイキラー / ポジションキーパー</x:v>
      </x:c>
      <x:c r="K54" s="91" t="str">
        <x:v>総合型 / スプリンター</x:v>
      </x:c>
      <x:c r="L54" s="88" t="n">
        <x:v>8250</x:v>
      </x:c>
      <x:c r="M54" s="91" t="str">
        <x:v>現役確認済</x:v>
      </x:c>
      <x:c r="N54" s="91" t="str">
        <x:v>https://en.wikipedia.org/wiki/Hugo_Houle</x:v>
      </x:c>
    </x:row>
    <x:row r="55" ht="22" customHeight="1">
      <x:c r="A55" s="82" t="n">
        <x:v>51</x:v>
      </x:c>
      <x:c r="B55" s="82" t="str">
        <x:v>Joshua Tarling</x:v>
      </x:c>
      <x:c r="C55" s="82" t="str"/>
      <x:c r="D55" s="82" t="str">
        <x:v>イギリス</x:v>
      </x:c>
      <x:c r="E55" s="82" t="str">
        <x:v>Netcompany INEOS Cycling Team</x:v>
      </x:c>
      <x:c r="F55" s="82" t="str">
        <x:v>TT・ルーラー型</x:v>
      </x:c>
      <x:c r="G55" s="85" t="str">
        <x:v>クラシック型</x:v>
      </x:c>
      <x:c r="H55" s="85" t="n">
        <x:v>81</x:v>
      </x:c>
      <x:c r="I55" s="91" t="n">
        <x:v>79</x:v>
      </x:c>
      <x:c r="J55" s="91" t="str">
        <x:v>サブエース / TTスペシャリスト / 平坦アシスト / 平坦ペースメーカー / ブレイクアウェイキラー / ポジションキーパー</x:v>
      </x:c>
      <x:c r="K55" s="91" t="str">
        <x:v>TT適性 / 巡航力 / 若手</x:v>
      </x:c>
      <x:c r="L55" s="88" t="n">
        <x:v>8050</x:v>
      </x:c>
      <x:c r="M55" s="91" t="str">
        <x:v>現役確認済</x:v>
      </x:c>
      <x:c r="N55" s="91" t="str">
        <x:v>https://en.wikipedia.org/wiki/Special:Search?search=Joshua%20Tarling%20cyclist</x:v>
      </x:c>
    </x:row>
    <x:row r="56" ht="22" customHeight="1">
      <x:c r="A56" s="82" t="n">
        <x:v>52</x:v>
      </x:c>
      <x:c r="B56" s="82" t="str">
        <x:v>John Degenkolb</x:v>
      </x:c>
      <x:c r="C56" s="82" t="str">
        <x:v>石畳の重戦車</x:v>
      </x:c>
      <x:c r="D56" s="82" t="str">
        <x:v>ドイツ</x:v>
      </x:c>
      <x:c r="E56" s="82" t="str">
        <x:v>Team Picnic–PostNL</x:v>
      </x:c>
      <x:c r="F56" s="82" t="str">
        <x:v>クラシック型</x:v>
      </x:c>
      <x:c r="G56" s="85" t="str">
        <x:v>パンチャー</x:v>
      </x:c>
      <x:c r="H56" s="85" t="n">
        <x:v>80</x:v>
      </x:c>
      <x:c r="I56" s="91" t="n">
        <x:v>74</x:v>
      </x:c>
      <x:c r="J56" s="91" t="str">
        <x:v>エース / 石畳護衛 / 横風要員 / 逃げ屋 / ブリッジャー / カウンターアタッカー</x:v>
      </x:c>
      <x:c r="K56" s="91" t="str">
        <x:v>バイクコントロール / 反復加速</x:v>
      </x:c>
      <x:c r="L56" s="88" t="n">
        <x:v>9450</x:v>
      </x:c>
      <x:c r="M56" s="91" t="str">
        <x:v>現役確認済</x:v>
      </x:c>
      <x:c r="N56" s="91" t="str">
        <x:v>https://en.wikipedia.org/wiki/Special:Search?search=John%20Degenkolb%20cyclist</x:v>
      </x:c>
    </x:row>
    <x:row r="57" ht="22" customHeight="1">
      <x:c r="A57" s="82" t="n">
        <x:v>53</x:v>
      </x:c>
      <x:c r="B57" s="82" t="str">
        <x:v>Florian Sénéchal</x:v>
      </x:c>
      <x:c r="C57" s="82" t="str"/>
      <x:c r="D57" s="82" t="str">
        <x:v>フランス</x:v>
      </x:c>
      <x:c r="E57" s="82" t="str">
        <x:v>Alpecin–Premier Tech</x:v>
      </x:c>
      <x:c r="F57" s="82" t="str">
        <x:v>クラシック型</x:v>
      </x:c>
      <x:c r="G57" s="85" t="str">
        <x:v>TT・ルーラー型</x:v>
      </x:c>
      <x:c r="H57" s="85" t="n">
        <x:v>80</x:v>
      </x:c>
      <x:c r="I57" s="91" t="n">
        <x:v>81</x:v>
      </x:c>
      <x:c r="J57" s="91" t="str">
        <x:v>平坦アシスト / 平坦ペースメーカー / TT牽引 / 石畳護衛 / 集団コントローラー / 横風要員 / 逃げ屋</x:v>
      </x:c>
      <x:c r="K57" s="91" t="str">
        <x:v>クラシック型 / TT・ルーラー型</x:v>
      </x:c>
      <x:c r="L57" s="88" t="n">
        <x:v>8900</x:v>
      </x:c>
      <x:c r="M57" s="91" t="str">
        <x:v>現役確認済</x:v>
      </x:c>
      <x:c r="N57" s="91" t="str">
        <x:v>https://en.wikipedia.org/wiki/Florian_S%C3%A9n%C3%A9chal</x:v>
      </x:c>
    </x:row>
    <x:row r="58" ht="22" customHeight="1">
      <x:c r="A58" s="82" t="n">
        <x:v>54</x:v>
      </x:c>
      <x:c r="B58" s="82" t="str">
        <x:v>Bauke Mollema</x:v>
      </x:c>
      <x:c r="C58" s="82" t="str"/>
      <x:c r="D58" s="82" t="str">
        <x:v>オランダ</x:v>
      </x:c>
      <x:c r="E58" s="82" t="str">
        <x:v>Lidl–Trek</x:v>
      </x:c>
      <x:c r="F58" s="82" t="str">
        <x:v>総合型</x:v>
      </x:c>
      <x:c r="G58" s="85" t="str">
        <x:v>スプリンター</x:v>
      </x:c>
      <x:c r="H58" s="85" t="n">
        <x:v>80</x:v>
      </x:c>
      <x:c r="I58" s="91" t="n">
        <x:v>76</x:v>
      </x:c>
      <x:c r="J58" s="91" t="str">
        <x:v>山岳賞ハンター / スプリントトレイン / 山岳アシスト / 山岳番手 / ブレイクアウェイキラー / ポジションキーパー</x:v>
      </x:c>
      <x:c r="K58" s="91" t="str">
        <x:v>総合型 / スプリンター</x:v>
      </x:c>
      <x:c r="L58" s="88" t="n">
        <x:v>8250</x:v>
      </x:c>
      <x:c r="M58" s="91" t="str">
        <x:v>現役確認済</x:v>
      </x:c>
      <x:c r="N58" s="91" t="str">
        <x:v>https://en.wikipedia.org/wiki/Bauke_Mollema</x:v>
      </x:c>
    </x:row>
    <x:row r="59" ht="22" customHeight="1">
      <x:c r="A59" s="82" t="n">
        <x:v>55</x:v>
      </x:c>
      <x:c r="B59" s="82" t="str">
        <x:v>Victor Campenaerts</x:v>
      </x:c>
      <x:c r="C59" s="82" t="str"/>
      <x:c r="D59" s="82" t="str">
        <x:v>ベルギー</x:v>
      </x:c>
      <x:c r="E59" s="82" t="str">
        <x:v>Visma–Lease a Bike</x:v>
      </x:c>
      <x:c r="F59" s="82" t="str">
        <x:v>TT・ルーラー型</x:v>
      </x:c>
      <x:c r="G59" s="85" t="str">
        <x:v>クラシック型</x:v>
      </x:c>
      <x:c r="H59" s="85" t="n">
        <x:v>80</x:v>
      </x:c>
      <x:c r="I59" s="91" t="n">
        <x:v>80</x:v>
      </x:c>
      <x:c r="J59" s="91" t="str">
        <x:v>サブエース / スーパー・ドメスティーク / TTスペシャリスト / 平坦アシスト / 平坦ペースメーカー / ブレイクアウェイキラー / 超ロングスパート</x:v>
      </x:c>
      <x:c r="K59" s="91" t="str">
        <x:v>TT適性 / 巡航力 / 逃げ屋</x:v>
      </x:c>
      <x:c r="L59" s="88" t="n">
        <x:v>7600</x:v>
      </x:c>
      <x:c r="M59" s="91" t="str">
        <x:v>現役確認済</x:v>
      </x:c>
      <x:c r="N59" s="91" t="str">
        <x:v>https://en.wikipedia.org/wiki/Special:Search?search=Victor%20Campenaerts%20cyclist</x:v>
      </x:c>
    </x:row>
    <x:row r="60" ht="22" customHeight="1">
      <x:c r="A60" s="82" t="n">
        <x:v>56</x:v>
      </x:c>
      <x:c r="B60" s="82" t="str">
        <x:v>Richard Carapaz</x:v>
      </x:c>
      <x:c r="C60" s="82" t="str"/>
      <x:c r="D60" s="82" t="str">
        <x:v>エクアドル</x:v>
      </x:c>
      <x:c r="E60" s="82" t="str">
        <x:v>EF Education–EasyPost</x:v>
      </x:c>
      <x:c r="F60" s="82" t="str">
        <x:v>総合型</x:v>
      </x:c>
      <x:c r="G60" s="85" t="str">
        <x:v>クライマー</x:v>
      </x:c>
      <x:c r="H60" s="85" t="n">
        <x:v>80</x:v>
      </x:c>
      <x:c r="I60" s="91" t="n">
        <x:v>73</x:v>
      </x:c>
      <x:c r="J60" s="91" t="str">
        <x:v>エース / 山岳賞ハンター / 山岳アシスト</x:v>
      </x:c>
      <x:c r="K60" s="91" t="str">
        <x:v>日別回復 / 登坂力 / ステージハンター</x:v>
      </x:c>
      <x:c r="L60" s="88" t="n">
        <x:v>6500</x:v>
      </x:c>
      <x:c r="M60" s="91" t="str">
        <x:v>現役確認済</x:v>
      </x:c>
      <x:c r="N60" s="91" t="str">
        <x:v>https://en.wikipedia.org/wiki/Special:Search?search=Richard%20Carapaz%20cyclist</x:v>
      </x:c>
    </x:row>
    <x:row r="61" ht="22" customHeight="1">
      <x:c r="A61" s="82" t="n">
        <x:v>57</x:v>
      </x:c>
      <x:c r="B61" s="82" t="str">
        <x:v>George Bennett (cyclist)</x:v>
      </x:c>
      <x:c r="C61" s="82" t="str"/>
      <x:c r="D61" s="82" t="str">
        <x:v>ニュージーランド</x:v>
      </x:c>
      <x:c r="E61" s="82" t="str">
        <x:v>NSN Cycling Team</x:v>
      </x:c>
      <x:c r="F61" s="82" t="str">
        <x:v>クライマー</x:v>
      </x:c>
      <x:c r="G61" s="85" t="str">
        <x:v>総合型</x:v>
      </x:c>
      <x:c r="H61" s="85" t="n">
        <x:v>79</x:v>
      </x:c>
      <x:c r="I61" s="91" t="n">
        <x:v>77</x:v>
      </x:c>
      <x:c r="J61" s="91" t="str">
        <x:v>山岳賞ハンター / 山岳アシスト / 山岳番手 / 集団コントローラー / カウンターアタッカー</x:v>
      </x:c>
      <x:c r="K61" s="91" t="str">
        <x:v>クライマー / 総合型</x:v>
      </x:c>
      <x:c r="L61" s="88" t="n">
        <x:v>8300</x:v>
      </x:c>
      <x:c r="M61" s="91" t="str">
        <x:v>現役確認済</x:v>
      </x:c>
      <x:c r="N61" s="91" t="str">
        <x:v>https://en.wikipedia.org/wiki/George_Bennett_(cyclist)</x:v>
      </x:c>
    </x:row>
    <x:row r="62" ht="22" customHeight="1">
      <x:c r="A62" s="82" t="n">
        <x:v>58</x:v>
      </x:c>
      <x:c r="B62" s="82" t="str">
        <x:v>Lennert Van Eetvelt</x:v>
      </x:c>
      <x:c r="C62" s="82" t="str"/>
      <x:c r="D62" s="82" t="str">
        <x:v>ベルギー</x:v>
      </x:c>
      <x:c r="E62" s="82" t="str">
        <x:v>Lotto–Intermarché</x:v>
      </x:c>
      <x:c r="F62" s="82" t="str">
        <x:v>総合型</x:v>
      </x:c>
      <x:c r="G62" s="85" t="str">
        <x:v>スプリンター</x:v>
      </x:c>
      <x:c r="H62" s="85" t="n">
        <x:v>79</x:v>
      </x:c>
      <x:c r="I62" s="91" t="n">
        <x:v>75</x:v>
      </x:c>
      <x:c r="J62" s="91" t="str">
        <x:v>スプリントトレイン / 山岳アシスト / ポジションキーパー</x:v>
      </x:c>
      <x:c r="K62" s="91" t="str">
        <x:v>総合型 / スプリンター</x:v>
      </x:c>
      <x:c r="L62" s="88" t="n">
        <x:v>6800</x:v>
      </x:c>
      <x:c r="M62" s="91" t="str">
        <x:v>現役確認済</x:v>
      </x:c>
      <x:c r="N62" s="91" t="str">
        <x:v>https://en.wikipedia.org/wiki/Lennert_Van_Eetvelt</x:v>
      </x:c>
    </x:row>
    <x:row r="63" ht="22" customHeight="1">
      <x:c r="A63" s="82" t="n">
        <x:v>59</x:v>
      </x:c>
      <x:c r="B63" s="82" t="str">
        <x:v>Stefan Bissegger</x:v>
      </x:c>
      <x:c r="C63" s="82" t="str"/>
      <x:c r="D63" s="82" t="str">
        <x:v>スイス</x:v>
      </x:c>
      <x:c r="E63" s="82" t="str">
        <x:v>Decathlon–CMA CGM</x:v>
      </x:c>
      <x:c r="F63" s="82" t="str">
        <x:v>TT・ルーラー型</x:v>
      </x:c>
      <x:c r="G63" s="85" t="str">
        <x:v>クラシック型</x:v>
      </x:c>
      <x:c r="H63" s="85" t="n">
        <x:v>79</x:v>
      </x:c>
      <x:c r="I63" s="91" t="n">
        <x:v>80</x:v>
      </x:c>
      <x:c r="J63" s="91" t="str">
        <x:v>サブエース / スーパー・ドメスティーク / TTスペシャリスト / 平坦アシスト / 平坦ペースメーカー / ブレイクアウェイキラー / ポジションキーパー</x:v>
      </x:c>
      <x:c r="K63" s="91" t="str">
        <x:v>TT適性 / 巡航力 / 横風</x:v>
      </x:c>
      <x:c r="L63" s="88" t="n">
        <x:v>6750</x:v>
      </x:c>
      <x:c r="M63" s="91" t="str">
        <x:v>現役確認済</x:v>
      </x:c>
      <x:c r="N63" s="91" t="str">
        <x:v>https://en.wikipedia.org/wiki/Special:Search?search=Stefan%20Bissegger%20cyclist</x:v>
      </x:c>
    </x:row>
    <x:row r="64" ht="22" customHeight="1">
      <x:c r="A64" s="82" t="n">
        <x:v>60</x:v>
      </x:c>
      <x:c r="B64" s="82" t="str">
        <x:v>Harry Sweeny</x:v>
      </x:c>
      <x:c r="C64" s="82" t="str"/>
      <x:c r="D64" s="82" t="str">
        <x:v>オーストラリア</x:v>
      </x:c>
      <x:c r="E64" s="82" t="str">
        <x:v>EF Education–EasyPost</x:v>
      </x:c>
      <x:c r="F64" s="82" t="str">
        <x:v>クラシック型</x:v>
      </x:c>
      <x:c r="G64" s="85" t="str">
        <x:v>TT・ルーラー型</x:v>
      </x:c>
      <x:c r="H64" s="85" t="n">
        <x:v>78</x:v>
      </x:c>
      <x:c r="I64" s="91" t="n">
        <x:v>79</x:v>
      </x:c>
      <x:c r="J64" s="91" t="str">
        <x:v>平坦アシスト / TT牽引 / 石畳護衛 / ブレイクアウェイキラー / 横風要員 / 逃げ屋 / ブリッジャー</x:v>
      </x:c>
      <x:c r="K64" s="91" t="str">
        <x:v>クラシック型 / TT・ルーラー型</x:v>
      </x:c>
      <x:c r="L64" s="88" t="n">
        <x:v>8400</x:v>
      </x:c>
      <x:c r="M64" s="91" t="str">
        <x:v>現役確認済</x:v>
      </x:c>
      <x:c r="N64" s="91" t="str">
        <x:v>https://en.wikipedia.org/wiki/Harry_Sweeny</x:v>
      </x:c>
    </x:row>
    <x:row r="65" ht="22" customHeight="1">
      <x:c r="A65" s="82" t="n">
        <x:v>61</x:v>
      </x:c>
      <x:c r="B65" s="82" t="str">
        <x:v>Jefferson Alveiro Cepeda</x:v>
      </x:c>
      <x:c r="C65" s="82" t="str"/>
      <x:c r="D65" s="82" t="str">
        <x:v>エクアドル</x:v>
      </x:c>
      <x:c r="E65" s="82" t="str">
        <x:v>Movistar Team</x:v>
      </x:c>
      <x:c r="F65" s="82" t="str">
        <x:v>クラシック型</x:v>
      </x:c>
      <x:c r="G65" s="85" t="str">
        <x:v>TT・ルーラー型</x:v>
      </x:c>
      <x:c r="H65" s="85" t="n">
        <x:v>78</x:v>
      </x:c>
      <x:c r="I65" s="91" t="n">
        <x:v>79</x:v>
      </x:c>
      <x:c r="J65" s="91" t="str">
        <x:v>平坦アシスト / TT牽引 / 石畳護衛 / 横風要員 / 逃げ屋 / 横風分断 / ポジションキーパー</x:v>
      </x:c>
      <x:c r="K65" s="91" t="str">
        <x:v>クラシック型 / TT・ルーラー型</x:v>
      </x:c>
      <x:c r="L65" s="88" t="n">
        <x:v>7900</x:v>
      </x:c>
      <x:c r="M65" s="91" t="str">
        <x:v>現役確認済</x:v>
      </x:c>
      <x:c r="N65" s="91" t="str">
        <x:v>https://en.wikipedia.org/wiki/Jefferson_Alveiro_Cepeda</x:v>
      </x:c>
    </x:row>
    <x:row r="66" ht="22" customHeight="1">
      <x:c r="A66" s="82" t="n">
        <x:v>62</x:v>
      </x:c>
      <x:c r="B66" s="82" t="str">
        <x:v>Gregor Mühlberger</x:v>
      </x:c>
      <x:c r="C66" s="82" t="str"/>
      <x:c r="D66" s="82" t="str">
        <x:v>オーストリア</x:v>
      </x:c>
      <x:c r="E66" s="82" t="str">
        <x:v>Decathlon–CMA CGM</x:v>
      </x:c>
      <x:c r="F66" s="82" t="str">
        <x:v>クライマー</x:v>
      </x:c>
      <x:c r="G66" s="85" t="str">
        <x:v>パンチャー</x:v>
      </x:c>
      <x:c r="H66" s="85" t="n">
        <x:v>78</x:v>
      </x:c>
      <x:c r="I66" s="91" t="n">
        <x:v>76</x:v>
      </x:c>
      <x:c r="J66" s="91" t="str">
        <x:v>山岳賞ハンター / 山岳アシスト / 山岳番手 / 逃げ屋 / カウンターアタッカー / ポジションキーパー</x:v>
      </x:c>
      <x:c r="K66" s="91" t="str">
        <x:v>クライマー / パンチャー</x:v>
      </x:c>
      <x:c r="L66" s="88" t="n">
        <x:v>7800</x:v>
      </x:c>
      <x:c r="M66" s="91" t="str">
        <x:v>現役確認済</x:v>
      </x:c>
      <x:c r="N66" s="91" t="str">
        <x:v>https://en.wikipedia.org/wiki/Gregor_M%C3%BChlberger</x:v>
      </x:c>
    </x:row>
    <x:row r="67" ht="22" customHeight="1">
      <x:c r="A67" s="82" t="n">
        <x:v>63</x:v>
      </x:c>
      <x:c r="B67" s="82" t="str">
        <x:v>Lennard Kämna</x:v>
      </x:c>
      <x:c r="C67" s="82" t="str"/>
      <x:c r="D67" s="82" t="str">
        <x:v>ドイツ</x:v>
      </x:c>
      <x:c r="E67" s="82" t="str">
        <x:v>Lidl–Trek</x:v>
      </x:c>
      <x:c r="F67" s="82" t="str">
        <x:v>総合型</x:v>
      </x:c>
      <x:c r="G67" s="85" t="str">
        <x:v>TT・ルーラー型</x:v>
      </x:c>
      <x:c r="H67" s="85" t="n">
        <x:v>78</x:v>
      </x:c>
      <x:c r="I67" s="91" t="n">
        <x:v>76</x:v>
      </x:c>
      <x:c r="J67" s="91" t="str">
        <x:v>山岳アシスト / TT牽引</x:v>
      </x:c>
      <x:c r="K67" s="91" t="str">
        <x:v>総合型 / TT・ルーラー型</x:v>
      </x:c>
      <x:c r="L67" s="88" t="n">
        <x:v>7450</x:v>
      </x:c>
      <x:c r="M67" s="91" t="str">
        <x:v>現役確認済</x:v>
      </x:c>
      <x:c r="N67" s="91" t="str">
        <x:v>https://en.wikipedia.org/wiki/Lennard_K%C3%A4mna</x:v>
      </x:c>
    </x:row>
    <x:row r="68" ht="22" customHeight="1">
      <x:c r="A68" s="82" t="n">
        <x:v>64</x:v>
      </x:c>
      <x:c r="B68" s="82" t="str">
        <x:v>Lewis Askey</x:v>
      </x:c>
      <x:c r="C68" s="82" t="str"/>
      <x:c r="D68" s="82" t="str">
        <x:v>イギリス</x:v>
      </x:c>
      <x:c r="E68" s="82" t="str">
        <x:v>NSN Cycling Team</x:v>
      </x:c>
      <x:c r="F68" s="82" t="str">
        <x:v>総合型</x:v>
      </x:c>
      <x:c r="G68" s="85" t="str">
        <x:v>TT・ルーラー型</x:v>
      </x:c>
      <x:c r="H68" s="85" t="n">
        <x:v>78</x:v>
      </x:c>
      <x:c r="I68" s="91" t="n">
        <x:v>76</x:v>
      </x:c>
      <x:c r="J68" s="91" t="str">
        <x:v>山岳賞ハンター / 平坦アシスト / 山岳アシスト / TT牽引 / 集団コントローラー / ブレイクアウェイキラー / 超ロングスパート</x:v>
      </x:c>
      <x:c r="K68" s="91" t="str">
        <x:v>総合型 / TT・ルーラー型</x:v>
      </x:c>
      <x:c r="L68" s="88" t="n">
        <x:v>6700</x:v>
      </x:c>
      <x:c r="M68" s="91" t="str">
        <x:v>現役確認済</x:v>
      </x:c>
      <x:c r="N68" s="91" t="str">
        <x:v>https://en.wikipedia.org/wiki/Lewis_Askey</x:v>
      </x:c>
    </x:row>
    <x:row r="69" ht="22" customHeight="1">
      <x:c r="A69" s="82" t="n">
        <x:v>65</x:v>
      </x:c>
      <x:c r="B69" s="82" t="str">
        <x:v>Krists Neilands</x:v>
      </x:c>
      <x:c r="C69" s="82" t="str"/>
      <x:c r="D69" s="82" t="str">
        <x:v>LAT</x:v>
      </x:c>
      <x:c r="E69" s="82" t="str">
        <x:v>NSN Cycling Team</x:v>
      </x:c>
      <x:c r="F69" s="82" t="str">
        <x:v>パンチャー</x:v>
      </x:c>
      <x:c r="G69" s="85" t="str">
        <x:v>総合型</x:v>
      </x:c>
      <x:c r="H69" s="85" t="n">
        <x:v>78</x:v>
      </x:c>
      <x:c r="I69" s="91" t="n">
        <x:v>74</x:v>
      </x:c>
      <x:c r="J69" s="91" t="str">
        <x:v>ステージハンター / 山岳賞ハンター / 集団コントローラー / 逃げ屋 / カウンターアタッカー</x:v>
      </x:c>
      <x:c r="K69" s="91" t="str">
        <x:v>パンチャー / 総合型</x:v>
      </x:c>
      <x:c r="L69" s="88" t="n">
        <x:v>6650</x:v>
      </x:c>
      <x:c r="M69" s="91" t="str">
        <x:v>現役確認済</x:v>
      </x:c>
      <x:c r="N69" s="91" t="str">
        <x:v>https://en.wikipedia.org/wiki/Krists_Neilands</x:v>
      </x:c>
    </x:row>
    <x:row r="70" ht="22" customHeight="1">
      <x:c r="A70" s="82" t="n">
        <x:v>66</x:v>
      </x:c>
      <x:c r="B70" s="82" t="str">
        <x:v>Alexey Lutsenko</x:v>
      </x:c>
      <x:c r="C70" s="82" t="str"/>
      <x:c r="D70" s="82" t="str">
        <x:v>カザフスタン</x:v>
      </x:c>
      <x:c r="E70" s="82" t="str">
        <x:v>NSN Cycling Team</x:v>
      </x:c>
      <x:c r="F70" s="82" t="str">
        <x:v>パンチャー</x:v>
      </x:c>
      <x:c r="G70" s="85" t="str">
        <x:v>クラシック型</x:v>
      </x:c>
      <x:c r="H70" s="85" t="n">
        <x:v>78</x:v>
      </x:c>
      <x:c r="I70" s="91" t="n">
        <x:v>73</x:v>
      </x:c>
      <x:c r="J70" s="91" t="str">
        <x:v>ステージハンター / 逃げ屋 / ブリッジャー / カウンターアタッカー</x:v>
      </x:c>
      <x:c r="K70" s="91" t="str">
        <x:v>パンチャー / クラシック型</x:v>
      </x:c>
      <x:c r="L70" s="88" t="n">
        <x:v>6600</x:v>
      </x:c>
      <x:c r="M70" s="91" t="str">
        <x:v>現役確認済</x:v>
      </x:c>
      <x:c r="N70" s="91" t="str">
        <x:v>https://en.wikipedia.org/wiki/Alexey_Lutsenko</x:v>
      </x:c>
    </x:row>
    <x:row r="71" ht="22" customHeight="1">
      <x:c r="A71" s="82" t="n">
        <x:v>67</x:v>
      </x:c>
      <x:c r="B71" s="82" t="str">
        <x:v>Carlos Rodríguez (cyclist)</x:v>
      </x:c>
      <x:c r="C71" s="82" t="str"/>
      <x:c r="D71" s="82" t="str">
        <x:v>スペイン</x:v>
      </x:c>
      <x:c r="E71" s="82" t="str">
        <x:v>Netcompany INEOS Cycling Team</x:v>
      </x:c>
      <x:c r="F71" s="82" t="str">
        <x:v>総合型</x:v>
      </x:c>
      <x:c r="G71" s="85" t="str">
        <x:v>スプリンター</x:v>
      </x:c>
      <x:c r="H71" s="85" t="n">
        <x:v>77</x:v>
      </x:c>
      <x:c r="I71" s="91" t="n">
        <x:v>77</x:v>
      </x:c>
      <x:c r="J71" s="91" t="str">
        <x:v>スプリントトレイン / 平坦アシスト / 山岳アシスト / 山岳番手 / 超ロングスパート / ポジションキーパー</x:v>
      </x:c>
      <x:c r="K71" s="91" t="str">
        <x:v>総合型 / スプリンター</x:v>
      </x:c>
      <x:c r="L71" s="88" t="n">
        <x:v>7400</x:v>
      </x:c>
      <x:c r="M71" s="91" t="str">
        <x:v>現役確認済</x:v>
      </x:c>
      <x:c r="N71" s="91" t="str">
        <x:v>https://en.wikipedia.org/wiki/Carlos_Rodr%C3%ADguez_(cyclist)</x:v>
      </x:c>
    </x:row>
    <x:row r="72" ht="22" customHeight="1">
      <x:c r="A72" s="82" t="n">
        <x:v>68</x:v>
      </x:c>
      <x:c r="B72" s="82" t="str">
        <x:v>Nairo Quintana</x:v>
      </x:c>
      <x:c r="C72" s="82" t="str">
        <x:v>アンデスの鷹</x:v>
      </x:c>
      <x:c r="D72" s="82" t="str">
        <x:v>コロンビア</x:v>
      </x:c>
      <x:c r="E72" s="82" t="str">
        <x:v>Movistar Team</x:v>
      </x:c>
      <x:c r="F72" s="82" t="str">
        <x:v>クライマー</x:v>
      </x:c>
      <x:c r="G72" s="85" t="str">
        <x:v>パンチャー</x:v>
      </x:c>
      <x:c r="H72" s="85" t="n">
        <x:v>77</x:v>
      </x:c>
      <x:c r="I72" s="91" t="n">
        <x:v>70</x:v>
      </x:c>
      <x:c r="J72" s="91" t="str">
        <x:v>エース / 山岳賞ハンター / 山岳アシスト</x:v>
      </x:c>
      <x:c r="K72" s="91" t="str">
        <x:v>山岳耐久 / 反復加速</x:v>
      </x:c>
      <x:c r="L72" s="88" t="n">
        <x:v>6950</x:v>
      </x:c>
      <x:c r="M72" s="91" t="str">
        <x:v>現役確認済</x:v>
      </x:c>
      <x:c r="N72" s="91" t="str">
        <x:v>https://en.wikipedia.org/wiki/Special:Search?search=Nairo%20Quintana%20cyclist</x:v>
      </x:c>
    </x:row>
    <x:row r="73" ht="22" customHeight="1">
      <x:c r="A73" s="82" t="n">
        <x:v>69</x:v>
      </x:c>
      <x:c r="B73" s="82" t="str">
        <x:v>Andreas Leknessund</x:v>
      </x:c>
      <x:c r="C73" s="82" t="str"/>
      <x:c r="D73" s="82" t="str">
        <x:v>ノルウェー</x:v>
      </x:c>
      <x:c r="E73" s="82" t="str">
        <x:v>Uno-X Mobility</x:v>
      </x:c>
      <x:c r="F73" s="82" t="str">
        <x:v>総合型</x:v>
      </x:c>
      <x:c r="G73" s="85" t="str">
        <x:v>クラシック型</x:v>
      </x:c>
      <x:c r="H73" s="85" t="n">
        <x:v>77</x:v>
      </x:c>
      <x:c r="I73" s="91" t="n">
        <x:v>76</x:v>
      </x:c>
      <x:c r="J73" s="91" t="str">
        <x:v>平坦アシスト / 山岳アシスト / 山岳番手 / TT牽引 / 横風要員 / 逃げ屋 / 超ロングスパート</x:v>
      </x:c>
      <x:c r="K73" s="91" t="str">
        <x:v>総合型 / クラシック型</x:v>
      </x:c>
      <x:c r="L73" s="88" t="n">
        <x:v>6900</x:v>
      </x:c>
      <x:c r="M73" s="91" t="str">
        <x:v>現役確認済</x:v>
      </x:c>
      <x:c r="N73" s="91" t="str">
        <x:v>https://en.wikipedia.org/wiki/Andreas_Leknessund</x:v>
      </x:c>
    </x:row>
    <x:row r="74" ht="22" customHeight="1">
      <x:c r="A74" s="82" t="n">
        <x:v>70</x:v>
      </x:c>
      <x:c r="B74" s="82" t="str">
        <x:v>Aleksandr Vlasov (cyclist)</x:v>
      </x:c>
      <x:c r="C74" s="82" t="str"/>
      <x:c r="D74" s="82" t="str">
        <x:v>RUS</x:v>
      </x:c>
      <x:c r="E74" s="82" t="str">
        <x:v>Red Bull–Bora–Hansgrohe</x:v>
      </x:c>
      <x:c r="F74" s="82" t="str">
        <x:v>総合型</x:v>
      </x:c>
      <x:c r="G74" s="85" t="str">
        <x:v>クライマー</x:v>
      </x:c>
      <x:c r="H74" s="85" t="n">
        <x:v>77</x:v>
      </x:c>
      <x:c r="I74" s="91" t="n">
        <x:v>76</x:v>
      </x:c>
      <x:c r="J74" s="91" t="str">
        <x:v>山岳賞ハンター / 山岳アシスト / ブリッジャー</x:v>
      </x:c>
      <x:c r="K74" s="91" t="str">
        <x:v>総合型 / クライマー</x:v>
      </x:c>
      <x:c r="L74" s="88" t="n">
        <x:v>6850</x:v>
      </x:c>
      <x:c r="M74" s="91" t="str">
        <x:v>現役確認済</x:v>
      </x:c>
      <x:c r="N74" s="91" t="str">
        <x:v>https://en.wikipedia.org/wiki/Aleksandr_Vlasov_(cyclist)</x:v>
      </x:c>
    </x:row>
    <x:row r="75" ht="22" customHeight="1">
      <x:c r="A75" s="82" t="n">
        <x:v>71</x:v>
      </x:c>
      <x:c r="B75" s="82" t="str">
        <x:v>Carl-Frederik Bévort</x:v>
      </x:c>
      <x:c r="C75" s="82" t="str"/>
      <x:c r="D75" s="82" t="str">
        <x:v>デンマーク</x:v>
      </x:c>
      <x:c r="E75" s="82" t="str">
        <x:v>Uno-X Mobility</x:v>
      </x:c>
      <x:c r="F75" s="82" t="str">
        <x:v>クラシック型</x:v>
      </x:c>
      <x:c r="G75" s="85" t="str">
        <x:v>パンチャー</x:v>
      </x:c>
      <x:c r="H75" s="85" t="n">
        <x:v>77</x:v>
      </x:c>
      <x:c r="I75" s="91" t="n">
        <x:v>75</x:v>
      </x:c>
      <x:c r="J75" s="91" t="str">
        <x:v>ステージハンター / 石畳護衛 / ブレイクアウェイキラー / 横風要員 / 逃げ屋 / ポジションキーパー</x:v>
      </x:c>
      <x:c r="K75" s="91" t="str">
        <x:v>クラシック型 / パンチャー</x:v>
      </x:c>
      <x:c r="L75" s="88" t="n">
        <x:v>6500</x:v>
      </x:c>
      <x:c r="M75" s="91" t="str">
        <x:v>現役確認済</x:v>
      </x:c>
      <x:c r="N75" s="91" t="str">
        <x:v>https://en.wikipedia.org/wiki/Carl-Frederik_B%C3%A9vort</x:v>
      </x:c>
    </x:row>
    <x:row r="76" ht="22" customHeight="1">
      <x:c r="A76" s="82" t="n">
        <x:v>72</x:v>
      </x:c>
      <x:c r="B76" s="82" t="str">
        <x:v>Frits Biesterbos</x:v>
      </x:c>
      <x:c r="C76" s="82" t="str"/>
      <x:c r="D76" s="82" t="str">
        <x:v>オランダ</x:v>
      </x:c>
      <x:c r="E76" s="82" t="str">
        <x:v>Team Picnic–PostNL</x:v>
      </x:c>
      <x:c r="F76" s="82" t="str">
        <x:v>クライマー</x:v>
      </x:c>
      <x:c r="G76" s="85" t="str">
        <x:v>パンチャー</x:v>
      </x:c>
      <x:c r="H76" s="85" t="n">
        <x:v>77</x:v>
      </x:c>
      <x:c r="I76" s="91" t="n">
        <x:v>75</x:v>
      </x:c>
      <x:c r="J76" s="91" t="str">
        <x:v>山岳賞ハンター / 山岳アシスト</x:v>
      </x:c>
      <x:c r="K76" s="91" t="str">
        <x:v>クライマー / パンチャー</x:v>
      </x:c>
      <x:c r="L76" s="88" t="n">
        <x:v>6500</x:v>
      </x:c>
      <x:c r="M76" s="91" t="str">
        <x:v>現役確認済</x:v>
      </x:c>
      <x:c r="N76" s="91" t="str">
        <x:v>https://en.wikipedia.org/wiki/Frits_Biesterbos</x:v>
      </x:c>
    </x:row>
    <x:row r="77" ht="22" customHeight="1">
      <x:c r="A77" s="82" t="n">
        <x:v>73</x:v>
      </x:c>
      <x:c r="B77" s="82" t="str">
        <x:v>Ethan Vernon</x:v>
      </x:c>
      <x:c r="C77" s="82" t="str"/>
      <x:c r="D77" s="82" t="str">
        <x:v>イギリス</x:v>
      </x:c>
      <x:c r="E77" s="82" t="str">
        <x:v>NSN Cycling Team</x:v>
      </x:c>
      <x:c r="F77" s="82" t="str">
        <x:v>スプリンター</x:v>
      </x:c>
      <x:c r="G77" s="85" t="str">
        <x:v>クラシック型</x:v>
      </x:c>
      <x:c r="H77" s="85" t="n">
        <x:v>77</x:v>
      </x:c>
      <x:c r="I77" s="91" t="n">
        <x:v>72</x:v>
      </x:c>
      <x:c r="J77" s="91" t="str">
        <x:v>リードアウト / 最終発射台 / 逃げ屋 / 超ロングスパート / ブリッジャー / 無賃乗車</x:v>
      </x:c>
      <x:c r="K77" s="91" t="str">
        <x:v>スプリンター / クラシック型</x:v>
      </x:c>
      <x:c r="L77" s="88" t="n">
        <x:v>6300</x:v>
      </x:c>
      <x:c r="M77" s="91" t="str">
        <x:v>現役確認済</x:v>
      </x:c>
      <x:c r="N77" s="91" t="str">
        <x:v>https://en.wikipedia.org/wiki/Ethan_Vernon</x:v>
      </x:c>
    </x:row>
    <x:row r="78" ht="22" customHeight="1">
      <x:c r="A78" s="82" t="n">
        <x:v>74</x:v>
      </x:c>
      <x:c r="B78" s="82" t="str">
        <x:v>Hugo Hofstetter</x:v>
      </x:c>
      <x:c r="C78" s="82" t="str"/>
      <x:c r="D78" s="82" t="str">
        <x:v>フランス</x:v>
      </x:c>
      <x:c r="E78" s="82" t="str">
        <x:v>NSN Cycling Team</x:v>
      </x:c>
      <x:c r="F78" s="82" t="str">
        <x:v>スプリンター</x:v>
      </x:c>
      <x:c r="G78" s="85" t="str">
        <x:v>総合型</x:v>
      </x:c>
      <x:c r="H78" s="85" t="n">
        <x:v>77</x:v>
      </x:c>
      <x:c r="I78" s="91" t="n">
        <x:v>71</x:v>
      </x:c>
      <x:c r="J78" s="91" t="str">
        <x:v>リードアウト / 最終発射台 / スプリントトレイン / 集団コントローラー</x:v>
      </x:c>
      <x:c r="K78" s="91" t="str">
        <x:v>スプリンター / 総合型</x:v>
      </x:c>
      <x:c r="L78" s="88" t="n">
        <x:v>6150</x:v>
      </x:c>
      <x:c r="M78" s="91" t="str">
        <x:v>現役確認済</x:v>
      </x:c>
      <x:c r="N78" s="91" t="str">
        <x:v>https://en.wikipedia.org/wiki/Hugo_Hofstetter</x:v>
      </x:c>
    </x:row>
    <x:row r="79" ht="22" customHeight="1">
      <x:c r="A79" s="82" t="n">
        <x:v>75</x:v>
      </x:c>
      <x:c r="B79" s="82" t="str">
        <x:v>Itamar Einhorn</x:v>
      </x:c>
      <x:c r="C79" s="82" t="str"/>
      <x:c r="D79" s="82" t="str">
        <x:v>イスラエル</x:v>
      </x:c>
      <x:c r="E79" s="82" t="str">
        <x:v>NSN Cycling Team</x:v>
      </x:c>
      <x:c r="F79" s="82" t="str">
        <x:v>スプリンター</x:v>
      </x:c>
      <x:c r="G79" s="85" t="str">
        <x:v>総合型</x:v>
      </x:c>
      <x:c r="H79" s="85" t="n">
        <x:v>77</x:v>
      </x:c>
      <x:c r="I79" s="91" t="n">
        <x:v>71</x:v>
      </x:c>
      <x:c r="J79" s="91" t="str">
        <x:v>リードアウト / 最終発射台 / スプリントトレイン / 集団コントローラー / ポジションキーパー</x:v>
      </x:c>
      <x:c r="K79" s="91" t="str">
        <x:v>スプリンター / 総合型</x:v>
      </x:c>
      <x:c r="L79" s="88" t="n">
        <x:v>5950</x:v>
      </x:c>
      <x:c r="M79" s="91" t="str">
        <x:v>現役確認済</x:v>
      </x:c>
      <x:c r="N79" s="91" t="str">
        <x:v>https://en.wikipedia.org/wiki/Itamar_Einhorn</x:v>
      </x:c>
    </x:row>
    <x:row r="80" ht="22" customHeight="1">
      <x:c r="A80" s="82" t="n">
        <x:v>76</x:v>
      </x:c>
      <x:c r="B80" s="82" t="str">
        <x:v>Albert Torres (cyclist)</x:v>
      </x:c>
      <x:c r="C80" s="82" t="str"/>
      <x:c r="D80" s="82" t="str">
        <x:v>スペイン</x:v>
      </x:c>
      <x:c r="E80" s="82" t="str">
        <x:v>Movistar Team</x:v>
      </x:c>
      <x:c r="F80" s="82" t="str">
        <x:v>クラシック型</x:v>
      </x:c>
      <x:c r="G80" s="85" t="str">
        <x:v>TT・ルーラー型</x:v>
      </x:c>
      <x:c r="H80" s="85" t="n">
        <x:v>76</x:v>
      </x:c>
      <x:c r="I80" s="91" t="n">
        <x:v>79</x:v>
      </x:c>
      <x:c r="J80" s="91" t="str">
        <x:v>ロードキャプテン / 平坦アシスト / TT牽引 / 石畳護衛 / 横風要員 / 逃げ屋 / 超ロングスパート</x:v>
      </x:c>
      <x:c r="K80" s="91" t="str">
        <x:v>クラシック型 / TT・ルーラー型</x:v>
      </x:c>
      <x:c r="L80" s="88" t="n">
        <x:v>6950</x:v>
      </x:c>
      <x:c r="M80" s="91" t="str">
        <x:v>現役確認済</x:v>
      </x:c>
      <x:c r="N80" s="91" t="str">
        <x:v>https://en.wikipedia.org/wiki/Albert_Torres_(cyclist)</x:v>
      </x:c>
    </x:row>
    <x:row r="81" ht="22" customHeight="1">
      <x:c r="A81" s="82" t="n">
        <x:v>77</x:v>
      </x:c>
      <x:c r="B81" s="82" t="str">
        <x:v>Iván García Cortina</x:v>
      </x:c>
      <x:c r="C81" s="82" t="str"/>
      <x:c r="D81" s="82" t="str">
        <x:v>スペイン</x:v>
      </x:c>
      <x:c r="E81" s="82" t="str">
        <x:v>Movistar Team</x:v>
      </x:c>
      <x:c r="F81" s="82" t="str">
        <x:v>クラシック型</x:v>
      </x:c>
      <x:c r="G81" s="85" t="str">
        <x:v>スプリンター</x:v>
      </x:c>
      <x:c r="H81" s="85" t="n">
        <x:v>76</x:v>
      </x:c>
      <x:c r="I81" s="91" t="n">
        <x:v>76</x:v>
      </x:c>
      <x:c r="J81" s="91" t="str">
        <x:v>ロードキャプテン / スプリントトレイン / 石畳護衛 / 横風要員 / 横風分断 / ポジションキーパー</x:v>
      </x:c>
      <x:c r="K81" s="91" t="str">
        <x:v>クラシック型 / スプリンター</x:v>
      </x:c>
      <x:c r="L81" s="88" t="n">
        <x:v>6350</x:v>
      </x:c>
      <x:c r="M81" s="91" t="str">
        <x:v>現役確認済</x:v>
      </x:c>
      <x:c r="N81" s="91" t="str">
        <x:v>https://en.wikipedia.org/wiki/Iv%C3%A1n_Garc%C3%ADa_Cortina</x:v>
      </x:c>
    </x:row>
    <x:row r="82" ht="22" customHeight="1">
      <x:c r="A82" s="82" t="n">
        <x:v>78</x:v>
      </x:c>
      <x:c r="B82" s="82" t="str">
        <x:v>Kevin Geniets</x:v>
      </x:c>
      <x:c r="C82" s="82" t="str"/>
      <x:c r="D82" s="82" t="str">
        <x:v>ルクセンブルク</x:v>
      </x:c>
      <x:c r="E82" s="82" t="str">
        <x:v>Groupama–FDJ United</x:v>
      </x:c>
      <x:c r="F82" s="82" t="str">
        <x:v>パンチャー</x:v>
      </x:c>
      <x:c r="G82" s="85" t="str">
        <x:v>スプリンター</x:v>
      </x:c>
      <x:c r="H82" s="85" t="n">
        <x:v>76</x:v>
      </x:c>
      <x:c r="I82" s="91" t="n">
        <x:v>72</x:v>
      </x:c>
      <x:c r="J82" s="91" t="str">
        <x:v>ステージハンター / 山岳賞ハンター / スプリントトレイン / 逃げ屋 / カウンターアタッカー / ポジションキーパー</x:v>
      </x:c>
      <x:c r="K82" s="91" t="str">
        <x:v>パンチャー / スプリンター</x:v>
      </x:c>
      <x:c r="L82" s="88" t="n">
        <x:v>6200</x:v>
      </x:c>
      <x:c r="M82" s="91" t="str">
        <x:v>現役確認済</x:v>
      </x:c>
      <x:c r="N82" s="91" t="str">
        <x:v>https://en.wikipedia.org/wiki/Kevin_Geniets</x:v>
      </x:c>
    </x:row>
    <x:row r="83" ht="22" customHeight="1">
      <x:c r="A83" s="82" t="n">
        <x:v>79</x:v>
      </x:c>
      <x:c r="B83" s="82" t="str">
        <x:v>Anthon Charmig</x:v>
      </x:c>
      <x:c r="C83" s="82" t="str"/>
      <x:c r="D83" s="82" t="str">
        <x:v>デンマーク</x:v>
      </x:c>
      <x:c r="E83" s="82" t="str">
        <x:v>Uno-X Mobility</x:v>
      </x:c>
      <x:c r="F83" s="82" t="str">
        <x:v>総合型</x:v>
      </x:c>
      <x:c r="G83" s="85" t="str">
        <x:v>スプリンター</x:v>
      </x:c>
      <x:c r="H83" s="85" t="n">
        <x:v>76</x:v>
      </x:c>
      <x:c r="I83" s="91" t="n">
        <x:v>74</x:v>
      </x:c>
      <x:c r="J83" s="91" t="str">
        <x:v>ロードキャプテン / 山岳賞ハンター / スプリントトレイン / 山岳アシスト</x:v>
      </x:c>
      <x:c r="K83" s="91" t="str">
        <x:v>総合型 / スプリンター</x:v>
      </x:c>
      <x:c r="L83" s="88" t="n">
        <x:v>6150</x:v>
      </x:c>
      <x:c r="M83" s="91" t="str">
        <x:v>現役確認済</x:v>
      </x:c>
      <x:c r="N83" s="91" t="str">
        <x:v>https://en.wikipedia.org/wiki/Anthon_Charmig</x:v>
      </x:c>
    </x:row>
    <x:row r="84" ht="22" customHeight="1">
      <x:c r="A84" s="82" t="n">
        <x:v>80</x:v>
      </x:c>
      <x:c r="B84" s="82" t="str">
        <x:v>Andrea Bagioli</x:v>
      </x:c>
      <x:c r="C84" s="82" t="str"/>
      <x:c r="D84" s="82" t="str">
        <x:v>イタリア</x:v>
      </x:c>
      <x:c r="E84" s="82" t="str">
        <x:v>Lidl–Trek</x:v>
      </x:c>
      <x:c r="F84" s="82" t="str">
        <x:v>パンチャー</x:v>
      </x:c>
      <x:c r="G84" s="85" t="str">
        <x:v>総合型</x:v>
      </x:c>
      <x:c r="H84" s="85" t="n">
        <x:v>76</x:v>
      </x:c>
      <x:c r="I84" s="91" t="n">
        <x:v>72</x:v>
      </x:c>
      <x:c r="J84" s="91" t="str">
        <x:v>ステージハンター / 下り牽引 / 集団コントローラー / 逃げ屋 / ブリッジャー</x:v>
      </x:c>
      <x:c r="K84" s="91" t="str">
        <x:v>パンチャー / 総合型</x:v>
      </x:c>
      <x:c r="L84" s="88" t="n">
        <x:v>6050</x:v>
      </x:c>
      <x:c r="M84" s="91" t="str">
        <x:v>現役確認済</x:v>
      </x:c>
      <x:c r="N84" s="91" t="str">
        <x:v>https://en.wikipedia.org/wiki/Andrea_Bagioli</x:v>
      </x:c>
    </x:row>
    <x:row r="85" ht="22" customHeight="1">
      <x:c r="A85" s="82" t="n">
        <x:v>81</x:v>
      </x:c>
      <x:c r="B85" s="82" t="str">
        <x:v>Alan Hatherly</x:v>
      </x:c>
      <x:c r="C85" s="82" t="str"/>
      <x:c r="D85" s="82" t="str">
        <x:v>南アフリカ</x:v>
      </x:c>
      <x:c r="E85" s="82" t="str">
        <x:v>Team Jayco–AlUla</x:v>
      </x:c>
      <x:c r="F85" s="82" t="str">
        <x:v>スプリンター</x:v>
      </x:c>
      <x:c r="G85" s="85" t="str">
        <x:v>総合型</x:v>
      </x:c>
      <x:c r="H85" s="85" t="n">
        <x:v>76</x:v>
      </x:c>
      <x:c r="I85" s="91" t="n">
        <x:v>72</x:v>
      </x:c>
      <x:c r="J85" s="91" t="str">
        <x:v>リードアウト / 最終発射台 / 集団コントローラー / ブリッジャー / 横風分断</x:v>
      </x:c>
      <x:c r="K85" s="91" t="str">
        <x:v>スプリンター / 総合型</x:v>
      </x:c>
      <x:c r="L85" s="88" t="n">
        <x:v>5900</x:v>
      </x:c>
      <x:c r="M85" s="91" t="str">
        <x:v>現役確認済</x:v>
      </x:c>
      <x:c r="N85" s="91" t="str">
        <x:v>https://en.wikipedia.org/wiki/Alan_Hatherly</x:v>
      </x:c>
    </x:row>
    <x:row r="86" ht="22" customHeight="1">
      <x:c r="A86" s="82" t="n">
        <x:v>82</x:v>
      </x:c>
      <x:c r="B86" s="82" t="str">
        <x:v>Sepp Kuss</x:v>
      </x:c>
      <x:c r="C86" s="82" t="str"/>
      <x:c r="D86" s="82" t="str">
        <x:v>アメリカ</x:v>
      </x:c>
      <x:c r="E86" s="82" t="str">
        <x:v>Visma–Lease a Bike</x:v>
      </x:c>
      <x:c r="F86" s="82" t="str">
        <x:v>クライマー</x:v>
      </x:c>
      <x:c r="G86" s="85" t="str">
        <x:v>総合型</x:v>
      </x:c>
      <x:c r="H86" s="85" t="n">
        <x:v>76</x:v>
      </x:c>
      <x:c r="I86" s="91" t="n">
        <x:v>80</x:v>
      </x:c>
      <x:c r="J86" s="91" t="str">
        <x:v>サブエース / スーパー・ドメスティーク / 山岳アシスト / 山岳番手 / 集団コントローラー</x:v>
      </x:c>
      <x:c r="K86" s="91" t="str">
        <x:v>山岳耐久 / 総合安定</x:v>
      </x:c>
      <x:c r="L86" s="88" t="n">
        <x:v>5850</x:v>
      </x:c>
      <x:c r="M86" s="91" t="str">
        <x:v>現役確認済</x:v>
      </x:c>
      <x:c r="N86" s="91" t="str">
        <x:v>https://en.wikipedia.org/wiki/Special:Search?search=Sepp%20Kuss%20cyclist</x:v>
      </x:c>
    </x:row>
    <x:row r="87" ht="22" customHeight="1">
      <x:c r="A87" s="82" t="n">
        <x:v>83</x:v>
      </x:c>
      <x:c r="B87" s="82" t="str">
        <x:v>Cedric Beullens</x:v>
      </x:c>
      <x:c r="C87" s="82" t="str"/>
      <x:c r="D87" s="82" t="str">
        <x:v>ベルギー</x:v>
      </x:c>
      <x:c r="E87" s="82" t="str">
        <x:v>Lotto–Intermarché</x:v>
      </x:c>
      <x:c r="F87" s="82" t="str">
        <x:v>パンチャー</x:v>
      </x:c>
      <x:c r="G87" s="85" t="str">
        <x:v>TT・ルーラー型</x:v>
      </x:c>
      <x:c r="H87" s="85" t="n">
        <x:v>76</x:v>
      </x:c>
      <x:c r="I87" s="91" t="n">
        <x:v>72</x:v>
      </x:c>
      <x:c r="J87" s="91" t="str">
        <x:v>ステージハンター / 山岳賞ハンター / カウンターアタッカー</x:v>
      </x:c>
      <x:c r="K87" s="91" t="str">
        <x:v>パンチャー / TT・ルーラー型</x:v>
      </x:c>
      <x:c r="L87" s="88" t="n">
        <x:v>5750</x:v>
      </x:c>
      <x:c r="M87" s="91" t="str">
        <x:v>現役確認済</x:v>
      </x:c>
      <x:c r="N87" s="91" t="str">
        <x:v>https://en.wikipedia.org/wiki/C%C3%A9dric_Beullens</x:v>
      </x:c>
    </x:row>
    <x:row r="88" ht="22" customHeight="1">
      <x:c r="A88" s="82" t="n">
        <x:v>84</x:v>
      </x:c>
      <x:c r="B88" s="82" t="str">
        <x:v>Diego Ulissi</x:v>
      </x:c>
      <x:c r="C88" s="82" t="str"/>
      <x:c r="D88" s="82" t="str">
        <x:v>イタリア</x:v>
      </x:c>
      <x:c r="E88" s="82" t="str">
        <x:v>XDS Astana Team</x:v>
      </x:c>
      <x:c r="F88" s="82" t="str">
        <x:v>パンチャー</x:v>
      </x:c>
      <x:c r="G88" s="85" t="str">
        <x:v>クライマー</x:v>
      </x:c>
      <x:c r="H88" s="85" t="n">
        <x:v>76</x:v>
      </x:c>
      <x:c r="I88" s="91" t="n">
        <x:v>72</x:v>
      </x:c>
      <x:c r="J88" s="91" t="str">
        <x:v>ステージハンター / 山岳賞ハンター / 逃げ屋 / ポジションキーパー</x:v>
      </x:c>
      <x:c r="K88" s="91" t="str">
        <x:v>パンチャー / クライマー</x:v>
      </x:c>
      <x:c r="L88" s="88" t="n">
        <x:v>5700</x:v>
      </x:c>
      <x:c r="M88" s="91" t="str">
        <x:v>現役確認済</x:v>
      </x:c>
      <x:c r="N88" s="91" t="str">
        <x:v>https://en.wikipedia.org/wiki/Diego_Ulissi</x:v>
      </x:c>
    </x:row>
    <x:row r="89" ht="22" customHeight="1">
      <x:c r="A89" s="82" t="n">
        <x:v>85</x:v>
      </x:c>
      <x:c r="B89" s="82" t="str">
        <x:v>Henri Uhlig</x:v>
      </x:c>
      <x:c r="C89" s="82" t="str"/>
      <x:c r="D89" s="82" t="str">
        <x:v>ドイツ</x:v>
      </x:c>
      <x:c r="E89" s="82" t="str">
        <x:v>Alpecin–Premier Tech</x:v>
      </x:c>
      <x:c r="F89" s="82" t="str">
        <x:v>総合型</x:v>
      </x:c>
      <x:c r="G89" s="85" t="str">
        <x:v>パンチャー</x:v>
      </x:c>
      <x:c r="H89" s="85" t="n">
        <x:v>76</x:v>
      </x:c>
      <x:c r="I89" s="91" t="n">
        <x:v>71</x:v>
      </x:c>
      <x:c r="J89" s="91" t="str">
        <x:v>山岳賞ハンター / 山岳アシスト / 山岳番手</x:v>
      </x:c>
      <x:c r="K89" s="91" t="str">
        <x:v>総合型 / パンチャー</x:v>
      </x:c>
      <x:c r="L89" s="88" t="n">
        <x:v>5600</x:v>
      </x:c>
      <x:c r="M89" s="91" t="str">
        <x:v>現役確認済</x:v>
      </x:c>
      <x:c r="N89" s="91" t="str">
        <x:v>https://en.wikipedia.org/wiki/Henri_Uhlig</x:v>
      </x:c>
    </x:row>
    <x:row r="90" ht="22" customHeight="1">
      <x:c r="A90" s="82" t="n">
        <x:v>86</x:v>
      </x:c>
      <x:c r="B90" s="82" t="str">
        <x:v>Alberto Dainese</x:v>
      </x:c>
      <x:c r="C90" s="82" t="str"/>
      <x:c r="D90" s="82" t="str">
        <x:v>イタリア</x:v>
      </x:c>
      <x:c r="E90" s="82" t="str">
        <x:v>Soudal–Quick-Step</x:v>
      </x:c>
      <x:c r="F90" s="82" t="str">
        <x:v>スプリンター</x:v>
      </x:c>
      <x:c r="G90" s="85" t="str">
        <x:v>総合型</x:v>
      </x:c>
      <x:c r="H90" s="85" t="n">
        <x:v>76</x:v>
      </x:c>
      <x:c r="I90" s="91" t="n">
        <x:v>70</x:v>
      </x:c>
      <x:c r="J90" s="91" t="str">
        <x:v>リードアウト / 最終発射台 / スプリントトレイン / 集団コントローラー</x:v>
      </x:c>
      <x:c r="K90" s="91" t="str">
        <x:v>スプリンター / 総合型</x:v>
      </x:c>
      <x:c r="L90" s="88" t="n">
        <x:v>5350</x:v>
      </x:c>
      <x:c r="M90" s="91" t="str">
        <x:v>現役確認済</x:v>
      </x:c>
      <x:c r="N90" s="91" t="str">
        <x:v>https://en.wikipedia.org/wiki/Alberto_Dainese</x:v>
      </x:c>
    </x:row>
    <x:row r="91" ht="22" customHeight="1">
      <x:c r="A91" s="82" t="n">
        <x:v>87</x:v>
      </x:c>
      <x:c r="B91" s="82" t="str">
        <x:v>Andrea Vendrame</x:v>
      </x:c>
      <x:c r="C91" s="82" t="str"/>
      <x:c r="D91" s="82" t="str">
        <x:v>イタリア</x:v>
      </x:c>
      <x:c r="E91" s="82" t="str">
        <x:v>Team Jayco–AlUla</x:v>
      </x:c>
      <x:c r="F91" s="82" t="str">
        <x:v>パンチャー</x:v>
      </x:c>
      <x:c r="G91" s="85" t="str">
        <x:v>クライマー</x:v>
      </x:c>
      <x:c r="H91" s="85" t="n">
        <x:v>76</x:v>
      </x:c>
      <x:c r="I91" s="91" t="n">
        <x:v>69</x:v>
      </x:c>
      <x:c r="J91" s="91" t="str">
        <x:v>ステージハンター / 山岳賞ハンター</x:v>
      </x:c>
      <x:c r="K91" s="91" t="str">
        <x:v>パンチャー / クライマー</x:v>
      </x:c>
      <x:c r="L91" s="88" t="n">
        <x:v>5300</x:v>
      </x:c>
      <x:c r="M91" s="91" t="str">
        <x:v>現役確認済</x:v>
      </x:c>
      <x:c r="N91" s="91" t="str">
        <x:v>https://en.wikipedia.org/wiki/Andrea_Vendrame</x:v>
      </x:c>
    </x:row>
    <x:row r="92" ht="22" customHeight="1">
      <x:c r="A92" s="82" t="n">
        <x:v>88</x:v>
      </x:c>
      <x:c r="B92" s="82" t="str">
        <x:v>Amaury Capiot</x:v>
      </x:c>
      <x:c r="C92" s="82" t="str"/>
      <x:c r="D92" s="82" t="str">
        <x:v>ベルギー</x:v>
      </x:c>
      <x:c r="E92" s="82" t="str">
        <x:v>Team Jayco–AlUla</x:v>
      </x:c>
      <x:c r="F92" s="82" t="str">
        <x:v>クラシック型</x:v>
      </x:c>
      <x:c r="G92" s="85" t="str">
        <x:v>クライマー</x:v>
      </x:c>
      <x:c r="H92" s="85" t="n">
        <x:v>75</x:v>
      </x:c>
      <x:c r="I92" s="91" t="n">
        <x:v>80</x:v>
      </x:c>
      <x:c r="J92" s="91" t="str">
        <x:v>山岳賞ハンター / 平坦アシスト / TT牽引 / 石畳護衛 / 横風要員 / 逃げ屋 / 横風分断</x:v>
      </x:c>
      <x:c r="K92" s="91" t="str">
        <x:v>クラシック型 / クライマー</x:v>
      </x:c>
      <x:c r="L92" s="88" t="n">
        <x:v>7100</x:v>
      </x:c>
      <x:c r="M92" s="91" t="str">
        <x:v>現役確認済</x:v>
      </x:c>
      <x:c r="N92" s="91" t="str">
        <x:v>https://en.wikipedia.org/wiki/Amaury_Capiot</x:v>
      </x:c>
    </x:row>
    <x:row r="93" ht="22" customHeight="1">
      <x:c r="A93" s="82" t="n">
        <x:v>89</x:v>
      </x:c>
      <x:c r="B93" s="82" t="str">
        <x:v>Jake Stewart (cyclist)</x:v>
      </x:c>
      <x:c r="C93" s="82" t="str"/>
      <x:c r="D93" s="82" t="str">
        <x:v>イギリス</x:v>
      </x:c>
      <x:c r="E93" s="82" t="str">
        <x:v>NSN Cycling Team</x:v>
      </x:c>
      <x:c r="F93" s="82" t="str">
        <x:v>クラシック型</x:v>
      </x:c>
      <x:c r="G93" s="85" t="str">
        <x:v>パンチャー</x:v>
      </x:c>
      <x:c r="H93" s="85" t="n">
        <x:v>75</x:v>
      </x:c>
      <x:c r="I93" s="91" t="n">
        <x:v>78</x:v>
      </x:c>
      <x:c r="J93" s="91" t="str">
        <x:v>ステージハンター / 平坦アシスト / 石畳護衛 / 横風要員 / 逃げ屋 / 超ロングスパート / ブリッジャー</x:v>
      </x:c>
      <x:c r="K93" s="91" t="str">
        <x:v>クラシック型 / パンチャー</x:v>
      </x:c>
      <x:c r="L93" s="88" t="n">
        <x:v>7000</x:v>
      </x:c>
      <x:c r="M93" s="91" t="str">
        <x:v>現役確認済</x:v>
      </x:c>
      <x:c r="N93" s="91" t="str">
        <x:v>https://en.wikipedia.org/wiki/Jake_Stewart_(cyclist)</x:v>
      </x:c>
    </x:row>
    <x:row r="94" ht="22" customHeight="1">
      <x:c r="A94" s="82" t="n">
        <x:v>90</x:v>
      </x:c>
      <x:c r="B94" s="82" t="str">
        <x:v>Aaron Gate</x:v>
      </x:c>
      <x:c r="C94" s="82" t="str"/>
      <x:c r="D94" s="82" t="str">
        <x:v>ニュージーランド</x:v>
      </x:c>
      <x:c r="E94" s="82" t="str">
        <x:v>XDS Astana Team</x:v>
      </x:c>
      <x:c r="F94" s="82" t="str">
        <x:v>クラシック型</x:v>
      </x:c>
      <x:c r="G94" s="85" t="str">
        <x:v>TT・ルーラー型</x:v>
      </x:c>
      <x:c r="H94" s="85" t="n">
        <x:v>75</x:v>
      </x:c>
      <x:c r="I94" s="91" t="n">
        <x:v>78</x:v>
      </x:c>
      <x:c r="J94" s="91" t="str">
        <x:v>平坦アシスト / TT牽引 / 石畳護衛 / 横風要員 / 逃げ屋 / 超ロングスパート / 横風分断</x:v>
      </x:c>
      <x:c r="K94" s="91" t="str">
        <x:v>クラシック型 / TT・ルーラー型</x:v>
      </x:c>
      <x:c r="L94" s="88" t="n">
        <x:v>7000</x:v>
      </x:c>
      <x:c r="M94" s="91" t="str">
        <x:v>現役確認済</x:v>
      </x:c>
      <x:c r="N94" s="91" t="str">
        <x:v>https://en.wikipedia.org/wiki/Aaron_Gate</x:v>
      </x:c>
    </x:row>
    <x:row r="95" ht="22" customHeight="1">
      <x:c r="A95" s="82" t="n">
        <x:v>91</x:v>
      </x:c>
      <x:c r="B95" s="82" t="str">
        <x:v>Jonas Abrahamsen</x:v>
      </x:c>
      <x:c r="C95" s="82" t="str"/>
      <x:c r="D95" s="82" t="str">
        <x:v>ノルウェー</x:v>
      </x:c>
      <x:c r="E95" s="82" t="str">
        <x:v>Uno-X Mobility</x:v>
      </x:c>
      <x:c r="F95" s="82" t="str">
        <x:v>クラシック型</x:v>
      </x:c>
      <x:c r="G95" s="85" t="str">
        <x:v>スプリンター</x:v>
      </x:c>
      <x:c r="H95" s="85" t="n">
        <x:v>75</x:v>
      </x:c>
      <x:c r="I95" s="91" t="n">
        <x:v>78</x:v>
      </x:c>
      <x:c r="J95" s="91" t="str">
        <x:v>スプリントトレイン / 平坦アシスト / 石畳護衛 / 横風要員 / 逃げ屋 / 超ロングスパート / 横風分断</x:v>
      </x:c>
      <x:c r="K95" s="91" t="str">
        <x:v>クラシック型 / スプリンター</x:v>
      </x:c>
      <x:c r="L95" s="88" t="n">
        <x:v>6850</x:v>
      </x:c>
      <x:c r="M95" s="91" t="str">
        <x:v>現役確認済</x:v>
      </x:c>
      <x:c r="N95" s="91" t="str">
        <x:v>https://en.wikipedia.org/wiki/Jonas_Abrahamsen</x:v>
      </x:c>
    </x:row>
    <x:row r="96" ht="22" customHeight="1">
      <x:c r="A96" s="82" t="n">
        <x:v>92</x:v>
      </x:c>
      <x:c r="B96" s="82" t="str">
        <x:v>Clément Russo</x:v>
      </x:c>
      <x:c r="C96" s="82" t="str"/>
      <x:c r="D96" s="82" t="str">
        <x:v>フランス</x:v>
      </x:c>
      <x:c r="E96" s="82" t="str">
        <x:v>Groupama–FDJ United</x:v>
      </x:c>
      <x:c r="F96" s="82" t="str">
        <x:v>クラシック型</x:v>
      </x:c>
      <x:c r="G96" s="85" t="str">
        <x:v>TT・ルーラー型</x:v>
      </x:c>
      <x:c r="H96" s="85" t="n">
        <x:v>75</x:v>
      </x:c>
      <x:c r="I96" s="91" t="n">
        <x:v>79</x:v>
      </x:c>
      <x:c r="J96" s="91" t="str">
        <x:v>平坦アシスト / 平坦ペースメーカー / TT牽引 / 石畳護衛 / 横風要員 / 逃げ屋 / 超ロングスパート</x:v>
      </x:c>
      <x:c r="K96" s="91" t="str">
        <x:v>クラシック型 / TT・ルーラー型</x:v>
      </x:c>
      <x:c r="L96" s="88" t="n">
        <x:v>6650</x:v>
      </x:c>
      <x:c r="M96" s="91" t="str">
        <x:v>現役確認済</x:v>
      </x:c>
      <x:c r="N96" s="91" t="str">
        <x:v>https://en.wikipedia.org/wiki/Cl%C3%A9ment_Russo</x:v>
      </x:c>
    </x:row>
    <x:row r="97" ht="22" customHeight="1">
      <x:c r="A97" s="82" t="n">
        <x:v>93</x:v>
      </x:c>
      <x:c r="B97" s="82" t="str">
        <x:v>Michał Kwiatkowski</x:v>
      </x:c>
      <x:c r="C97" s="82" t="str"/>
      <x:c r="D97" s="82" t="str">
        <x:v>ポーランド</x:v>
      </x:c>
      <x:c r="E97" s="82" t="str">
        <x:v>Netcompany INEOS Cycling Team</x:v>
      </x:c>
      <x:c r="F97" s="82" t="str">
        <x:v>クラシック型</x:v>
      </x:c>
      <x:c r="G97" s="85" t="str">
        <x:v>TT・ルーラー型</x:v>
      </x:c>
      <x:c r="H97" s="85" t="n">
        <x:v>75</x:v>
      </x:c>
      <x:c r="I97" s="91" t="n">
        <x:v>78</x:v>
      </x:c>
      <x:c r="J97" s="91" t="str">
        <x:v>TT牽引 / 石畳護衛 / 下り牽引 / 横風要員 / 逃げ屋 / ポジションキーパー</x:v>
      </x:c>
      <x:c r="K97" s="91" t="str">
        <x:v>クラシック型 / TT・ルーラー型</x:v>
      </x:c>
      <x:c r="L97" s="88" t="n">
        <x:v>6550</x:v>
      </x:c>
      <x:c r="M97" s="91" t="str">
        <x:v>現役確認済</x:v>
      </x:c>
      <x:c r="N97" s="91" t="str">
        <x:v>https://en.wikipedia.org/wiki/Micha%C5%82_Kwiatkowski</x:v>
      </x:c>
    </x:row>
    <x:row r="98" ht="22" customHeight="1">
      <x:c r="A98" s="82" t="n">
        <x:v>94</x:v>
      </x:c>
      <x:c r="B98" s="82" t="str">
        <x:v>Attila Valter</x:v>
      </x:c>
      <x:c r="C98" s="82" t="str"/>
      <x:c r="D98" s="82" t="str">
        <x:v>HUN</x:v>
      </x:c>
      <x:c r="E98" s="82" t="str">
        <x:v>Team Bahrain Victorious</x:v>
      </x:c>
      <x:c r="F98" s="82" t="str">
        <x:v>クライマー</x:v>
      </x:c>
      <x:c r="G98" s="85" t="str">
        <x:v>スプリンター</x:v>
      </x:c>
      <x:c r="H98" s="85" t="n">
        <x:v>75</x:v>
      </x:c>
      <x:c r="I98" s="91" t="n">
        <x:v>78</x:v>
      </x:c>
      <x:c r="J98" s="91" t="str">
        <x:v>山岳賞ハンター / スプリントトレイン / 平坦アシスト / 山岳アシスト / 山岳番手 / サテライトライダー</x:v>
      </x:c>
      <x:c r="K98" s="91" t="str">
        <x:v>クライマー / スプリンター</x:v>
      </x:c>
      <x:c r="L98" s="88" t="n">
        <x:v>6450</x:v>
      </x:c>
      <x:c r="M98" s="91" t="str">
        <x:v>現役確認済</x:v>
      </x:c>
      <x:c r="N98" s="91" t="str">
        <x:v>https://en.wikipedia.org/wiki/Attila_Valter</x:v>
      </x:c>
    </x:row>
    <x:row r="99" ht="22" customHeight="1">
      <x:c r="A99" s="82" t="n">
        <x:v>95</x:v>
      </x:c>
      <x:c r="B99" s="82" t="str">
        <x:v>James Knox (cyclist)</x:v>
      </x:c>
      <x:c r="C99" s="82" t="str"/>
      <x:c r="D99" s="82" t="str">
        <x:v>イギリス</x:v>
      </x:c>
      <x:c r="E99" s="82" t="str">
        <x:v>Team Picnic–PostNL</x:v>
      </x:c>
      <x:c r="F99" s="82" t="str">
        <x:v>クライマー</x:v>
      </x:c>
      <x:c r="G99" s="85" t="str">
        <x:v>パンチャー</x:v>
      </x:c>
      <x:c r="H99" s="85" t="n">
        <x:v>75</x:v>
      </x:c>
      <x:c r="I99" s="91" t="n">
        <x:v>76</x:v>
      </x:c>
      <x:c r="J99" s="91" t="str">
        <x:v>山岳賞ハンター / 山岳アシスト / 逃げ屋 / サテライトライダー</x:v>
      </x:c>
      <x:c r="K99" s="91" t="str">
        <x:v>クライマー / パンチャー</x:v>
      </x:c>
      <x:c r="L99" s="88" t="n">
        <x:v>6400</x:v>
      </x:c>
      <x:c r="M99" s="91" t="str">
        <x:v>現役確認済</x:v>
      </x:c>
      <x:c r="N99" s="91" t="str">
        <x:v>https://en.wikipedia.org/wiki/James_Knox_(cyclist)</x:v>
      </x:c>
    </x:row>
    <x:row r="100" ht="22" customHeight="1">
      <x:c r="A100" s="82" t="n">
        <x:v>96</x:v>
      </x:c>
      <x:c r="B100" s="82" t="str">
        <x:v>Léo Bisiaux</x:v>
      </x:c>
      <x:c r="C100" s="82" t="str"/>
      <x:c r="D100" s="82" t="str">
        <x:v>フランス</x:v>
      </x:c>
      <x:c r="E100" s="82" t="str">
        <x:v>Decathlon–CMA CGM</x:v>
      </x:c>
      <x:c r="F100" s="82" t="str">
        <x:v>クラシック型</x:v>
      </x:c>
      <x:c r="G100" s="85" t="str">
        <x:v>TT・ルーラー型</x:v>
      </x:c>
      <x:c r="H100" s="85" t="n">
        <x:v>75</x:v>
      </x:c>
      <x:c r="I100" s="91" t="n">
        <x:v>78</x:v>
      </x:c>
      <x:c r="J100" s="91" t="str">
        <x:v>平坦アシスト / TT牽引 / 石畳護衛 / ブレイクアウェイキラー / 横風要員 / 逃げ屋 / ブリッジャー</x:v>
      </x:c>
      <x:c r="K100" s="91" t="str">
        <x:v>クラシック型 / TT・ルーラー型</x:v>
      </x:c>
      <x:c r="L100" s="88" t="n">
        <x:v>6300</x:v>
      </x:c>
      <x:c r="M100" s="91" t="str">
        <x:v>現役確認済</x:v>
      </x:c>
      <x:c r="N100" s="91" t="str">
        <x:v>https://en.wikipedia.org/wiki/L%C3%A9o_Bisiaux</x:v>
      </x:c>
    </x:row>
    <x:row r="101" ht="22" customHeight="1">
      <x:c r="A101" s="82" t="n">
        <x:v>97</x:v>
      </x:c>
      <x:c r="B101" s="82" t="str">
        <x:v>Julien Bernard</x:v>
      </x:c>
      <x:c r="C101" s="82" t="str"/>
      <x:c r="D101" s="82" t="str">
        <x:v>フランス</x:v>
      </x:c>
      <x:c r="E101" s="82" t="str">
        <x:v>Lidl–Trek</x:v>
      </x:c>
      <x:c r="F101" s="82" t="str">
        <x:v>総合型</x:v>
      </x:c>
      <x:c r="G101" s="85" t="str">
        <x:v>スプリンター</x:v>
      </x:c>
      <x:c r="H101" s="85" t="n">
        <x:v>75</x:v>
      </x:c>
      <x:c r="I101" s="91" t="n">
        <x:v>75</x:v>
      </x:c>
      <x:c r="J101" s="91" t="str">
        <x:v>山岳賞ハンター / スプリントトレイン / 山岳アシスト / ブリッジャー</x:v>
      </x:c>
      <x:c r="K101" s="91" t="str">
        <x:v>総合型 / スプリンター</x:v>
      </x:c>
      <x:c r="L101" s="88" t="n">
        <x:v>6200</x:v>
      </x:c>
      <x:c r="M101" s="91" t="str">
        <x:v>現役確認済</x:v>
      </x:c>
      <x:c r="N101" s="91" t="str">
        <x:v>https://en.wikipedia.org/wiki/Julien_Bernard</x:v>
      </x:c>
    </x:row>
    <x:row r="102" ht="22" customHeight="1">
      <x:c r="A102" s="82" t="n">
        <x:v>98</x:v>
      </x:c>
      <x:c r="B102" s="82" t="str">
        <x:v>Jørgen Nordhagen</x:v>
      </x:c>
      <x:c r="C102" s="82" t="str"/>
      <x:c r="D102" s="82" t="str">
        <x:v>ノルウェー</x:v>
      </x:c>
      <x:c r="E102" s="82" t="str">
        <x:v>Visma–Lease a Bike</x:v>
      </x:c>
      <x:c r="F102" s="82" t="str">
        <x:v>パンチャー</x:v>
      </x:c>
      <x:c r="G102" s="85" t="str">
        <x:v>スプリンター</x:v>
      </x:c>
      <x:c r="H102" s="85" t="n">
        <x:v>75</x:v>
      </x:c>
      <x:c r="I102" s="91" t="n">
        <x:v>72</x:v>
      </x:c>
      <x:c r="J102" s="91" t="str">
        <x:v>ステージハンター / 山岳賞ハンター / スプリントトレイン / 下り牽引 / 逃げ屋 / カウンターアタッカー / 無賃乗車</x:v>
      </x:c>
      <x:c r="K102" s="91" t="str">
        <x:v>パンチャー / スプリンター</x:v>
      </x:c>
      <x:c r="L102" s="88" t="n">
        <x:v>6150</x:v>
      </x:c>
      <x:c r="M102" s="91" t="str">
        <x:v>現役確認済</x:v>
      </x:c>
      <x:c r="N102" s="91" t="str">
        <x:v>https://en.wikipedia.org/wiki/J%C3%B8rgen_Nordhagen</x:v>
      </x:c>
    </x:row>
    <x:row r="103" ht="22" customHeight="1">
      <x:c r="A103" s="82" t="n">
        <x:v>99</x:v>
      </x:c>
      <x:c r="B103" s="82" t="str">
        <x:v>Alessandro Pinarello</x:v>
      </x:c>
      <x:c r="C103" s="82" t="str"/>
      <x:c r="D103" s="82" t="str">
        <x:v>イタリア</x:v>
      </x:c>
      <x:c r="E103" s="82" t="str">
        <x:v>NSN Cycling Team</x:v>
      </x:c>
      <x:c r="F103" s="82" t="str">
        <x:v>クラシック型</x:v>
      </x:c>
      <x:c r="G103" s="85" t="str">
        <x:v>総合型</x:v>
      </x:c>
      <x:c r="H103" s="85" t="n">
        <x:v>75</x:v>
      </x:c>
      <x:c r="I103" s="91" t="n">
        <x:v>75</x:v>
      </x:c>
      <x:c r="J103" s="91" t="str">
        <x:v>石畳護衛 / 集団コントローラー / 逃げ屋</x:v>
      </x:c>
      <x:c r="K103" s="91" t="str">
        <x:v>クラシック型 / 総合型</x:v>
      </x:c>
      <x:c r="L103" s="88" t="n">
        <x:v>5900</x:v>
      </x:c>
      <x:c r="M103" s="91" t="str">
        <x:v>現役確認済</x:v>
      </x:c>
      <x:c r="N103" s="91" t="str">
        <x:v>https://en.wikipedia.org/wiki/Alessandro_Pinarello</x:v>
      </x:c>
    </x:row>
    <x:row r="104" ht="22" customHeight="1">
      <x:c r="A104" s="82" t="n">
        <x:v>100</x:v>
      </x:c>
      <x:c r="B104" s="82" t="str">
        <x:v>Ilan Van Wilder</x:v>
      </x:c>
      <x:c r="C104" s="82" t="str"/>
      <x:c r="D104" s="82" t="str">
        <x:v>ベルギー</x:v>
      </x:c>
      <x:c r="E104" s="82" t="str">
        <x:v>Soudal–Quick-Step</x:v>
      </x:c>
      <x:c r="F104" s="82" t="str">
        <x:v>総合型</x:v>
      </x:c>
      <x:c r="G104" s="85" t="str">
        <x:v>クライマー</x:v>
      </x:c>
      <x:c r="H104" s="85" t="n">
        <x:v>75</x:v>
      </x:c>
      <x:c r="I104" s="91" t="n">
        <x:v>75</x:v>
      </x:c>
      <x:c r="J104" s="91" t="str">
        <x:v>山岳賞ハンター / 山岳アシスト / 山岳ペースメーカー</x:v>
      </x:c>
      <x:c r="K104" s="91" t="str">
        <x:v>総合型 / クライマー</x:v>
      </x:c>
      <x:c r="L104" s="88" t="n">
        <x:v>5900</x:v>
      </x:c>
      <x:c r="M104" s="91" t="str">
        <x:v>現役確認済</x:v>
      </x:c>
      <x:c r="N104" s="91" t="str">
        <x:v>https://en.wikipedia.org/wiki/Ilan_Van_Wilder</x:v>
      </x:c>
    </x:row>
    <x:row r="105" ht="22" customHeight="1">
      <x:c r="A105" s="82" t="n">
        <x:v>101</x:v>
      </x:c>
      <x:c r="B105" s="82" t="str">
        <x:v>Felix Ørn-Kristoff</x:v>
      </x:c>
      <x:c r="C105" s="82" t="str"/>
      <x:c r="D105" s="82" t="str">
        <x:v>ノルウェー</x:v>
      </x:c>
      <x:c r="E105" s="82" t="str">
        <x:v>Lotto–Intermarché</x:v>
      </x:c>
      <x:c r="F105" s="82" t="str">
        <x:v>クラシック型</x:v>
      </x:c>
      <x:c r="G105" s="85" t="str">
        <x:v>パンチャー</x:v>
      </x:c>
      <x:c r="H105" s="85" t="n">
        <x:v>75</x:v>
      </x:c>
      <x:c r="I105" s="91" t="n">
        <x:v>75</x:v>
      </x:c>
      <x:c r="J105" s="91" t="str">
        <x:v>石畳護衛 / 横風要員 / 逃げ屋</x:v>
      </x:c>
      <x:c r="K105" s="91" t="str">
        <x:v>クラシック型 / パンチャー</x:v>
      </x:c>
      <x:c r="L105" s="88" t="n">
        <x:v>5800</x:v>
      </x:c>
      <x:c r="M105" s="91" t="str">
        <x:v>現役確認済</x:v>
      </x:c>
      <x:c r="N105" s="91" t="str">
        <x:v>https://en.wikipedia.org/wiki/Felix_%C3%98rn-Kristoff</x:v>
      </x:c>
    </x:row>
    <x:row r="106" ht="22" customHeight="1">
      <x:c r="A106" s="82" t="n">
        <x:v>102</x:v>
      </x:c>
      <x:c r="B106" s="82" t="str">
        <x:v>Jan Hirt</x:v>
      </x:c>
      <x:c r="C106" s="82" t="str"/>
      <x:c r="D106" s="82" t="str">
        <x:v>チェコ</x:v>
      </x:c>
      <x:c r="E106" s="82" t="str">
        <x:v>NSN Cycling Team</x:v>
      </x:c>
      <x:c r="F106" s="82" t="str">
        <x:v>クライマー</x:v>
      </x:c>
      <x:c r="G106" s="85" t="str">
        <x:v>パンチャー</x:v>
      </x:c>
      <x:c r="H106" s="85" t="n">
        <x:v>75</x:v>
      </x:c>
      <x:c r="I106" s="91" t="n">
        <x:v>75</x:v>
      </x:c>
      <x:c r="J106" s="91" t="str">
        <x:v>山岳賞ハンター / 山岳アシスト / 山岳ペースメーカー</x:v>
      </x:c>
      <x:c r="K106" s="91" t="str">
        <x:v>クライマー / パンチャー</x:v>
      </x:c>
      <x:c r="L106" s="88" t="n">
        <x:v>5750</x:v>
      </x:c>
      <x:c r="M106" s="91" t="str">
        <x:v>現役確認済</x:v>
      </x:c>
      <x:c r="N106" s="91" t="str">
        <x:v>https://en.wikipedia.org/wiki/Jan_Hirt</x:v>
      </x:c>
    </x:row>
    <x:row r="107" ht="22" customHeight="1">
      <x:c r="A107" s="82" t="n">
        <x:v>103</x:v>
      </x:c>
      <x:c r="B107" s="82" t="str">
        <x:v>Cian Uijtdebroeks</x:v>
      </x:c>
      <x:c r="C107" s="82" t="str"/>
      <x:c r="D107" s="82" t="str">
        <x:v>ベルギー</x:v>
      </x:c>
      <x:c r="E107" s="82" t="str">
        <x:v>Movistar Team</x:v>
      </x:c>
      <x:c r="F107" s="82" t="str">
        <x:v>総合型</x:v>
      </x:c>
      <x:c r="G107" s="85" t="str">
        <x:v>クライマー</x:v>
      </x:c>
      <x:c r="H107" s="85" t="n">
        <x:v>75</x:v>
      </x:c>
      <x:c r="I107" s="91" t="n">
        <x:v>72</x:v>
      </x:c>
      <x:c r="J107" s="91" t="str">
        <x:v>山岳賞ハンター / 山岳アシスト / 集団コントローラー</x:v>
      </x:c>
      <x:c r="K107" s="91" t="str">
        <x:v>総合型 / クライマー</x:v>
      </x:c>
      <x:c r="L107" s="88" t="n">
        <x:v>5550</x:v>
      </x:c>
      <x:c r="M107" s="91" t="str">
        <x:v>現役確認済</x:v>
      </x:c>
      <x:c r="N107" s="91" t="str">
        <x:v>https://en.wikipedia.org/wiki/Cian_Uijtdebroeks</x:v>
      </x:c>
    </x:row>
    <x:row r="108" ht="22" customHeight="1">
      <x:c r="A108" s="82" t="n">
        <x:v>104</x:v>
      </x:c>
      <x:c r="B108" s="82" t="str">
        <x:v>Ben Healy (cyclist)</x:v>
      </x:c>
      <x:c r="C108" s="82" t="str"/>
      <x:c r="D108" s="82" t="str">
        <x:v>アイルランド</x:v>
      </x:c>
      <x:c r="E108" s="82" t="str">
        <x:v>EF Education–EasyPost</x:v>
      </x:c>
      <x:c r="F108" s="82" t="str">
        <x:v>パンチャー</x:v>
      </x:c>
      <x:c r="G108" s="85" t="str">
        <x:v>クラシック型</x:v>
      </x:c>
      <x:c r="H108" s="85" t="n">
        <x:v>75</x:v>
      </x:c>
      <x:c r="I108" s="91" t="n">
        <x:v>71</x:v>
      </x:c>
      <x:c r="J108" s="91" t="str">
        <x:v>ステージハンター / 山岳賞ハンター / カウンターアタッカー</x:v>
      </x:c>
      <x:c r="K108" s="91" t="str">
        <x:v>パンチャー / クラシック型</x:v>
      </x:c>
      <x:c r="L108" s="88" t="n">
        <x:v>5500</x:v>
      </x:c>
      <x:c r="M108" s="91" t="str">
        <x:v>現役確認済</x:v>
      </x:c>
      <x:c r="N108" s="91" t="str">
        <x:v>https://en.wikipedia.org/wiki/Ben_Healy_(cyclist)</x:v>
      </x:c>
    </x:row>
    <x:row r="109" ht="22" customHeight="1">
      <x:c r="A109" s="82" t="n">
        <x:v>105</x:v>
      </x:c>
      <x:c r="B109" s="82" t="str">
        <x:v>Enzo Paleni</x:v>
      </x:c>
      <x:c r="C109" s="82" t="str"/>
      <x:c r="D109" s="82" t="str">
        <x:v>フランス</x:v>
      </x:c>
      <x:c r="E109" s="82" t="str">
        <x:v>Groupama–FDJ United</x:v>
      </x:c>
      <x:c r="F109" s="82" t="str">
        <x:v>パンチャー</x:v>
      </x:c>
      <x:c r="G109" s="85" t="str">
        <x:v>スプリンター</x:v>
      </x:c>
      <x:c r="H109" s="85" t="n">
        <x:v>75</x:v>
      </x:c>
      <x:c r="I109" s="91" t="n">
        <x:v>70</x:v>
      </x:c>
      <x:c r="J109" s="91" t="str">
        <x:v>ステージハンター / 山岳賞ハンター / スプリントトレイン / カウンターアタッカー / 無賃乗車 / ポジションキーパー</x:v>
      </x:c>
      <x:c r="K109" s="91" t="str">
        <x:v>パンチャー / スプリンター</x:v>
      </x:c>
      <x:c r="L109" s="88" t="n">
        <x:v>5450</x:v>
      </x:c>
      <x:c r="M109" s="91" t="str">
        <x:v>現役確認済</x:v>
      </x:c>
      <x:c r="N109" s="91" t="str">
        <x:v>https://en.wikipedia.org/wiki/Enzo_Paleni</x:v>
      </x:c>
    </x:row>
    <x:row r="110" ht="22" customHeight="1">
      <x:c r="A110" s="82" t="n">
        <x:v>106</x:v>
      </x:c>
      <x:c r="B110" s="82" t="str">
        <x:v>Corbin Strong</x:v>
      </x:c>
      <x:c r="C110" s="82" t="str"/>
      <x:c r="D110" s="82" t="str">
        <x:v>ニュージーランド</x:v>
      </x:c>
      <x:c r="E110" s="82" t="str">
        <x:v>NSN Cycling Team</x:v>
      </x:c>
      <x:c r="F110" s="82" t="str">
        <x:v>スプリンター</x:v>
      </x:c>
      <x:c r="G110" s="85" t="str">
        <x:v>総合型</x:v>
      </x:c>
      <x:c r="H110" s="85" t="n">
        <x:v>75</x:v>
      </x:c>
      <x:c r="I110" s="91" t="n">
        <x:v>68</x:v>
      </x:c>
      <x:c r="J110" s="91" t="str">
        <x:v>リードアウト / 最終発射台 / 集団コントローラー / ブリッジャー / 無賃乗車</x:v>
      </x:c>
      <x:c r="K110" s="91" t="str">
        <x:v>スプリンター / 総合型</x:v>
      </x:c>
      <x:c r="L110" s="88" t="n">
        <x:v>5400</x:v>
      </x:c>
      <x:c r="M110" s="91" t="str">
        <x:v>現役確認済</x:v>
      </x:c>
      <x:c r="N110" s="91" t="str">
        <x:v>https://en.wikipedia.org/wiki/Corbin_Strong</x:v>
      </x:c>
    </x:row>
    <x:row r="111" ht="22" customHeight="1">
      <x:c r="A111" s="82" t="n">
        <x:v>107</x:v>
      </x:c>
      <x:c r="B111" s="82" t="str">
        <x:v>Lorenzo Rota</x:v>
      </x:c>
      <x:c r="C111" s="82" t="str"/>
      <x:c r="D111" s="82" t="str">
        <x:v>イタリア</x:v>
      </x:c>
      <x:c r="E111" s="82" t="str">
        <x:v>Lotto–Intermarché</x:v>
      </x:c>
      <x:c r="F111" s="82" t="str">
        <x:v>パンチャー</x:v>
      </x:c>
      <x:c r="G111" s="85" t="str">
        <x:v>クライマー</x:v>
      </x:c>
      <x:c r="H111" s="85" t="n">
        <x:v>75</x:v>
      </x:c>
      <x:c r="I111" s="91" t="n">
        <x:v>71</x:v>
      </x:c>
      <x:c r="J111" s="91" t="str">
        <x:v>ステージハンター / 山岳賞ハンター</x:v>
      </x:c>
      <x:c r="K111" s="91" t="str">
        <x:v>パンチャー / クライマー</x:v>
      </x:c>
      <x:c r="L111" s="88" t="n">
        <x:v>5150</x:v>
      </x:c>
      <x:c r="M111" s="91" t="str">
        <x:v>現役確認済</x:v>
      </x:c>
      <x:c r="N111" s="91" t="str">
        <x:v>https://en.wikipedia.org/wiki/Lorenzo_Rota</x:v>
      </x:c>
    </x:row>
    <x:row r="112" ht="22" customHeight="1">
      <x:c r="A112" s="82" t="n">
        <x:v>108</x:v>
      </x:c>
      <x:c r="B112" s="82" t="str">
        <x:v>Anders Skaarseth</x:v>
      </x:c>
      <x:c r="C112" s="82" t="str"/>
      <x:c r="D112" s="82" t="str">
        <x:v>ノルウェー</x:v>
      </x:c>
      <x:c r="E112" s="82" t="str">
        <x:v>Uno-X Mobility</x:v>
      </x:c>
      <x:c r="F112" s="82" t="str">
        <x:v>総合型</x:v>
      </x:c>
      <x:c r="G112" s="85" t="str">
        <x:v>TT・ルーラー型</x:v>
      </x:c>
      <x:c r="H112" s="85" t="n">
        <x:v>75</x:v>
      </x:c>
      <x:c r="I112" s="91" t="n">
        <x:v>71</x:v>
      </x:c>
      <x:c r="J112" s="91" t="str">
        <x:v>山岳賞ハンター / 山岳アシスト / 山岳番手</x:v>
      </x:c>
      <x:c r="K112" s="91" t="str">
        <x:v>総合型 / TT・ルーラー型</x:v>
      </x:c>
      <x:c r="L112" s="88" t="n">
        <x:v>5100</x:v>
      </x:c>
      <x:c r="M112" s="91" t="str">
        <x:v>現役確認済</x:v>
      </x:c>
      <x:c r="N112" s="91" t="str">
        <x:v>https://en.wikipedia.org/wiki/Anders_Skaarseth</x:v>
      </x:c>
    </x:row>
    <x:row r="113" ht="22" customHeight="1">
      <x:c r="A113" s="82" t="n">
        <x:v>109</x:v>
      </x:c>
      <x:c r="B113" s="82" t="str">
        <x:v>Johan Jacobs</x:v>
      </x:c>
      <x:c r="C113" s="82" t="str"/>
      <x:c r="D113" s="82" t="str">
        <x:v>スイス</x:v>
      </x:c>
      <x:c r="E113" s="82" t="str">
        <x:v>Groupama–FDJ United</x:v>
      </x:c>
      <x:c r="F113" s="82" t="str">
        <x:v>スプリンター</x:v>
      </x:c>
      <x:c r="G113" s="85" t="str">
        <x:v>クライマー</x:v>
      </x:c>
      <x:c r="H113" s="85" t="n">
        <x:v>75</x:v>
      </x:c>
      <x:c r="I113" s="91" t="n">
        <x:v>68</x:v>
      </x:c>
      <x:c r="J113" s="91" t="str">
        <x:v>山岳賞ハンター / リードアウト / スプリントトレイン</x:v>
      </x:c>
      <x:c r="K113" s="91" t="str">
        <x:v>スプリンター / クライマー</x:v>
      </x:c>
      <x:c r="L113" s="88" t="n">
        <x:v>4300</x:v>
      </x:c>
      <x:c r="M113" s="91" t="str">
        <x:v>現役確認済</x:v>
      </x:c>
      <x:c r="N113" s="91" t="str">
        <x:v>https://en.wikipedia.org/wiki/Johan_Jacobs</x:v>
      </x:c>
    </x:row>
    <x:row r="114" ht="22" customHeight="1">
      <x:c r="A114" s="82" t="n">
        <x:v>110</x:v>
      </x:c>
      <x:c r="B114" s="82" t="str">
        <x:v>Callum Scotson</x:v>
      </x:c>
      <x:c r="C114" s="82" t="str"/>
      <x:c r="D114" s="82" t="str">
        <x:v>オーストラリア</x:v>
      </x:c>
      <x:c r="E114" s="82" t="str">
        <x:v>Decathlon–CMA CGM</x:v>
      </x:c>
      <x:c r="F114" s="82" t="str">
        <x:v>クラシック型</x:v>
      </x:c>
      <x:c r="G114" s="85" t="str">
        <x:v>スプリンター</x:v>
      </x:c>
      <x:c r="H114" s="85" t="n">
        <x:v>74</x:v>
      </x:c>
      <x:c r="I114" s="91" t="n">
        <x:v>78</x:v>
      </x:c>
      <x:c r="J114" s="91" t="str">
        <x:v>スプリントトレイン / 平坦アシスト / 石畳護衛 / ブレイクアウェイキラー / 横風要員 / 逃げ屋 / ブリッジャー</x:v>
      </x:c>
      <x:c r="K114" s="91" t="str">
        <x:v>クラシック型 / スプリンター</x:v>
      </x:c>
      <x:c r="L114" s="88" t="n">
        <x:v>6400</x:v>
      </x:c>
      <x:c r="M114" s="91" t="str">
        <x:v>現役確認済</x:v>
      </x:c>
      <x:c r="N114" s="91" t="str">
        <x:v>https://en.wikipedia.org/wiki/Callum_Scotson</x:v>
      </x:c>
    </x:row>
    <x:row r="115" ht="22" customHeight="1">
      <x:c r="A115" s="82" t="n">
        <x:v>111</x:v>
      </x:c>
      <x:c r="B115" s="82" t="str">
        <x:v>Lukas Nerurkar</x:v>
      </x:c>
      <x:c r="C115" s="82" t="str"/>
      <x:c r="D115" s="82" t="str">
        <x:v>イギリス</x:v>
      </x:c>
      <x:c r="E115" s="82" t="str">
        <x:v>EF Education–EasyPost</x:v>
      </x:c>
      <x:c r="F115" s="82" t="str">
        <x:v>クラシック型</x:v>
      </x:c>
      <x:c r="G115" s="85" t="str">
        <x:v>TT・ルーラー型</x:v>
      </x:c>
      <x:c r="H115" s="85" t="n">
        <x:v>74</x:v>
      </x:c>
      <x:c r="I115" s="91" t="n">
        <x:v>76</x:v>
      </x:c>
      <x:c r="J115" s="91" t="str">
        <x:v>TT牽引 / 石畳護衛 / 逃げ屋 / ブリッジャー</x:v>
      </x:c>
      <x:c r="K115" s="91" t="str">
        <x:v>クラシック型 / TT・ルーラー型</x:v>
      </x:c>
      <x:c r="L115" s="88" t="n">
        <x:v>6250</x:v>
      </x:c>
      <x:c r="M115" s="91" t="str">
        <x:v>現役確認済</x:v>
      </x:c>
      <x:c r="N115" s="91" t="str">
        <x:v>https://en.wikipedia.org/wiki/Lukas_Nerurkar</x:v>
      </x:c>
    </x:row>
    <x:row r="116" ht="22" customHeight="1">
      <x:c r="A116" s="82" t="n">
        <x:v>112</x:v>
      </x:c>
      <x:c r="B116" s="82" t="str">
        <x:v>Filippo Zana</x:v>
      </x:c>
      <x:c r="C116" s="82" t="str"/>
      <x:c r="D116" s="82" t="str">
        <x:v>イタリア</x:v>
      </x:c>
      <x:c r="E116" s="82" t="str">
        <x:v>Soudal–Quick-Step</x:v>
      </x:c>
      <x:c r="F116" s="82" t="str">
        <x:v>クライマー</x:v>
      </x:c>
      <x:c r="G116" s="85" t="str">
        <x:v>TT・ルーラー型</x:v>
      </x:c>
      <x:c r="H116" s="85" t="n">
        <x:v>74</x:v>
      </x:c>
      <x:c r="I116" s="91" t="n">
        <x:v>74</x:v>
      </x:c>
      <x:c r="J116" s="91" t="str">
        <x:v>山岳賞ハンター / 山岳アシスト</x:v>
      </x:c>
      <x:c r="K116" s="91" t="str">
        <x:v>クライマー / TT・ルーラー型</x:v>
      </x:c>
      <x:c r="L116" s="88" t="n">
        <x:v>6100</x:v>
      </x:c>
      <x:c r="M116" s="91" t="str">
        <x:v>現役確認済</x:v>
      </x:c>
      <x:c r="N116" s="91" t="str">
        <x:v>https://en.wikipedia.org/wiki/Filippo_Zana</x:v>
      </x:c>
    </x:row>
    <x:row r="117" ht="22" customHeight="1">
      <x:c r="A117" s="82" t="n">
        <x:v>113</x:v>
      </x:c>
      <x:c r="B117" s="82" t="str">
        <x:v>Filippo Conca</x:v>
      </x:c>
      <x:c r="C117" s="82" t="str"/>
      <x:c r="D117" s="82" t="str">
        <x:v>イタリア</x:v>
      </x:c>
      <x:c r="E117" s="82" t="str">
        <x:v>Team Jayco–AlUla</x:v>
      </x:c>
      <x:c r="F117" s="82" t="str">
        <x:v>クラシック型</x:v>
      </x:c>
      <x:c r="G117" s="85" t="str">
        <x:v>スプリンター</x:v>
      </x:c>
      <x:c r="H117" s="85" t="n">
        <x:v>74</x:v>
      </x:c>
      <x:c r="I117" s="91" t="n">
        <x:v>76</x:v>
      </x:c>
      <x:c r="J117" s="91" t="str">
        <x:v>スプリントトレイン / 石畳護衛 / ブレイクアウェイキラー / 横風要員 / 超ロングスパート / ブリッジャー / ポジションキーパー</x:v>
      </x:c>
      <x:c r="K117" s="91" t="str">
        <x:v>クラシック型 / スプリンター</x:v>
      </x:c>
      <x:c r="L117" s="88" t="n">
        <x:v>6000</x:v>
      </x:c>
      <x:c r="M117" s="91" t="str">
        <x:v>現役確認済</x:v>
      </x:c>
      <x:c r="N117" s="91" t="str">
        <x:v>https://en.wikipedia.org/wiki/Filippo_Conca</x:v>
      </x:c>
    </x:row>
    <x:row r="118" ht="22" customHeight="1">
      <x:c r="A118" s="82" t="n">
        <x:v>114</x:v>
      </x:c>
      <x:c r="B118" s="82" t="str">
        <x:v>James Shaw (cyclist)</x:v>
      </x:c>
      <x:c r="C118" s="82" t="str"/>
      <x:c r="D118" s="82" t="str">
        <x:v>イギリス</x:v>
      </x:c>
      <x:c r="E118" s="82" t="str">
        <x:v>EF Education–EasyPost</x:v>
      </x:c>
      <x:c r="F118" s="82" t="str">
        <x:v>パンチャー</x:v>
      </x:c>
      <x:c r="G118" s="85" t="str">
        <x:v>総合型</x:v>
      </x:c>
      <x:c r="H118" s="85" t="n">
        <x:v>74</x:v>
      </x:c>
      <x:c r="I118" s="91" t="n">
        <x:v>72</x:v>
      </x:c>
      <x:c r="J118" s="91" t="str">
        <x:v>ステージハンター / 山岳賞ハンター / 集団コントローラー / 逃げ屋 / カウンターアタッカー</x:v>
      </x:c>
      <x:c r="K118" s="91" t="str">
        <x:v>パンチャー / 総合型</x:v>
      </x:c>
      <x:c r="L118" s="88" t="n">
        <x:v>5850</x:v>
      </x:c>
      <x:c r="M118" s="91" t="str">
        <x:v>現役確認済</x:v>
      </x:c>
      <x:c r="N118" s="91" t="str">
        <x:v>https://en.wikipedia.org/wiki/James_Shaw_(cyclist)</x:v>
      </x:c>
    </x:row>
    <x:row r="119" ht="22" customHeight="1">
      <x:c r="A119" s="82" t="n">
        <x:v>115</x:v>
      </x:c>
      <x:c r="B119" s="82" t="str">
        <x:v>Alex Baudin</x:v>
      </x:c>
      <x:c r="C119" s="82" t="str"/>
      <x:c r="D119" s="82" t="str">
        <x:v>フランス</x:v>
      </x:c>
      <x:c r="E119" s="82" t="str">
        <x:v>EF Education–EasyPost</x:v>
      </x:c>
      <x:c r="F119" s="82" t="str">
        <x:v>クライマー</x:v>
      </x:c>
      <x:c r="G119" s="85" t="str">
        <x:v>スプリンター</x:v>
      </x:c>
      <x:c r="H119" s="85" t="n">
        <x:v>74</x:v>
      </x:c>
      <x:c r="I119" s="91" t="n">
        <x:v>74</x:v>
      </x:c>
      <x:c r="J119" s="91" t="str">
        <x:v>山岳賞ハンター / スプリントトレイン / 山岳アシスト / 山岳ペースメーカー</x:v>
      </x:c>
      <x:c r="K119" s="91" t="str">
        <x:v>クライマー / スプリンター</x:v>
      </x:c>
      <x:c r="L119" s="88" t="n">
        <x:v>5700</x:v>
      </x:c>
      <x:c r="M119" s="91" t="str">
        <x:v>現役確認済</x:v>
      </x:c>
      <x:c r="N119" s="91" t="str">
        <x:v>https://en.wikipedia.org/wiki/Alex_Baudin</x:v>
      </x:c>
    </x:row>
    <x:row r="120" ht="22" customHeight="1">
      <x:c r="A120" s="82" t="n">
        <x:v>116</x:v>
      </x:c>
      <x:c r="B120" s="82" t="str">
        <x:v>Alexander Kamp</x:v>
      </x:c>
      <x:c r="C120" s="82" t="str"/>
      <x:c r="D120" s="82" t="str">
        <x:v>デンマーク</x:v>
      </x:c>
      <x:c r="E120" s="82" t="str">
        <x:v>Uno-X Mobility</x:v>
      </x:c>
      <x:c r="F120" s="82" t="str">
        <x:v>スプリンター</x:v>
      </x:c>
      <x:c r="G120" s="85" t="str">
        <x:v>総合型</x:v>
      </x:c>
      <x:c r="H120" s="85" t="n">
        <x:v>74</x:v>
      </x:c>
      <x:c r="I120" s="91" t="n">
        <x:v>72</x:v>
      </x:c>
      <x:c r="J120" s="91" t="str">
        <x:v>リードアウト / 最終発射台 / スプリントトレイン / 集団コントローラー / ブリッジャー</x:v>
      </x:c>
      <x:c r="K120" s="91" t="str">
        <x:v>スプリンター / 総合型</x:v>
      </x:c>
      <x:c r="L120" s="88" t="n">
        <x:v>5550</x:v>
      </x:c>
      <x:c r="M120" s="91" t="str">
        <x:v>現役確認済</x:v>
      </x:c>
      <x:c r="N120" s="91" t="str">
        <x:v>https://en.wikipedia.org/wiki/Alexander_Kamp</x:v>
      </x:c>
    </x:row>
    <x:row r="121" ht="22" customHeight="1">
      <x:c r="A121" s="82" t="n">
        <x:v>117</x:v>
      </x:c>
      <x:c r="B121" s="82" t="str">
        <x:v>Jorge Arcas</x:v>
      </x:c>
      <x:c r="C121" s="82" t="str"/>
      <x:c r="D121" s="82" t="str">
        <x:v>スペイン</x:v>
      </x:c>
      <x:c r="E121" s="82" t="str">
        <x:v>Movistar Team</x:v>
      </x:c>
      <x:c r="F121" s="82" t="str">
        <x:v>クラシック型</x:v>
      </x:c>
      <x:c r="G121" s="85" t="str">
        <x:v>TT・ルーラー型</x:v>
      </x:c>
      <x:c r="H121" s="85" t="n">
        <x:v>74</x:v>
      </x:c>
      <x:c r="I121" s="91" t="n">
        <x:v>76</x:v>
      </x:c>
      <x:c r="J121" s="91" t="str">
        <x:v>TT牽引 / 石畳護衛 / ブレイクアウェイキラー / 逃げ屋</x:v>
      </x:c>
      <x:c r="K121" s="91" t="str">
        <x:v>クラシック型 / TT・ルーラー型</x:v>
      </x:c>
      <x:c r="L121" s="88" t="n">
        <x:v>5500</x:v>
      </x:c>
      <x:c r="M121" s="91" t="str">
        <x:v>現役確認済</x:v>
      </x:c>
      <x:c r="N121" s="91" t="str">
        <x:v>https://en.wikipedia.org/wiki/Jorge_Arcas</x:v>
      </x:c>
    </x:row>
    <x:row r="122" ht="22" customHeight="1">
      <x:c r="A122" s="82" t="n">
        <x:v>118</x:v>
      </x:c>
      <x:c r="B122" s="82" t="str">
        <x:v>Jon Barrenetxea</x:v>
      </x:c>
      <x:c r="C122" s="82" t="str"/>
      <x:c r="D122" s="82" t="str">
        <x:v>スペイン</x:v>
      </x:c>
      <x:c r="E122" s="82" t="str">
        <x:v>Movistar Team</x:v>
      </x:c>
      <x:c r="F122" s="82" t="str">
        <x:v>総合型</x:v>
      </x:c>
      <x:c r="G122" s="85" t="str">
        <x:v>スプリンター</x:v>
      </x:c>
      <x:c r="H122" s="85" t="n">
        <x:v>74</x:v>
      </x:c>
      <x:c r="I122" s="91" t="n">
        <x:v>73</x:v>
      </x:c>
      <x:c r="J122" s="91" t="str">
        <x:v>スプリントトレイン / 山岳アシスト / 集団コントローラー</x:v>
      </x:c>
      <x:c r="K122" s="91" t="str">
        <x:v>総合型 / スプリンター</x:v>
      </x:c>
      <x:c r="L122" s="88" t="n">
        <x:v>5450</x:v>
      </x:c>
      <x:c r="M122" s="91" t="str">
        <x:v>現役確認済</x:v>
      </x:c>
      <x:c r="N122" s="91" t="str">
        <x:v>https://en.wikipedia.org/wiki/Jon_Barrenetxea</x:v>
      </x:c>
    </x:row>
    <x:row r="123" ht="22" customHeight="1">
      <x:c r="A123" s="82" t="n">
        <x:v>119</x:v>
      </x:c>
      <x:c r="B123" s="82" t="str">
        <x:v>Jefferson Alexander Cepeda</x:v>
      </x:c>
      <x:c r="C123" s="82" t="str"/>
      <x:c r="D123" s="82" t="str">
        <x:v>エクアドル</x:v>
      </x:c>
      <x:c r="E123" s="82" t="str">
        <x:v>EF Education–EasyPost</x:v>
      </x:c>
      <x:c r="F123" s="82" t="str">
        <x:v>クライマー</x:v>
      </x:c>
      <x:c r="G123" s="85" t="str">
        <x:v>クラシック型</x:v>
      </x:c>
      <x:c r="H123" s="85" t="n">
        <x:v>74</x:v>
      </x:c>
      <x:c r="I123" s="91" t="n">
        <x:v>74</x:v>
      </x:c>
      <x:c r="J123" s="91" t="str">
        <x:v>山岳賞ハンター / 山岳アシスト</x:v>
      </x:c>
      <x:c r="K123" s="91" t="str">
        <x:v>クライマー / クラシック型</x:v>
      </x:c>
      <x:c r="L123" s="88" t="n">
        <x:v>5400</x:v>
      </x:c>
      <x:c r="M123" s="91" t="str">
        <x:v>現役確認済</x:v>
      </x:c>
      <x:c r="N123" s="91" t="str">
        <x:v>https://en.wikipedia.org/wiki/Jefferson_Alexander_Cepeda</x:v>
      </x:c>
    </x:row>
    <x:row r="124" ht="22" customHeight="1">
      <x:c r="A124" s="82" t="n">
        <x:v>120</x:v>
      </x:c>
      <x:c r="B124" s="82" t="str">
        <x:v>Aaron Dockx</x:v>
      </x:c>
      <x:c r="C124" s="82" t="str"/>
      <x:c r="D124" s="82" t="str">
        <x:v>ベルギー</x:v>
      </x:c>
      <x:c r="E124" s="82" t="str">
        <x:v>Alpecin–Premier Tech</x:v>
      </x:c>
      <x:c r="F124" s="82" t="str">
        <x:v>総合型</x:v>
      </x:c>
      <x:c r="G124" s="85" t="str">
        <x:v>スプリンター</x:v>
      </x:c>
      <x:c r="H124" s="85" t="n">
        <x:v>74</x:v>
      </x:c>
      <x:c r="I124" s="91" t="n">
        <x:v>74</x:v>
      </x:c>
      <x:c r="J124" s="91" t="str">
        <x:v>スプリントトレイン / 山岳アシスト / 山岳番手</x:v>
      </x:c>
      <x:c r="K124" s="91" t="str">
        <x:v>総合型 / スプリンター</x:v>
      </x:c>
      <x:c r="L124" s="88" t="n">
        <x:v>5350</x:v>
      </x:c>
      <x:c r="M124" s="91" t="str">
        <x:v>現役確認済</x:v>
      </x:c>
      <x:c r="N124" s="91" t="str">
        <x:v>https://en.wikipedia.org/wiki/Aaron_Dockx</x:v>
      </x:c>
    </x:row>
    <x:row r="125" ht="22" customHeight="1">
      <x:c r="A125" s="82" t="n">
        <x:v>121</x:v>
      </x:c>
      <x:c r="B125" s="82" t="str">
        <x:v>Filippo Fiorelli</x:v>
      </x:c>
      <x:c r="C125" s="82" t="str"/>
      <x:c r="D125" s="82" t="str">
        <x:v>イタリア</x:v>
      </x:c>
      <x:c r="E125" s="82" t="str">
        <x:v>Visma–Lease a Bike</x:v>
      </x:c>
      <x:c r="F125" s="82" t="str">
        <x:v>クラシック型</x:v>
      </x:c>
      <x:c r="G125" s="85" t="str">
        <x:v>スプリンター</x:v>
      </x:c>
      <x:c r="H125" s="85" t="n">
        <x:v>74</x:v>
      </x:c>
      <x:c r="I125" s="91" t="n">
        <x:v>75</x:v>
      </x:c>
      <x:c r="J125" s="91" t="str">
        <x:v>スプリントトレイン / 石畳護衛</x:v>
      </x:c>
      <x:c r="K125" s="91" t="str">
        <x:v>クラシック型 / スプリンター</x:v>
      </x:c>
      <x:c r="L125" s="88" t="n">
        <x:v>5250</x:v>
      </x:c>
      <x:c r="M125" s="91" t="str">
        <x:v>現役確認済</x:v>
      </x:c>
      <x:c r="N125" s="91" t="str">
        <x:v>https://en.wikipedia.org/wiki/Filippo_Fiorelli</x:v>
      </x:c>
    </x:row>
    <x:row r="126" ht="22" customHeight="1">
      <x:c r="A126" s="82" t="n">
        <x:v>122</x:v>
      </x:c>
      <x:c r="B126" s="82" t="str">
        <x:v>Axel Zingle</x:v>
      </x:c>
      <x:c r="C126" s="82" t="str"/>
      <x:c r="D126" s="82" t="str">
        <x:v>フランス</x:v>
      </x:c>
      <x:c r="E126" s="82" t="str">
        <x:v>Visma–Lease a Bike</x:v>
      </x:c>
      <x:c r="F126" s="82" t="str">
        <x:v>スプリンター</x:v>
      </x:c>
      <x:c r="G126" s="85" t="str">
        <x:v>総合型</x:v>
      </x:c>
      <x:c r="H126" s="85" t="n">
        <x:v>74</x:v>
      </x:c>
      <x:c r="I126" s="91" t="n">
        <x:v>70</x:v>
      </x:c>
      <x:c r="J126" s="91" t="str">
        <x:v>リードアウト / 最終発射台 / スプリントトレイン / 集団コントローラー / ポジションキーパー</x:v>
      </x:c>
      <x:c r="K126" s="91" t="str">
        <x:v>スプリンター / 総合型</x:v>
      </x:c>
      <x:c r="L126" s="88" t="n">
        <x:v>5200</x:v>
      </x:c>
      <x:c r="M126" s="91" t="str">
        <x:v>現役確認済</x:v>
      </x:c>
      <x:c r="N126" s="91" t="str">
        <x:v>https://en.wikipedia.org/wiki/Axel_Zingle</x:v>
      </x:c>
    </x:row>
    <x:row r="127" ht="22" customHeight="1">
      <x:c r="A127" s="82" t="n">
        <x:v>123</x:v>
      </x:c>
      <x:c r="B127" s="82" t="str">
        <x:v>Ben Swift</x:v>
      </x:c>
      <x:c r="C127" s="82" t="str"/>
      <x:c r="D127" s="82" t="str">
        <x:v>イギリス</x:v>
      </x:c>
      <x:c r="E127" s="82" t="str">
        <x:v>Netcompany INEOS Cycling Team</x:v>
      </x:c>
      <x:c r="F127" s="82" t="str">
        <x:v>スプリンター</x:v>
      </x:c>
      <x:c r="G127" s="85" t="str">
        <x:v>クラシック型</x:v>
      </x:c>
      <x:c r="H127" s="85" t="n">
        <x:v>74</x:v>
      </x:c>
      <x:c r="I127" s="91" t="n">
        <x:v>70</x:v>
      </x:c>
      <x:c r="J127" s="91" t="str">
        <x:v>リードアウト / 最終発射台 / スプリントトレイン</x:v>
      </x:c>
      <x:c r="K127" s="91" t="str">
        <x:v>スプリンター / クラシック型</x:v>
      </x:c>
      <x:c r="L127" s="88" t="n">
        <x:v>5150</x:v>
      </x:c>
      <x:c r="M127" s="91" t="str">
        <x:v>現役確認済</x:v>
      </x:c>
      <x:c r="N127" s="91" t="str">
        <x:v>https://en.wikipedia.org/wiki/Ben_Swift</x:v>
      </x:c>
    </x:row>
    <x:row r="128" ht="22" customHeight="1">
      <x:c r="A128" s="82" t="n">
        <x:v>124</x:v>
      </x:c>
      <x:c r="B128" s="82" t="str">
        <x:v>Juan Guillermo Martínez</x:v>
      </x:c>
      <x:c r="C128" s="82" t="str"/>
      <x:c r="D128" s="82" t="str">
        <x:v>コロンビア</x:v>
      </x:c>
      <x:c r="E128" s="82" t="str">
        <x:v>Team Picnic–PostNL</x:v>
      </x:c>
      <x:c r="F128" s="82" t="str">
        <x:v>クライマー</x:v>
      </x:c>
      <x:c r="G128" s="85" t="str">
        <x:v>パンチャー</x:v>
      </x:c>
      <x:c r="H128" s="85" t="n">
        <x:v>74</x:v>
      </x:c>
      <x:c r="I128" s="91" t="n">
        <x:v>73</x:v>
      </x:c>
      <x:c r="J128" s="91" t="str">
        <x:v>山岳賞ハンター / 山岳アシスト</x:v>
      </x:c>
      <x:c r="K128" s="91" t="str">
        <x:v>クライマー / パンチャー</x:v>
      </x:c>
      <x:c r="L128" s="88" t="n">
        <x:v>5100</x:v>
      </x:c>
      <x:c r="M128" s="91" t="str">
        <x:v>現役確認済</x:v>
      </x:c>
      <x:c r="N128" s="91" t="str">
        <x:v>https://en.wikipedia.org/wiki/Juan_Guillermo_Mart%C3%ADnez</x:v>
      </x:c>
    </x:row>
    <x:row r="129" ht="22" customHeight="1">
      <x:c r="A129" s="82" t="n">
        <x:v>125</x:v>
      </x:c>
      <x:c r="B129" s="82" t="str">
        <x:v>Bjoern Koerdt</x:v>
      </x:c>
      <x:c r="C129" s="82" t="str"/>
      <x:c r="D129" s="82" t="str">
        <x:v>イギリス</x:v>
      </x:c>
      <x:c r="E129" s="82" t="str">
        <x:v>Team Picnic–PostNL</x:v>
      </x:c>
      <x:c r="F129" s="82" t="str">
        <x:v>パンチャー</x:v>
      </x:c>
      <x:c r="G129" s="85" t="str">
        <x:v>スプリンター</x:v>
      </x:c>
      <x:c r="H129" s="85" t="n">
        <x:v>74</x:v>
      </x:c>
      <x:c r="I129" s="91" t="n">
        <x:v>71</x:v>
      </x:c>
      <x:c r="J129" s="91" t="str">
        <x:v>ステージハンター / スプリントトレイン / 下り牽引 / カウンターアタッカー / 無賃乗車</x:v>
      </x:c>
      <x:c r="K129" s="91" t="str">
        <x:v>パンチャー / スプリンター</x:v>
      </x:c>
      <x:c r="L129" s="88" t="n">
        <x:v>5000</x:v>
      </x:c>
      <x:c r="M129" s="91" t="str">
        <x:v>現役確認済</x:v>
      </x:c>
      <x:c r="N129" s="91" t="str">
        <x:v>https://en.wikipedia.org/wiki/Bjoern_Koerdt</x:v>
      </x:c>
    </x:row>
    <x:row r="130" ht="22" customHeight="1">
      <x:c r="A130" s="82" t="n">
        <x:v>126</x:v>
      </x:c>
      <x:c r="B130" s="82" t="str">
        <x:v>Marijn van den Berg</x:v>
      </x:c>
      <x:c r="C130" s="82" t="str"/>
      <x:c r="D130" s="82" t="str">
        <x:v>オランダ</x:v>
      </x:c>
      <x:c r="E130" s="82" t="str">
        <x:v>EF Education–EasyPost</x:v>
      </x:c>
      <x:c r="F130" s="82" t="str">
        <x:v>スプリンター</x:v>
      </x:c>
      <x:c r="G130" s="85" t="str">
        <x:v>クライマー</x:v>
      </x:c>
      <x:c r="H130" s="85" t="n">
        <x:v>74</x:v>
      </x:c>
      <x:c r="I130" s="91" t="n">
        <x:v>69</x:v>
      </x:c>
      <x:c r="J130" s="91" t="str">
        <x:v>山岳賞ハンター / リードアウト / 最終発射台 / スプリントトレイン</x:v>
      </x:c>
      <x:c r="K130" s="91" t="str">
        <x:v>スプリンター / クライマー</x:v>
      </x:c>
      <x:c r="L130" s="88" t="n">
        <x:v>4950</x:v>
      </x:c>
      <x:c r="M130" s="91" t="str">
        <x:v>現役確認済</x:v>
      </x:c>
      <x:c r="N130" s="91" t="str">
        <x:v>https://en.wikipedia.org/wiki/Marijn_van_den_Berg</x:v>
      </x:c>
    </x:row>
    <x:row r="131" ht="22" customHeight="1">
      <x:c r="A131" s="82" t="n">
        <x:v>127</x:v>
      </x:c>
      <x:c r="B131" s="82" t="str">
        <x:v>Huub Artz</x:v>
      </x:c>
      <x:c r="C131" s="82" t="str"/>
      <x:c r="D131" s="82" t="str">
        <x:v>オランダ</x:v>
      </x:c>
      <x:c r="E131" s="82" t="str">
        <x:v>Lotto–Intermarché</x:v>
      </x:c>
      <x:c r="F131" s="82" t="str">
        <x:v>パンチャー</x:v>
      </x:c>
      <x:c r="G131" s="85" t="str">
        <x:v>クライマー</x:v>
      </x:c>
      <x:c r="H131" s="85" t="n">
        <x:v>74</x:v>
      </x:c>
      <x:c r="I131" s="91" t="n">
        <x:v>70</x:v>
      </x:c>
      <x:c r="J131" s="91" t="str">
        <x:v>ステージハンター / 山岳賞ハンター / 逃げ屋</x:v>
      </x:c>
      <x:c r="K131" s="91" t="str">
        <x:v>パンチャー / クライマー</x:v>
      </x:c>
      <x:c r="L131" s="88" t="n">
        <x:v>4800</x:v>
      </x:c>
      <x:c r="M131" s="91" t="str">
        <x:v>現役確認済</x:v>
      </x:c>
      <x:c r="N131" s="91" t="str">
        <x:v>https://en.wikipedia.org/wiki/Huub_Artz</x:v>
      </x:c>
    </x:row>
    <x:row r="132" ht="22" customHeight="1">
      <x:c r="A132" s="82" t="n">
        <x:v>128</x:v>
      </x:c>
      <x:c r="B132" s="82" t="str">
        <x:v>Jonas Iversby Hvideberg</x:v>
      </x:c>
      <x:c r="C132" s="82" t="str"/>
      <x:c r="D132" s="82" t="str">
        <x:v>ノルウェー</x:v>
      </x:c>
      <x:c r="E132" s="82" t="str">
        <x:v>Uno-X Mobility</x:v>
      </x:c>
      <x:c r="F132" s="82" t="str">
        <x:v>総合型</x:v>
      </x:c>
      <x:c r="G132" s="85" t="str">
        <x:v>TT・ルーラー型</x:v>
      </x:c>
      <x:c r="H132" s="85" t="n">
        <x:v>74</x:v>
      </x:c>
      <x:c r="I132" s="91" t="n">
        <x:v>72</x:v>
      </x:c>
      <x:c r="J132" s="91" t="str">
        <x:v>ロードキャプテン / 山岳アシスト / 山岳番手</x:v>
      </x:c>
      <x:c r="K132" s="91" t="str">
        <x:v>総合型 / TT・ルーラー型</x:v>
      </x:c>
      <x:c r="L132" s="88" t="n">
        <x:v>4800</x:v>
      </x:c>
      <x:c r="M132" s="91" t="str">
        <x:v>現役確認済</x:v>
      </x:c>
      <x:c r="N132" s="91" t="str">
        <x:v>https://en.wikipedia.org/wiki/Jonas_Iversby_Hvideberg</x:v>
      </x:c>
    </x:row>
    <x:row r="133" ht="22" customHeight="1">
      <x:c r="A133" s="82" t="n">
        <x:v>129</x:v>
      </x:c>
      <x:c r="B133" s="82" t="str">
        <x:v>Julius van den Berg</x:v>
      </x:c>
      <x:c r="C133" s="82" t="str"/>
      <x:c r="D133" s="82" t="str">
        <x:v>オランダ</x:v>
      </x:c>
      <x:c r="E133" s="82" t="str">
        <x:v>Team Picnic–PostNL</x:v>
      </x:c>
      <x:c r="F133" s="82" t="str">
        <x:v>スプリンター</x:v>
      </x:c>
      <x:c r="G133" s="85" t="str">
        <x:v>クラシック型</x:v>
      </x:c>
      <x:c r="H133" s="85" t="n">
        <x:v>74</x:v>
      </x:c>
      <x:c r="I133" s="91" t="n">
        <x:v>70</x:v>
      </x:c>
      <x:c r="J133" s="91" t="str">
        <x:v>リードアウト / 最終発射台 / スプリントトレイン / 下り牽引 / ポジションキーパー</x:v>
      </x:c>
      <x:c r="K133" s="91" t="str">
        <x:v>スプリンター / クラシック型</x:v>
      </x:c>
      <x:c r="L133" s="88" t="n">
        <x:v>4700</x:v>
      </x:c>
      <x:c r="M133" s="91" t="str">
        <x:v>現役確認済</x:v>
      </x:c>
      <x:c r="N133" s="91" t="str">
        <x:v>https://en.wikipedia.org/wiki/Julius_van_den_Berg</x:v>
      </x:c>
    </x:row>
    <x:row r="134" ht="22" customHeight="1">
      <x:c r="A134" s="82" t="n">
        <x:v>130</x:v>
      </x:c>
      <x:c r="B134" s="82" t="str">
        <x:v>Iván Romeo</x:v>
      </x:c>
      <x:c r="C134" s="82" t="str"/>
      <x:c r="D134" s="82" t="str">
        <x:v>スペイン</x:v>
      </x:c>
      <x:c r="E134" s="82" t="str">
        <x:v>Movistar Team</x:v>
      </x:c>
      <x:c r="F134" s="82" t="str">
        <x:v>パンチャー</x:v>
      </x:c>
      <x:c r="G134" s="85" t="str">
        <x:v>総合型</x:v>
      </x:c>
      <x:c r="H134" s="85" t="n">
        <x:v>74</x:v>
      </x:c>
      <x:c r="I134" s="91" t="n">
        <x:v>70</x:v>
      </x:c>
      <x:c r="J134" s="91" t="str">
        <x:v>ステージハンター / 山岳賞ハンター / 下り牽引 / 集団コントローラー / カウンターアタッカー / 無賃乗車 / ポジションキーパー</x:v>
      </x:c>
      <x:c r="K134" s="91" t="str">
        <x:v>パンチャー / 総合型</x:v>
      </x:c>
      <x:c r="L134" s="88" t="n">
        <x:v>4650</x:v>
      </x:c>
      <x:c r="M134" s="91" t="str">
        <x:v>現役確認済</x:v>
      </x:c>
      <x:c r="N134" s="91" t="str">
        <x:v>https://en.wikipedia.org/wiki/Iv%C3%A1n_Romeo</x:v>
      </x:c>
    </x:row>
    <x:row r="135" ht="22" customHeight="1">
      <x:c r="A135" s="82" t="n">
        <x:v>131</x:v>
      </x:c>
      <x:c r="B135" s="82" t="str">
        <x:v>Casper van Uden</x:v>
      </x:c>
      <x:c r="C135" s="82" t="str"/>
      <x:c r="D135" s="82" t="str">
        <x:v>オランダ</x:v>
      </x:c>
      <x:c r="E135" s="82" t="str">
        <x:v>Team Picnic–PostNL</x:v>
      </x:c>
      <x:c r="F135" s="82" t="str">
        <x:v>スプリンター</x:v>
      </x:c>
      <x:c r="G135" s="85" t="str">
        <x:v>総合型</x:v>
      </x:c>
      <x:c r="H135" s="85" t="n">
        <x:v>74</x:v>
      </x:c>
      <x:c r="I135" s="91" t="n">
        <x:v>70</x:v>
      </x:c>
      <x:c r="J135" s="91" t="str">
        <x:v>リードアウト / 最終発射台 / スプリントトレイン / 集団コントローラー</x:v>
      </x:c>
      <x:c r="K135" s="91" t="str">
        <x:v>スプリンター / 総合型</x:v>
      </x:c>
      <x:c r="L135" s="88" t="n">
        <x:v>4550</x:v>
      </x:c>
      <x:c r="M135" s="91" t="str">
        <x:v>現役確認済</x:v>
      </x:c>
      <x:c r="N135" s="91" t="str">
        <x:v>https://en.wikipedia.org/wiki/Casper_van_Uden</x:v>
      </x:c>
    </x:row>
    <x:row r="136" ht="22" customHeight="1">
      <x:c r="A136" s="82" t="n">
        <x:v>132</x:v>
      </x:c>
      <x:c r="B136" s="82" t="str">
        <x:v>Andreas Kron</x:v>
      </x:c>
      <x:c r="C136" s="82" t="str"/>
      <x:c r="D136" s="82" t="str">
        <x:v>デンマーク</x:v>
      </x:c>
      <x:c r="E136" s="82" t="str">
        <x:v>Uno-X Mobility</x:v>
      </x:c>
      <x:c r="F136" s="82" t="str">
        <x:v>パンチャー</x:v>
      </x:c>
      <x:c r="G136" s="85" t="str">
        <x:v>総合型</x:v>
      </x:c>
      <x:c r="H136" s="85" t="n">
        <x:v>74</x:v>
      </x:c>
      <x:c r="I136" s="91" t="n">
        <x:v>69</x:v>
      </x:c>
      <x:c r="J136" s="91" t="str">
        <x:v>ステージハンター / 山岳賞ハンター / 下り牽引 / 集団コントローラー</x:v>
      </x:c>
      <x:c r="K136" s="91" t="str">
        <x:v>パンチャー / 総合型</x:v>
      </x:c>
      <x:c r="L136" s="88" t="n">
        <x:v>4500</x:v>
      </x:c>
      <x:c r="M136" s="91" t="str">
        <x:v>現役確認済</x:v>
      </x:c>
      <x:c r="N136" s="91" t="str">
        <x:v>https://en.wikipedia.org/wiki/Andreas_Kron</x:v>
      </x:c>
    </x:row>
    <x:row r="137" ht="22" customHeight="1">
      <x:c r="A137" s="82" t="n">
        <x:v>133</x:v>
      </x:c>
      <x:c r="B137" s="82" t="str">
        <x:v>Cees Bol</x:v>
      </x:c>
      <x:c r="C137" s="82" t="str"/>
      <x:c r="D137" s="82" t="str">
        <x:v>オランダ</x:v>
      </x:c>
      <x:c r="E137" s="82" t="str">
        <x:v>Decathlon–CMA CGM</x:v>
      </x:c>
      <x:c r="F137" s="82" t="str">
        <x:v>スプリンター</x:v>
      </x:c>
      <x:c r="G137" s="85" t="str">
        <x:v>TT・ルーラー型</x:v>
      </x:c>
      <x:c r="H137" s="85" t="n">
        <x:v>74</x:v>
      </x:c>
      <x:c r="I137" s="91" t="n">
        <x:v>68</x:v>
      </x:c>
      <x:c r="J137" s="91" t="str">
        <x:v>ロードキャプテン / リードアウト / 最終発射台 / 下り牽引</x:v>
      </x:c>
      <x:c r="K137" s="91" t="str">
        <x:v>スプリンター / TT・ルーラー型</x:v>
      </x:c>
      <x:c r="L137" s="88" t="n">
        <x:v>4400</x:v>
      </x:c>
      <x:c r="M137" s="91" t="str">
        <x:v>現役確認済</x:v>
      </x:c>
      <x:c r="N137" s="91" t="str">
        <x:v>https://en.wikipedia.org/wiki/Cees_Bol</x:v>
      </x:c>
    </x:row>
    <x:row r="138" ht="22" customHeight="1">
      <x:c r="A138" s="82" t="n">
        <x:v>134</x:v>
      </x:c>
      <x:c r="B138" s="82" t="str">
        <x:v>Darren Rafferty</x:v>
      </x:c>
      <x:c r="C138" s="82" t="str"/>
      <x:c r="D138" s="82" t="str">
        <x:v>アイルランド</x:v>
      </x:c>
      <x:c r="E138" s="82" t="str">
        <x:v>EF Education–EasyPost</x:v>
      </x:c>
      <x:c r="F138" s="82" t="str">
        <x:v>スプリンター</x:v>
      </x:c>
      <x:c r="G138" s="85" t="str">
        <x:v>総合型</x:v>
      </x:c>
      <x:c r="H138" s="85" t="n">
        <x:v>74</x:v>
      </x:c>
      <x:c r="I138" s="91" t="n">
        <x:v>67</x:v>
      </x:c>
      <x:c r="J138" s="91" t="str">
        <x:v>リードアウト / 最終発射台 / スプリントトレイン / 集団コントローラー</x:v>
      </x:c>
      <x:c r="K138" s="91" t="str">
        <x:v>スプリンター / 総合型</x:v>
      </x:c>
      <x:c r="L138" s="88" t="n">
        <x:v>4150</x:v>
      </x:c>
      <x:c r="M138" s="91" t="str">
        <x:v>現役確認済</x:v>
      </x:c>
      <x:c r="N138" s="91" t="str">
        <x:v>https://en.wikipedia.org/wiki/Darren_Rafferty</x:v>
      </x:c>
    </x:row>
    <x:row r="139" ht="22" customHeight="1">
      <x:c r="A139" s="82" t="n">
        <x:v>135</x:v>
      </x:c>
      <x:c r="B139" s="82" t="str">
        <x:v>Amanuel Ghebreigzabhier</x:v>
      </x:c>
      <x:c r="C139" s="82" t="str"/>
      <x:c r="D139" s="82" t="str">
        <x:v>エリトリア</x:v>
      </x:c>
      <x:c r="E139" s="82" t="str">
        <x:v>Lidl–Trek</x:v>
      </x:c>
      <x:c r="F139" s="82" t="str">
        <x:v>クラシック型</x:v>
      </x:c>
      <x:c r="G139" s="85" t="str">
        <x:v>パンチャー</x:v>
      </x:c>
      <x:c r="H139" s="85" t="n">
        <x:v>73</x:v>
      </x:c>
      <x:c r="I139" s="91" t="n">
        <x:v>77</x:v>
      </x:c>
      <x:c r="J139" s="91" t="str">
        <x:v>平坦アシスト / TT牽引 / 石畳護衛 / 横風要員 / 逃げ屋 / 超ロングスパート</x:v>
      </x:c>
      <x:c r="K139" s="91" t="str">
        <x:v>クラシック型 / パンチャー</x:v>
      </x:c>
      <x:c r="L139" s="88" t="n">
        <x:v>6400</x:v>
      </x:c>
      <x:c r="M139" s="91" t="str">
        <x:v>現役確認済</x:v>
      </x:c>
      <x:c r="N139" s="91" t="str">
        <x:v>https://en.wikipedia.org/wiki/Amanuel_Ghebreigzabhier</x:v>
      </x:c>
    </x:row>
    <x:row r="140" ht="22" customHeight="1">
      <x:c r="A140" s="82" t="n">
        <x:v>136</x:v>
      </x:c>
      <x:c r="B140" s="82" t="str">
        <x:v>Jay Vine</x:v>
      </x:c>
      <x:c r="C140" s="82" t="str"/>
      <x:c r="D140" s="82" t="str">
        <x:v>オーストラリア</x:v>
      </x:c>
      <x:c r="E140" s="82" t="str">
        <x:v>UAE Team Emirates XRG</x:v>
      </x:c>
      <x:c r="F140" s="82" t="str">
        <x:v>クライマー</x:v>
      </x:c>
      <x:c r="G140" s="85" t="str">
        <x:v>総合型</x:v>
      </x:c>
      <x:c r="H140" s="85" t="n">
        <x:v>73</x:v>
      </x:c>
      <x:c r="I140" s="91" t="n">
        <x:v>75</x:v>
      </x:c>
      <x:c r="J140" s="91" t="str">
        <x:v>山岳賞ハンター / 山岳アシスト / 集団コントローラー</x:v>
      </x:c>
      <x:c r="K140" s="91" t="str">
        <x:v>クライマー / 総合型</x:v>
      </x:c>
      <x:c r="L140" s="88" t="n">
        <x:v>6300</x:v>
      </x:c>
      <x:c r="M140" s="91" t="str">
        <x:v>現役確認済</x:v>
      </x:c>
      <x:c r="N140" s="91" t="str">
        <x:v>https://en.wikipedia.org/wiki/Jay_Vine</x:v>
      </x:c>
    </x:row>
    <x:row r="141" ht="22" customHeight="1">
      <x:c r="A141" s="82" t="n">
        <x:v>137</x:v>
      </x:c>
      <x:c r="B141" s="82" t="str">
        <x:v>António Morgado</x:v>
      </x:c>
      <x:c r="C141" s="82" t="str"/>
      <x:c r="D141" s="82" t="str">
        <x:v>ポルトガル</x:v>
      </x:c>
      <x:c r="E141" s="82" t="str">
        <x:v>UAE Team Emirates XRG</x:v>
      </x:c>
      <x:c r="F141" s="82" t="str">
        <x:v>クラシック型</x:v>
      </x:c>
      <x:c r="G141" s="85" t="str">
        <x:v>パンチャー</x:v>
      </x:c>
      <x:c r="H141" s="85" t="n">
        <x:v>73</x:v>
      </x:c>
      <x:c r="I141" s="91" t="n">
        <x:v>75</x:v>
      </x:c>
      <x:c r="J141" s="91" t="str">
        <x:v>ステージハンター / 石畳護衛 / 下り牽引 / 逃げ屋</x:v>
      </x:c>
      <x:c r="K141" s="91" t="str">
        <x:v>クラシック型 / パンチャー</x:v>
      </x:c>
      <x:c r="L141" s="88" t="n">
        <x:v>6000</x:v>
      </x:c>
      <x:c r="M141" s="91" t="str">
        <x:v>現役確認済</x:v>
      </x:c>
      <x:c r="N141" s="91" t="str">
        <x:v>https://en.wikipedia.org/wiki/Ant%C3%B3nio_Morgado</x:v>
      </x:c>
    </x:row>
    <x:row r="142" ht="22" customHeight="1">
      <x:c r="A142" s="82" t="n">
        <x:v>138</x:v>
      </x:c>
      <x:c r="B142" s="82" t="str">
        <x:v>Joshua Giddings (cyclist)</x:v>
      </x:c>
      <x:c r="C142" s="82" t="str"/>
      <x:c r="D142" s="82" t="str">
        <x:v>イギリス</x:v>
      </x:c>
      <x:c r="E142" s="82" t="str">
        <x:v>Lotto–Intermarché</x:v>
      </x:c>
      <x:c r="F142" s="82" t="str">
        <x:v>クラシック型</x:v>
      </x:c>
      <x:c r="G142" s="85" t="str">
        <x:v>TT・ルーラー型</x:v>
      </x:c>
      <x:c r="H142" s="85" t="n">
        <x:v>73</x:v>
      </x:c>
      <x:c r="I142" s="91" t="n">
        <x:v>77</x:v>
      </x:c>
      <x:c r="J142" s="91" t="str">
        <x:v>平坦アシスト / TT牽引 / 石畳護衛 / 横風要員 / 逃げ屋 / 横風分断</x:v>
      </x:c>
      <x:c r="K142" s="91" t="str">
        <x:v>クラシック型 / TT・ルーラー型</x:v>
      </x:c>
      <x:c r="L142" s="88" t="n">
        <x:v>5850</x:v>
      </x:c>
      <x:c r="M142" s="91" t="str">
        <x:v>現役確認済</x:v>
      </x:c>
      <x:c r="N142" s="91" t="str">
        <x:v>https://en.wikipedia.org/wiki/Joshua_Giddings_(cyclist)</x:v>
      </x:c>
    </x:row>
    <x:row r="143" ht="22" customHeight="1">
      <x:c r="A143" s="82" t="n">
        <x:v>139</x:v>
      </x:c>
      <x:c r="B143" s="82" t="str">
        <x:v>Edward Planckaert</x:v>
      </x:c>
      <x:c r="C143" s="82" t="str"/>
      <x:c r="D143" s="82" t="str">
        <x:v>ベルギー</x:v>
      </x:c>
      <x:c r="E143" s="82" t="str">
        <x:v>Alpecin–Premier Tech</x:v>
      </x:c>
      <x:c r="F143" s="82" t="str">
        <x:v>クラシック型</x:v>
      </x:c>
      <x:c r="G143" s="85" t="str">
        <x:v>TT・ルーラー型</x:v>
      </x:c>
      <x:c r="H143" s="85" t="n">
        <x:v>73</x:v>
      </x:c>
      <x:c r="I143" s="91" t="n">
        <x:v>76</x:v>
      </x:c>
      <x:c r="J143" s="91" t="str">
        <x:v>TT牽引 / 石畳護衛 / 横風分断</x:v>
      </x:c>
      <x:c r="K143" s="91" t="str">
        <x:v>クラシック型 / TT・ルーラー型</x:v>
      </x:c>
      <x:c r="L143" s="88" t="n">
        <x:v>5800</x:v>
      </x:c>
      <x:c r="M143" s="91" t="str">
        <x:v>現役確認済</x:v>
      </x:c>
      <x:c r="N143" s="91" t="str">
        <x:v>https://en.wikipedia.org/wiki/Edward_Planckaert</x:v>
      </x:c>
    </x:row>
    <x:row r="144" ht="22" customHeight="1">
      <x:c r="A144" s="82" t="n">
        <x:v>140</x:v>
      </x:c>
      <x:c r="B144" s="82" t="str">
        <x:v>Colby Simmons</x:v>
      </x:c>
      <x:c r="C144" s="82" t="str"/>
      <x:c r="D144" s="82" t="str">
        <x:v>アメリカ</x:v>
      </x:c>
      <x:c r="E144" s="82" t="str">
        <x:v>EF Education–EasyPost</x:v>
      </x:c>
      <x:c r="F144" s="82" t="str">
        <x:v>クライマー</x:v>
      </x:c>
      <x:c r="G144" s="85" t="str">
        <x:v>スプリンター</x:v>
      </x:c>
      <x:c r="H144" s="85" t="n">
        <x:v>73</x:v>
      </x:c>
      <x:c r="I144" s="91" t="n">
        <x:v>75</x:v>
      </x:c>
      <x:c r="J144" s="91" t="str">
        <x:v>ロードキャプテン / スプリントトレイン / 山岳アシスト / 山岳番手</x:v>
      </x:c>
      <x:c r="K144" s="91" t="str">
        <x:v>クライマー / スプリンター</x:v>
      </x:c>
      <x:c r="L144" s="88" t="n">
        <x:v>5650</x:v>
      </x:c>
      <x:c r="M144" s="91" t="str">
        <x:v>現役確認済</x:v>
      </x:c>
      <x:c r="N144" s="91" t="str">
        <x:v>https://en.wikipedia.org/wiki/Colby_Simmons</x:v>
      </x:c>
    </x:row>
    <x:row r="145" ht="22" customHeight="1">
      <x:c r="A145" s="82" t="n">
        <x:v>141</x:v>
      </x:c>
      <x:c r="B145" s="82" t="str">
        <x:v>Anton Schiffer</x:v>
      </x:c>
      <x:c r="C145" s="82" t="str"/>
      <x:c r="D145" s="82" t="str">
        <x:v>ドイツ</x:v>
      </x:c>
      <x:c r="E145" s="82" t="str">
        <x:v>Visma–Lease a Bike</x:v>
      </x:c>
      <x:c r="F145" s="82" t="str">
        <x:v>クライマー</x:v>
      </x:c>
      <x:c r="G145" s="85" t="str">
        <x:v>パンチャー</x:v>
      </x:c>
      <x:c r="H145" s="85" t="n">
        <x:v>73</x:v>
      </x:c>
      <x:c r="I145" s="91" t="n">
        <x:v>73</x:v>
      </x:c>
      <x:c r="J145" s="91" t="str">
        <x:v>山岳賞ハンター / 山岳アシスト / 山岳ペースメーカー</x:v>
      </x:c>
      <x:c r="K145" s="91" t="str">
        <x:v>クライマー / パンチャー</x:v>
      </x:c>
      <x:c r="L145" s="88" t="n">
        <x:v>5600</x:v>
      </x:c>
      <x:c r="M145" s="91" t="str">
        <x:v>現役確認済</x:v>
      </x:c>
      <x:c r="N145" s="91" t="str">
        <x:v>https://en.wikipedia.org/wiki/Anton_Schiffer</x:v>
      </x:c>
    </x:row>
    <x:row r="146" ht="22" customHeight="1">
      <x:c r="A146" s="82" t="n">
        <x:v>142</x:v>
      </x:c>
      <x:c r="B146" s="82" t="str">
        <x:v>Javier Romo</x:v>
      </x:c>
      <x:c r="C146" s="82" t="str"/>
      <x:c r="D146" s="82" t="str">
        <x:v>スペイン</x:v>
      </x:c>
      <x:c r="E146" s="82" t="str">
        <x:v>Movistar Team</x:v>
      </x:c>
      <x:c r="F146" s="82" t="str">
        <x:v>クラシック型</x:v>
      </x:c>
      <x:c r="G146" s="85" t="str">
        <x:v>TT・ルーラー型</x:v>
      </x:c>
      <x:c r="H146" s="85" t="n">
        <x:v>73</x:v>
      </x:c>
      <x:c r="I146" s="91" t="n">
        <x:v>75</x:v>
      </x:c>
      <x:c r="J146" s="91" t="str">
        <x:v>TT牽引 / 石畳護衛 / 下り牽引 / ブレイクアウェイキラー / 横風要員 / 逃げ屋 / ブリッジャー</x:v>
      </x:c>
      <x:c r="K146" s="91" t="str">
        <x:v>クラシック型 / TT・ルーラー型</x:v>
      </x:c>
      <x:c r="L146" s="88" t="n">
        <x:v>5550</x:v>
      </x:c>
      <x:c r="M146" s="91" t="str">
        <x:v>現役確認済</x:v>
      </x:c>
      <x:c r="N146" s="91" t="str">
        <x:v>https://en.wikipedia.org/wiki/Javier_Romo</x:v>
      </x:c>
    </x:row>
    <x:row r="147" ht="22" customHeight="1">
      <x:c r="A147" s="82" t="n">
        <x:v>143</x:v>
      </x:c>
      <x:c r="B147" s="82" t="str">
        <x:v>Magnus Cort</x:v>
      </x:c>
      <x:c r="C147" s="82" t="str"/>
      <x:c r="D147" s="82" t="str">
        <x:v>デンマーク</x:v>
      </x:c>
      <x:c r="E147" s="82" t="str">
        <x:v>Uno-X Mobility</x:v>
      </x:c>
      <x:c r="F147" s="82" t="str">
        <x:v>パンチャー</x:v>
      </x:c>
      <x:c r="G147" s="85" t="str">
        <x:v>スプリンター</x:v>
      </x:c>
      <x:c r="H147" s="85" t="n">
        <x:v>73</x:v>
      </x:c>
      <x:c r="I147" s="91" t="n">
        <x:v>72</x:v>
      </x:c>
      <x:c r="J147" s="91" t="str">
        <x:v>ステージハンター / スプリントトレイン / 逃げ屋 / カウンターアタッカー / ポジションキーパー</x:v>
      </x:c>
      <x:c r="K147" s="91" t="str">
        <x:v>パンチャー / スプリンター</x:v>
      </x:c>
      <x:c r="L147" s="88" t="n">
        <x:v>5400</x:v>
      </x:c>
      <x:c r="M147" s="91" t="str">
        <x:v>現役確認済</x:v>
      </x:c>
      <x:c r="N147" s="91" t="str">
        <x:v>https://en.wikipedia.org/wiki/Magnus_Cort</x:v>
      </x:c>
    </x:row>
    <x:row r="148" ht="22" customHeight="1">
      <x:c r="A148" s="82" t="n">
        <x:v>144</x:v>
      </x:c>
      <x:c r="B148" s="82" t="str">
        <x:v>Christian Scaroni</x:v>
      </x:c>
      <x:c r="C148" s="82" t="str"/>
      <x:c r="D148" s="82" t="str">
        <x:v>イタリア</x:v>
      </x:c>
      <x:c r="E148" s="82" t="str">
        <x:v>XDS Astana Team</x:v>
      </x:c>
      <x:c r="F148" s="82" t="str">
        <x:v>パンチャー</x:v>
      </x:c>
      <x:c r="G148" s="85" t="str">
        <x:v>クラシック型</x:v>
      </x:c>
      <x:c r="H148" s="85" t="n">
        <x:v>73</x:v>
      </x:c>
      <x:c r="I148" s="91" t="n">
        <x:v>73</x:v>
      </x:c>
      <x:c r="J148" s="91" t="str">
        <x:v>ステージハンター / 逃げ屋 / カウンターアタッカー</x:v>
      </x:c>
      <x:c r="K148" s="91" t="str">
        <x:v>パンチャー / クラシック型</x:v>
      </x:c>
      <x:c r="L148" s="88" t="n">
        <x:v>5350</x:v>
      </x:c>
      <x:c r="M148" s="91" t="str">
        <x:v>現役確認済</x:v>
      </x:c>
      <x:c r="N148" s="91" t="str">
        <x:v>https://en.wikipedia.org/wiki/Christian_Scaroni</x:v>
      </x:c>
    </x:row>
    <x:row r="149" ht="22" customHeight="1">
      <x:c r="A149" s="82" t="n">
        <x:v>145</x:v>
      </x:c>
      <x:c r="B149" s="82" t="str">
        <x:v>Cristián Rodríguez (cyclist)</x:v>
      </x:c>
      <x:c r="C149" s="82" t="str"/>
      <x:c r="D149" s="82" t="str">
        <x:v>スペイン</x:v>
      </x:c>
      <x:c r="E149" s="82" t="str">
        <x:v>XDS Astana Team</x:v>
      </x:c>
      <x:c r="F149" s="82" t="str">
        <x:v>クライマー</x:v>
      </x:c>
      <x:c r="G149" s="85" t="str">
        <x:v>TT・ルーラー型</x:v>
      </x:c>
      <x:c r="H149" s="85" t="n">
        <x:v>73</x:v>
      </x:c>
      <x:c r="I149" s="91" t="n">
        <x:v>73</x:v>
      </x:c>
      <x:c r="J149" s="91" t="str">
        <x:v>山岳賞ハンター / 山岳アシスト / 山岳番手</x:v>
      </x:c>
      <x:c r="K149" s="91" t="str">
        <x:v>クライマー / TT・ルーラー型</x:v>
      </x:c>
      <x:c r="L149" s="88" t="n">
        <x:v>5300</x:v>
      </x:c>
      <x:c r="M149" s="91" t="str">
        <x:v>現役確認済</x:v>
      </x:c>
      <x:c r="N149" s="91" t="str">
        <x:v>https://en.wikipedia.org/wiki/Cristi%C3%A1n_Rodr%C3%ADguez_(cyclist)</x:v>
      </x:c>
    </x:row>
    <x:row r="150" ht="22" customHeight="1">
      <x:c r="A150" s="82" t="n">
        <x:v>146</x:v>
      </x:c>
      <x:c r="B150" s="82" t="str">
        <x:v>Gianluca Pollefliet</x:v>
      </x:c>
      <x:c r="C150" s="82" t="str"/>
      <x:c r="D150" s="82" t="str">
        <x:v>ベルギー</x:v>
      </x:c>
      <x:c r="E150" s="82" t="str">
        <x:v>Decathlon–CMA CGM</x:v>
      </x:c>
      <x:c r="F150" s="82" t="str">
        <x:v>クラシック型</x:v>
      </x:c>
      <x:c r="G150" s="85" t="str">
        <x:v>クライマー</x:v>
      </x:c>
      <x:c r="H150" s="85" t="n">
        <x:v>73</x:v>
      </x:c>
      <x:c r="I150" s="91" t="n">
        <x:v>75</x:v>
      </x:c>
      <x:c r="J150" s="91" t="str">
        <x:v>山岳賞ハンター / 石畳護衛 / 下り牽引 / ブレイクアウェイキラー / 横風要員 / 逃げ屋 / 超ロングスパート</x:v>
      </x:c>
      <x:c r="K150" s="91" t="str">
        <x:v>クラシック型 / クライマー</x:v>
      </x:c>
      <x:c r="L150" s="88" t="n">
        <x:v>5200</x:v>
      </x:c>
      <x:c r="M150" s="91" t="str">
        <x:v>現役確認済</x:v>
      </x:c>
      <x:c r="N150" s="91" t="str">
        <x:v>https://en.wikipedia.org/wiki/Gianluca_Pollefliet</x:v>
      </x:c>
    </x:row>
    <x:row r="151" ht="22" customHeight="1">
      <x:c r="A151" s="82" t="n">
        <x:v>147</x:v>
      </x:c>
      <x:c r="B151" s="82" t="str">
        <x:v>Georg Steinhauser</x:v>
      </x:c>
      <x:c r="C151" s="82" t="str"/>
      <x:c r="D151" s="82" t="str">
        <x:v>ドイツ</x:v>
      </x:c>
      <x:c r="E151" s="82" t="str">
        <x:v>EF Education–EasyPost</x:v>
      </x:c>
      <x:c r="F151" s="82" t="str">
        <x:v>総合型</x:v>
      </x:c>
      <x:c r="G151" s="85" t="str">
        <x:v>TT・ルーラー型</x:v>
      </x:c>
      <x:c r="H151" s="85" t="n">
        <x:v>73</x:v>
      </x:c>
      <x:c r="I151" s="91" t="n">
        <x:v>73</x:v>
      </x:c>
      <x:c r="J151" s="91" t="str">
        <x:v>山岳アシスト</x:v>
      </x:c>
      <x:c r="K151" s="91" t="str">
        <x:v>総合型 / TT・ルーラー型</x:v>
      </x:c>
      <x:c r="L151" s="88" t="n">
        <x:v>5200</x:v>
      </x:c>
      <x:c r="M151" s="91" t="str">
        <x:v>現役確認済</x:v>
      </x:c>
      <x:c r="N151" s="91" t="str">
        <x:v>https://en.wikipedia.org/wiki/Georg_Steinhauser</x:v>
      </x:c>
    </x:row>
    <x:row r="152" ht="22" customHeight="1">
      <x:c r="A152" s="82" t="n">
        <x:v>148</x:v>
      </x:c>
      <x:c r="B152" s="82" t="str">
        <x:v>Ben Tulett</x:v>
      </x:c>
      <x:c r="C152" s="82" t="str"/>
      <x:c r="D152" s="82" t="str">
        <x:v>イギリス</x:v>
      </x:c>
      <x:c r="E152" s="82" t="str">
        <x:v>Visma–Lease a Bike</x:v>
      </x:c>
      <x:c r="F152" s="82" t="str">
        <x:v>パンチャー</x:v>
      </x:c>
      <x:c r="G152" s="85" t="str">
        <x:v>総合型</x:v>
      </x:c>
      <x:c r="H152" s="85" t="n">
        <x:v>73</x:v>
      </x:c>
      <x:c r="I152" s="91" t="n">
        <x:v>70</x:v>
      </x:c>
      <x:c r="J152" s="91" t="str">
        <x:v>ステージハンター / 山岳賞ハンター / 下り牽引 / 集団コントローラー / カウンターアタッカー / 無賃乗車</x:v>
      </x:c>
      <x:c r="K152" s="91" t="str">
        <x:v>パンチャー / 総合型</x:v>
      </x:c>
      <x:c r="L152" s="88" t="n">
        <x:v>5150</x:v>
      </x:c>
      <x:c r="M152" s="91" t="str">
        <x:v>現役確認済</x:v>
      </x:c>
      <x:c r="N152" s="91" t="str">
        <x:v>https://en.wikipedia.org/wiki/Ben_Tulett</x:v>
      </x:c>
    </x:row>
    <x:row r="153" ht="22" customHeight="1">
      <x:c r="A153" s="82" t="n">
        <x:v>149</x:v>
      </x:c>
      <x:c r="B153" s="82" t="str">
        <x:v>Andrew August</x:v>
      </x:c>
      <x:c r="C153" s="82" t="str"/>
      <x:c r="D153" s="82" t="str">
        <x:v>アメリカ</x:v>
      </x:c>
      <x:c r="E153" s="82" t="str">
        <x:v>Netcompany INEOS Cycling Team</x:v>
      </x:c>
      <x:c r="F153" s="82" t="str">
        <x:v>パンチャー</x:v>
      </x:c>
      <x:c r="G153" s="85" t="str">
        <x:v>クラシック型</x:v>
      </x:c>
      <x:c r="H153" s="85" t="n">
        <x:v>73</x:v>
      </x:c>
      <x:c r="I153" s="91" t="n">
        <x:v>70</x:v>
      </x:c>
      <x:c r="J153" s="91" t="str">
        <x:v>ステージハンター / 逃げ屋 / ブリッジャー</x:v>
      </x:c>
      <x:c r="K153" s="91" t="str">
        <x:v>パンチャー / クラシック型</x:v>
      </x:c>
      <x:c r="L153" s="88" t="n">
        <x:v>5100</x:v>
      </x:c>
      <x:c r="M153" s="91" t="str">
        <x:v>現役確認済</x:v>
      </x:c>
      <x:c r="N153" s="91" t="str">
        <x:v>https://en.wikipedia.org/wiki/Andrew_August</x:v>
      </x:c>
    </x:row>
    <x:row r="154" ht="22" customHeight="1">
      <x:c r="A154" s="82" t="n">
        <x:v>150</x:v>
      </x:c>
      <x:c r="B154" s="82" t="str">
        <x:v>Bram Welten</x:v>
      </x:c>
      <x:c r="C154" s="82" t="str"/>
      <x:c r="D154" s="82" t="str">
        <x:v>オランダ</x:v>
      </x:c>
      <x:c r="E154" s="82" t="str">
        <x:v>Team Picnic–PostNL</x:v>
      </x:c>
      <x:c r="F154" s="82" t="str">
        <x:v>パンチャー</x:v>
      </x:c>
      <x:c r="G154" s="85" t="str">
        <x:v>クライマー</x:v>
      </x:c>
      <x:c r="H154" s="85" t="n">
        <x:v>73</x:v>
      </x:c>
      <x:c r="I154" s="91" t="n">
        <x:v>71</x:v>
      </x:c>
      <x:c r="J154" s="91" t="str">
        <x:v>ステージハンター / 山岳賞ハンター</x:v>
      </x:c>
      <x:c r="K154" s="91" t="str">
        <x:v>パンチャー / クライマー</x:v>
      </x:c>
      <x:c r="L154" s="88" t="n">
        <x:v>5050</x:v>
      </x:c>
      <x:c r="M154" s="91" t="str">
        <x:v>現役確認済</x:v>
      </x:c>
      <x:c r="N154" s="91" t="str">
        <x:v>https://en.wikipedia.org/wiki/Bram_Welten</x:v>
      </x:c>
    </x:row>
    <x:row r="155" ht="22" customHeight="1">
      <x:c r="A155" s="82" t="n">
        <x:v>151</x:v>
      </x:c>
      <x:c r="B155" s="82" t="str">
        <x:v>Ben O'Connor (cyclist)</x:v>
      </x:c>
      <x:c r="C155" s="82" t="str"/>
      <x:c r="D155" s="82" t="str">
        <x:v>オーストラリア</x:v>
      </x:c>
      <x:c r="E155" s="82" t="str">
        <x:v>Team Jayco–AlUla</x:v>
      </x:c>
      <x:c r="F155" s="82" t="str">
        <x:v>総合型</x:v>
      </x:c>
      <x:c r="G155" s="85" t="str">
        <x:v>スプリンター</x:v>
      </x:c>
      <x:c r="H155" s="85" t="n">
        <x:v>73</x:v>
      </x:c>
      <x:c r="I155" s="91" t="n">
        <x:v>74</x:v>
      </x:c>
      <x:c r="J155" s="91" t="str">
        <x:v>スプリントトレイン / 山岳アシスト / 山岳番手</x:v>
      </x:c>
      <x:c r="K155" s="91" t="str">
        <x:v>総合型 / スプリンター</x:v>
      </x:c>
      <x:c r="L155" s="88" t="n">
        <x:v>5000</x:v>
      </x:c>
      <x:c r="M155" s="91" t="str">
        <x:v>現役確認済</x:v>
      </x:c>
      <x:c r="N155" s="91" t="str">
        <x:v>https://en.wikipedia.org/wiki/Ben_O'Connor_(cyclist)</x:v>
      </x:c>
    </x:row>
    <x:row r="156" ht="22" customHeight="1">
      <x:c r="A156" s="82" t="n">
        <x:v>152</x:v>
      </x:c>
      <x:c r="B156" s="82" t="str">
        <x:v>Henrik Pedersen (cyclist)</x:v>
      </x:c>
      <x:c r="C156" s="82" t="str"/>
      <x:c r="D156" s="82" t="str">
        <x:v>デンマーク</x:v>
      </x:c>
      <x:c r="E156" s="82" t="str">
        <x:v>Uno-X Mobility</x:v>
      </x:c>
      <x:c r="F156" s="82" t="str">
        <x:v>パンチャー</x:v>
      </x:c>
      <x:c r="G156" s="85" t="str">
        <x:v>クライマー</x:v>
      </x:c>
      <x:c r="H156" s="85" t="n">
        <x:v>73</x:v>
      </x:c>
      <x:c r="I156" s="91" t="n">
        <x:v>70</x:v>
      </x:c>
      <x:c r="J156" s="91" t="str">
        <x:v>ロードキャプテン / ステージハンター / 山岳賞ハンター / カウンターアタッカー / ポジションキーパー</x:v>
      </x:c>
      <x:c r="K156" s="91" t="str">
        <x:v>パンチャー / クライマー</x:v>
      </x:c>
      <x:c r="L156" s="88" t="n">
        <x:v>4900</x:v>
      </x:c>
      <x:c r="M156" s="91" t="str">
        <x:v>現役確認済</x:v>
      </x:c>
      <x:c r="N156" s="91" t="str">
        <x:v>https://en.wikipedia.org/wiki/Henrik_Pedersen_(cyclist)</x:v>
      </x:c>
    </x:row>
    <x:row r="157" ht="22" customHeight="1">
      <x:c r="A157" s="82" t="n">
        <x:v>153</x:v>
      </x:c>
      <x:c r="B157" s="82" t="str">
        <x:v>Guillermo Thomas Silva</x:v>
      </x:c>
      <x:c r="C157" s="82" t="str"/>
      <x:c r="D157" s="82" t="str">
        <x:v>URU</x:v>
      </x:c>
      <x:c r="E157" s="82" t="str">
        <x:v>XDS Astana Team</x:v>
      </x:c>
      <x:c r="F157" s="82" t="str">
        <x:v>パンチャー</x:v>
      </x:c>
      <x:c r="G157" s="85" t="str">
        <x:v>TT・ルーラー型</x:v>
      </x:c>
      <x:c r="H157" s="85" t="n">
        <x:v>73</x:v>
      </x:c>
      <x:c r="I157" s="91" t="n">
        <x:v>71</x:v>
      </x:c>
      <x:c r="J157" s="91" t="str">
        <x:v>ステージハンター / 山岳アシスト / 逃げ屋 / カウンターアタッカー</x:v>
      </x:c>
      <x:c r="K157" s="91" t="str">
        <x:v>パンチャー / TT・ルーラー型</x:v>
      </x:c>
      <x:c r="L157" s="88" t="n">
        <x:v>4750</x:v>
      </x:c>
      <x:c r="M157" s="91" t="str">
        <x:v>現役確認済</x:v>
      </x:c>
      <x:c r="N157" s="91" t="str">
        <x:v>https://en.wikipedia.org/wiki/Guillermo_Thomas_Silva</x:v>
      </x:c>
    </x:row>
    <x:row r="158" ht="22" customHeight="1">
      <x:c r="A158" s="82" t="n">
        <x:v>154</x:v>
      </x:c>
      <x:c r="B158" s="82" t="str">
        <x:v>Brandon Rivera</x:v>
      </x:c>
      <x:c r="C158" s="82" t="str"/>
      <x:c r="D158" s="82" t="str">
        <x:v>コロンビア</x:v>
      </x:c>
      <x:c r="E158" s="82" t="str">
        <x:v>Netcompany INEOS Cycling Team</x:v>
      </x:c>
      <x:c r="F158" s="82" t="str">
        <x:v>クライマー</x:v>
      </x:c>
      <x:c r="G158" s="85" t="str">
        <x:v>クラシック型</x:v>
      </x:c>
      <x:c r="H158" s="85" t="n">
        <x:v>73</x:v>
      </x:c>
      <x:c r="I158" s="91" t="n">
        <x:v>73</x:v>
      </x:c>
      <x:c r="J158" s="91" t="str">
        <x:v>山岳賞ハンター / 山岳アシスト / 山岳ペースメーカー</x:v>
      </x:c>
      <x:c r="K158" s="91" t="str">
        <x:v>クライマー / クラシック型</x:v>
      </x:c>
      <x:c r="L158" s="88" t="n">
        <x:v>4550</x:v>
      </x:c>
      <x:c r="M158" s="91" t="str">
        <x:v>現役確認済</x:v>
      </x:c>
      <x:c r="N158" s="91" t="str">
        <x:v>https://en.wikipedia.org/wiki/Brandon_Rivera</x:v>
      </x:c>
    </x:row>
    <x:row r="159" ht="22" customHeight="1">
      <x:c r="A159" s="82" t="n">
        <x:v>155</x:v>
      </x:c>
      <x:c r="B159" s="82" t="str">
        <x:v>Jacopo Mosca</x:v>
      </x:c>
      <x:c r="C159" s="82" t="str"/>
      <x:c r="D159" s="82" t="str">
        <x:v>イタリア</x:v>
      </x:c>
      <x:c r="E159" s="82" t="str">
        <x:v>Lidl–Trek</x:v>
      </x:c>
      <x:c r="F159" s="82" t="str">
        <x:v>総合型</x:v>
      </x:c>
      <x:c r="G159" s="85" t="str">
        <x:v>パンチャー</x:v>
      </x:c>
      <x:c r="H159" s="85" t="n">
        <x:v>73</x:v>
      </x:c>
      <x:c r="I159" s="91" t="n">
        <x:v>71</x:v>
      </x:c>
      <x:c r="J159" s="91" t="str">
        <x:v>山岳賞ハンター / 山岳アシスト / 山岳番手</x:v>
      </x:c>
      <x:c r="K159" s="91" t="str">
        <x:v>総合型 / パンチャー</x:v>
      </x:c>
      <x:c r="L159" s="88" t="n">
        <x:v>4450</x:v>
      </x:c>
      <x:c r="M159" s="91" t="str">
        <x:v>現役確認済</x:v>
      </x:c>
      <x:c r="N159" s="91" t="str">
        <x:v>https://en.wikipedia.org/wiki/Jacopo_Mosca</x:v>
      </x:c>
    </x:row>
    <x:row r="160" ht="22" customHeight="1">
      <x:c r="A160" s="82" t="n">
        <x:v>156</x:v>
      </x:c>
      <x:c r="B160" s="82" t="str">
        <x:v>Fabio Van den Bossche</x:v>
      </x:c>
      <x:c r="C160" s="82" t="str"/>
      <x:c r="D160" s="82" t="str">
        <x:v>ベルギー</x:v>
      </x:c>
      <x:c r="E160" s="82" t="str">
        <x:v>Soudal–Quick-Step</x:v>
      </x:c>
      <x:c r="F160" s="82" t="str">
        <x:v>スプリンター</x:v>
      </x:c>
      <x:c r="G160" s="85" t="str">
        <x:v>クラシック型</x:v>
      </x:c>
      <x:c r="H160" s="85" t="n">
        <x:v>73</x:v>
      </x:c>
      <x:c r="I160" s="91" t="n">
        <x:v>67</x:v>
      </x:c>
      <x:c r="J160" s="91" t="str">
        <x:v>リードアウト / 最終発射台 / スプリントトレイン / 下り牽引</x:v>
      </x:c>
      <x:c r="K160" s="91" t="str">
        <x:v>スプリンター / クラシック型</x:v>
      </x:c>
      <x:c r="L160" s="88" t="n">
        <x:v>4400</x:v>
      </x:c>
      <x:c r="M160" s="91" t="str">
        <x:v>現役確認済</x:v>
      </x:c>
      <x:c r="N160" s="91" t="str">
        <x:v>https://en.wikipedia.org/wiki/Fabio_Van_den_Bossche</x:v>
      </x:c>
    </x:row>
    <x:row r="161" ht="22" customHeight="1">
      <x:c r="A161" s="82" t="n">
        <x:v>157</x:v>
      </x:c>
      <x:c r="B161" s="82" t="str">
        <x:v>Jonas Rickaert</x:v>
      </x:c>
      <x:c r="C161" s="82" t="str"/>
      <x:c r="D161" s="82" t="str">
        <x:v>ベルギー</x:v>
      </x:c>
      <x:c r="E161" s="82" t="str">
        <x:v>Alpecin–Premier Tech</x:v>
      </x:c>
      <x:c r="F161" s="82" t="str">
        <x:v>スプリンター</x:v>
      </x:c>
      <x:c r="G161" s="85" t="str">
        <x:v>クライマー</x:v>
      </x:c>
      <x:c r="H161" s="85" t="n">
        <x:v>73</x:v>
      </x:c>
      <x:c r="I161" s="91" t="n">
        <x:v>69</x:v>
      </x:c>
      <x:c r="J161" s="91" t="str">
        <x:v>ロードキャプテン / 山岳賞ハンター / リードアウト / 最終発射台 / スプリントトレイン</x:v>
      </x:c>
      <x:c r="K161" s="91" t="str">
        <x:v>スプリンター / クライマー</x:v>
      </x:c>
      <x:c r="L161" s="88" t="n">
        <x:v>4350</x:v>
      </x:c>
      <x:c r="M161" s="91" t="str">
        <x:v>現役確認済</x:v>
      </x:c>
      <x:c r="N161" s="91" t="str">
        <x:v>https://en.wikipedia.org/wiki/Jonas_Rickaert</x:v>
      </x:c>
    </x:row>
    <x:row r="162" ht="22" customHeight="1">
      <x:c r="A162" s="82" t="n">
        <x:v>158</x:v>
      </x:c>
      <x:c r="B162" s="82" t="str">
        <x:v>Carlos Canal</x:v>
      </x:c>
      <x:c r="C162" s="82" t="str"/>
      <x:c r="D162" s="82" t="str">
        <x:v>スペイン</x:v>
      </x:c>
      <x:c r="E162" s="82" t="str">
        <x:v>Movistar Team</x:v>
      </x:c>
      <x:c r="F162" s="82" t="str">
        <x:v>パンチャー</x:v>
      </x:c>
      <x:c r="G162" s="85" t="str">
        <x:v>スプリンター</x:v>
      </x:c>
      <x:c r="H162" s="85" t="n">
        <x:v>73</x:v>
      </x:c>
      <x:c r="I162" s="91" t="n">
        <x:v>68</x:v>
      </x:c>
      <x:c r="J162" s="91" t="str">
        <x:v>ステージハンター / 山岳賞ハンター / スプリントトレイン / カウンターアタッカー</x:v>
      </x:c>
      <x:c r="K162" s="91" t="str">
        <x:v>パンチャー / スプリンター</x:v>
      </x:c>
      <x:c r="L162" s="88" t="n">
        <x:v>4300</x:v>
      </x:c>
      <x:c r="M162" s="91" t="str">
        <x:v>現役確認済</x:v>
      </x:c>
      <x:c r="N162" s="91" t="str">
        <x:v>https://en.wikipedia.org/wiki/Carlos_Canal</x:v>
      </x:c>
    </x:row>
    <x:row r="163" ht="22" customHeight="1">
      <x:c r="A163" s="82" t="n">
        <x:v>159</x:v>
      </x:c>
      <x:c r="B163" s="82" t="str">
        <x:v>Antoine L'Hote</x:v>
      </x:c>
      <x:c r="C163" s="82" t="str"/>
      <x:c r="D163" s="82" t="str">
        <x:v>フランス</x:v>
      </x:c>
      <x:c r="E163" s="82" t="str">
        <x:v>Decathlon–CMA CGM</x:v>
      </x:c>
      <x:c r="F163" s="82" t="str">
        <x:v>パンチャー</x:v>
      </x:c>
      <x:c r="G163" s="85" t="str">
        <x:v>クラシック型</x:v>
      </x:c>
      <x:c r="H163" s="85" t="n">
        <x:v>73</x:v>
      </x:c>
      <x:c r="I163" s="91" t="n">
        <x:v>69</x:v>
      </x:c>
      <x:c r="J163" s="91" t="str">
        <x:v>ステージハンター / 山岳賞ハンター</x:v>
      </x:c>
      <x:c r="K163" s="91" t="str">
        <x:v>パンチャー / クラシック型</x:v>
      </x:c>
      <x:c r="L163" s="88" t="n">
        <x:v>4300</x:v>
      </x:c>
      <x:c r="M163" s="91" t="str">
        <x:v>現役確認済</x:v>
      </x:c>
      <x:c r="N163" s="91" t="str">
        <x:v>https://en.wikipedia.org/wiki/Antoine_L'Hote</x:v>
      </x:c>
    </x:row>
    <x:row r="164" ht="22" customHeight="1">
      <x:c r="A164" s="82" t="n">
        <x:v>160</x:v>
      </x:c>
      <x:c r="B164" s="82" t="str">
        <x:v>Daan Hoole</x:v>
      </x:c>
      <x:c r="C164" s="82" t="str"/>
      <x:c r="D164" s="82" t="str">
        <x:v>オランダ</x:v>
      </x:c>
      <x:c r="E164" s="82" t="str">
        <x:v>Decathlon–CMA CGM</x:v>
      </x:c>
      <x:c r="F164" s="82" t="str">
        <x:v>TT・ルーラー型</x:v>
      </x:c>
      <x:c r="G164" s="85" t="str">
        <x:v>パンチャー</x:v>
      </x:c>
      <x:c r="H164" s="85" t="n">
        <x:v>72</x:v>
      </x:c>
      <x:c r="I164" s="91" t="n">
        <x:v>79</x:v>
      </x:c>
      <x:c r="J164" s="91" t="str">
        <x:v>TTスペシャリスト / 平坦アシスト / 平坦ペースメーカー / 集団コントローラー / ブレイクアウェイキラー / 横風要員 / 逃げ屋</x:v>
      </x:c>
      <x:c r="K164" s="91" t="str">
        <x:v>TT・ルーラー型 / パンチャー</x:v>
      </x:c>
      <x:c r="L164" s="88" t="n">
        <x:v>6250</x:v>
      </x:c>
      <x:c r="M164" s="91" t="str">
        <x:v>現役確認済</x:v>
      </x:c>
      <x:c r="N164" s="91" t="str">
        <x:v>https://en.wikipedia.org/wiki/Daan_Hoole</x:v>
      </x:c>
    </x:row>
    <x:row r="165" ht="22" customHeight="1">
      <x:c r="A165" s="82" t="n">
        <x:v>161</x:v>
      </x:c>
      <x:c r="B165" s="82" t="str">
        <x:v>Ben Turner (cyclist)</x:v>
      </x:c>
      <x:c r="C165" s="82" t="str"/>
      <x:c r="D165" s="82" t="str">
        <x:v>イギリス</x:v>
      </x:c>
      <x:c r="E165" s="82" t="str">
        <x:v>Netcompany INEOS Cycling Team</x:v>
      </x:c>
      <x:c r="F165" s="82" t="str">
        <x:v>TT・ルーラー型</x:v>
      </x:c>
      <x:c r="G165" s="85" t="str">
        <x:v>パンチャー</x:v>
      </x:c>
      <x:c r="H165" s="85" t="n">
        <x:v>72</x:v>
      </x:c>
      <x:c r="I165" s="91" t="n">
        <x:v>80</x:v>
      </x:c>
      <x:c r="J165" s="91" t="str">
        <x:v>TTスペシャリスト / 平坦アシスト / 集団コントローラー / ブレイクアウェイキラー / トラブル復帰牽引</x:v>
      </x:c>
      <x:c r="K165" s="91" t="str">
        <x:v>TT・ルーラー型 / パンチャー</x:v>
      </x:c>
      <x:c r="L165" s="88" t="n">
        <x:v>6050</x:v>
      </x:c>
      <x:c r="M165" s="91" t="str">
        <x:v>現役確認済</x:v>
      </x:c>
      <x:c r="N165" s="91" t="str">
        <x:v>https://en.wikipedia.org/wiki/Ben_Turner_(cyclist)</x:v>
      </x:c>
    </x:row>
    <x:row r="166" ht="22" customHeight="1">
      <x:c r="A166" s="82" t="n">
        <x:v>162</x:v>
      </x:c>
      <x:c r="B166" s="82" t="str">
        <x:v>Dries De Bondt</x:v>
      </x:c>
      <x:c r="C166" s="82" t="str"/>
      <x:c r="D166" s="82" t="str">
        <x:v>ベルギー</x:v>
      </x:c>
      <x:c r="E166" s="82" t="str">
        <x:v>Team Jayco–AlUla</x:v>
      </x:c>
      <x:c r="F166" s="82" t="str">
        <x:v>TT・ルーラー型</x:v>
      </x:c>
      <x:c r="G166" s="85" t="str">
        <x:v>クラシック型</x:v>
      </x:c>
      <x:c r="H166" s="85" t="n">
        <x:v>72</x:v>
      </x:c>
      <x:c r="I166" s="91" t="n">
        <x:v>79</x:v>
      </x:c>
      <x:c r="J166" s="91" t="str">
        <x:v>TTスペシャリスト / 平坦アシスト / 集団コントローラー / ブレイクアウェイキラー / 横風要員 / 逃げ屋 / ポジションキーパー</x:v>
      </x:c>
      <x:c r="K166" s="91" t="str">
        <x:v>TT・ルーラー型 / クラシック型</x:v>
      </x:c>
      <x:c r="L166" s="88" t="n">
        <x:v>6000</x:v>
      </x:c>
      <x:c r="M166" s="91" t="str">
        <x:v>現役確認済</x:v>
      </x:c>
      <x:c r="N166" s="91" t="str">
        <x:v>https://en.wikipedia.org/wiki/Dries_De_Bondt</x:v>
      </x:c>
    </x:row>
    <x:row r="167" ht="22" customHeight="1">
      <x:c r="A167" s="82" t="n">
        <x:v>163</x:v>
      </x:c>
      <x:c r="B167" s="82" t="str">
        <x:v>Bruno Armirail</x:v>
      </x:c>
      <x:c r="C167" s="82" t="str"/>
      <x:c r="D167" s="82" t="str">
        <x:v>フランス</x:v>
      </x:c>
      <x:c r="E167" s="82" t="str">
        <x:v>Visma–Lease a Bike</x:v>
      </x:c>
      <x:c r="F167" s="82" t="str">
        <x:v>TT・ルーラー型</x:v>
      </x:c>
      <x:c r="G167" s="85" t="str">
        <x:v>スプリンター</x:v>
      </x:c>
      <x:c r="H167" s="85" t="n">
        <x:v>72</x:v>
      </x:c>
      <x:c r="I167" s="91" t="n">
        <x:v>79</x:v>
      </x:c>
      <x:c r="J167" s="91" t="str">
        <x:v>TTスペシャリスト / スプリントトレイン / 平坦アシスト / 集団コントローラー / ブレイクアウェイキラー</x:v>
      </x:c>
      <x:c r="K167" s="91" t="str">
        <x:v>TT・ルーラー型 / スプリンター</x:v>
      </x:c>
      <x:c r="L167" s="88" t="n">
        <x:v>5950</x:v>
      </x:c>
      <x:c r="M167" s="91" t="str">
        <x:v>現役確認済</x:v>
      </x:c>
      <x:c r="N167" s="91" t="str">
        <x:v>https://en.wikipedia.org/wiki/Bruno_Armirail</x:v>
      </x:c>
    </x:row>
    <x:row r="168" ht="22" customHeight="1">
      <x:c r="A168" s="82" t="n">
        <x:v>164</x:v>
      </x:c>
      <x:c r="B168" s="82" t="str">
        <x:v>Gleb Syritsa</x:v>
      </x:c>
      <x:c r="C168" s="82" t="str"/>
      <x:c r="D168" s="82" t="str">
        <x:v>RUS</x:v>
      </x:c>
      <x:c r="E168" s="82" t="str">
        <x:v>XDS Astana Team</x:v>
      </x:c>
      <x:c r="F168" s="82" t="str">
        <x:v>クラシック型</x:v>
      </x:c>
      <x:c r="G168" s="85" t="str">
        <x:v>クライマー</x:v>
      </x:c>
      <x:c r="H168" s="85" t="n">
        <x:v>72</x:v>
      </x:c>
      <x:c r="I168" s="91" t="n">
        <x:v>77</x:v>
      </x:c>
      <x:c r="J168" s="91" t="str">
        <x:v>山岳賞ハンター / 平坦アシスト / 石畳護衛 / ブレイクアウェイキラー / 横風要員 / 逃げ屋 / 横風分断</x:v>
      </x:c>
      <x:c r="K168" s="91" t="str">
        <x:v>クラシック型 / クライマー</x:v>
      </x:c>
      <x:c r="L168" s="88" t="n">
        <x:v>5650</x:v>
      </x:c>
      <x:c r="M168" s="91" t="str">
        <x:v>現役確認済</x:v>
      </x:c>
      <x:c r="N168" s="91" t="str">
        <x:v>https://en.wikipedia.org/wiki/Gleb_Syritsa</x:v>
      </x:c>
    </x:row>
    <x:row r="169" ht="22" customHeight="1">
      <x:c r="A169" s="82" t="n">
        <x:v>165</x:v>
      </x:c>
      <x:c r="B169" s="82" t="str">
        <x:v>Jarno Widar</x:v>
      </x:c>
      <x:c r="C169" s="82" t="str"/>
      <x:c r="D169" s="82" t="str">
        <x:v>ベルギー</x:v>
      </x:c>
      <x:c r="E169" s="82" t="str">
        <x:v>Lotto–Intermarché</x:v>
      </x:c>
      <x:c r="F169" s="82" t="str">
        <x:v>クライマー</x:v>
      </x:c>
      <x:c r="G169" s="85" t="str">
        <x:v>スプリンター</x:v>
      </x:c>
      <x:c r="H169" s="85" t="n">
        <x:v>72</x:v>
      </x:c>
      <x:c r="I169" s="91" t="n">
        <x:v>74</x:v>
      </x:c>
      <x:c r="J169" s="91" t="str">
        <x:v>山岳賞ハンター / スプリントトレイン / 山岳アシスト / 山岳番手</x:v>
      </x:c>
      <x:c r="K169" s="91" t="str">
        <x:v>クライマー / スプリンター</x:v>
      </x:c>
      <x:c r="L169" s="88" t="n">
        <x:v>5500</x:v>
      </x:c>
      <x:c r="M169" s="91" t="str">
        <x:v>現役確認済</x:v>
      </x:c>
      <x:c r="N169" s="91" t="str">
        <x:v>https://en.wikipedia.org/wiki/Jarno_Widar</x:v>
      </x:c>
    </x:row>
    <x:row r="170" ht="22" customHeight="1">
      <x:c r="A170" s="82" t="n">
        <x:v>166</x:v>
      </x:c>
      <x:c r="B170" s="82" t="str">
        <x:v>Dries De Pooter</x:v>
      </x:c>
      <x:c r="C170" s="82" t="str"/>
      <x:c r="D170" s="82" t="str">
        <x:v>ベルギー</x:v>
      </x:c>
      <x:c r="E170" s="82" t="str">
        <x:v>Team Jayco–AlUla</x:v>
      </x:c>
      <x:c r="F170" s="82" t="str">
        <x:v>クラシック型</x:v>
      </x:c>
      <x:c r="G170" s="85" t="str">
        <x:v>スプリンター</x:v>
      </x:c>
      <x:c r="H170" s="85" t="n">
        <x:v>72</x:v>
      </x:c>
      <x:c r="I170" s="91" t="n">
        <x:v>76</x:v>
      </x:c>
      <x:c r="J170" s="91" t="str">
        <x:v>スプリントトレイン / 石畳護衛 / ポジションキーパー</x:v>
      </x:c>
      <x:c r="K170" s="91" t="str">
        <x:v>クラシック型 / スプリンター</x:v>
      </x:c>
      <x:c r="L170" s="88" t="n">
        <x:v>5300</x:v>
      </x:c>
      <x:c r="M170" s="91" t="str">
        <x:v>現役確認済</x:v>
      </x:c>
      <x:c r="N170" s="91" t="str">
        <x:v>https://en.wikipedia.org/wiki/Dries_De_Pooter</x:v>
      </x:c>
    </x:row>
    <x:row r="171" ht="22" customHeight="1">
      <x:c r="A171" s="82" t="n">
        <x:v>167</x:v>
      </x:c>
      <x:c r="B171" s="82" t="str">
        <x:v>Markus Hoelgaard</x:v>
      </x:c>
      <x:c r="C171" s="82" t="str"/>
      <x:c r="D171" s="82" t="str">
        <x:v>ノルウェー</x:v>
      </x:c>
      <x:c r="E171" s="82" t="str">
        <x:v>Uno-X Mobility</x:v>
      </x:c>
      <x:c r="F171" s="82" t="str">
        <x:v>クラシック型</x:v>
      </x:c>
      <x:c r="G171" s="85" t="str">
        <x:v>総合型</x:v>
      </x:c>
      <x:c r="H171" s="85" t="n">
        <x:v>72</x:v>
      </x:c>
      <x:c r="I171" s="91" t="n">
        <x:v>75</x:v>
      </x:c>
      <x:c r="J171" s="91" t="str">
        <x:v>石畳護衛 / 集団コントローラー</x:v>
      </x:c>
      <x:c r="K171" s="91" t="str">
        <x:v>クラシック型 / 総合型</x:v>
      </x:c>
      <x:c r="L171" s="88" t="n">
        <x:v>5050</x:v>
      </x:c>
      <x:c r="M171" s="91" t="str">
        <x:v>現役確認済</x:v>
      </x:c>
      <x:c r="N171" s="91" t="str">
        <x:v>https://en.wikipedia.org/wiki/Markus_Hoelgaard</x:v>
      </x:c>
    </x:row>
    <x:row r="172" ht="22" customHeight="1">
      <x:c r="A172" s="82" t="n">
        <x:v>168</x:v>
      </x:c>
      <x:c r="B172" s="82" t="str">
        <x:v>Afonso Eulálio</x:v>
      </x:c>
      <x:c r="C172" s="82" t="str"/>
      <x:c r="D172" s="82" t="str">
        <x:v>ポルトガル</x:v>
      </x:c>
      <x:c r="E172" s="82" t="str">
        <x:v>Team Bahrain Victorious</x:v>
      </x:c>
      <x:c r="F172" s="82" t="str">
        <x:v>クライマー</x:v>
      </x:c>
      <x:c r="G172" s="85" t="str">
        <x:v>総合型</x:v>
      </x:c>
      <x:c r="H172" s="85" t="n">
        <x:v>72</x:v>
      </x:c>
      <x:c r="I172" s="91" t="n">
        <x:v>74</x:v>
      </x:c>
      <x:c r="J172" s="91" t="str">
        <x:v>山岳賞ハンター / 山岳アシスト / 山岳ペースメーカー / 集団コントローラー</x:v>
      </x:c>
      <x:c r="K172" s="91" t="str">
        <x:v>クライマー / 総合型</x:v>
      </x:c>
      <x:c r="L172" s="88" t="n">
        <x:v>5050</x:v>
      </x:c>
      <x:c r="M172" s="91" t="str">
        <x:v>現役確認済</x:v>
      </x:c>
      <x:c r="N172" s="91" t="str">
        <x:v>https://en.wikipedia.org/wiki/Afonso_Eul%C3%A1lio</x:v>
      </x:c>
    </x:row>
    <x:row r="173" ht="22" customHeight="1">
      <x:c r="A173" s="82" t="n">
        <x:v>169</x:v>
      </x:c>
      <x:c r="B173" s="82" t="str">
        <x:v>Chris Hamilton (cyclist)</x:v>
      </x:c>
      <x:c r="C173" s="82" t="str"/>
      <x:c r="D173" s="82" t="str">
        <x:v>オーストラリア</x:v>
      </x:c>
      <x:c r="E173" s="82" t="str">
        <x:v>Team Picnic–PostNL</x:v>
      </x:c>
      <x:c r="F173" s="82" t="str">
        <x:v>クライマー</x:v>
      </x:c>
      <x:c r="G173" s="85" t="str">
        <x:v>総合型</x:v>
      </x:c>
      <x:c r="H173" s="85" t="n">
        <x:v>72</x:v>
      </x:c>
      <x:c r="I173" s="91" t="n">
        <x:v>76</x:v>
      </x:c>
      <x:c r="J173" s="91" t="str">
        <x:v>ロードキャプテン / 山岳アシスト / 山岳ペースメーカー / 集団コントローラー / サテライトライダー</x:v>
      </x:c>
      <x:c r="K173" s="91" t="str">
        <x:v>クライマー / 総合型</x:v>
      </x:c>
      <x:c r="L173" s="88" t="n">
        <x:v>5000</x:v>
      </x:c>
      <x:c r="M173" s="91" t="str">
        <x:v>現役確認済</x:v>
      </x:c>
      <x:c r="N173" s="91" t="str">
        <x:v>https://en.wikipedia.org/wiki/Chris_Hamilton_(cyclist)</x:v>
      </x:c>
    </x:row>
    <x:row r="174" ht="22" customHeight="1">
      <x:c r="A174" s="82" t="n">
        <x:v>170</x:v>
      </x:c>
      <x:c r="B174" s="82" t="str">
        <x:v>Jonas Geens</x:v>
      </x:c>
      <x:c r="C174" s="82" t="str"/>
      <x:c r="D174" s="82" t="str">
        <x:v>ベルギー</x:v>
      </x:c>
      <x:c r="E174" s="82" t="str">
        <x:v>Alpecin–Premier Tech</x:v>
      </x:c>
      <x:c r="F174" s="82" t="str">
        <x:v>クライマー</x:v>
      </x:c>
      <x:c r="G174" s="85" t="str">
        <x:v>スプリンター</x:v>
      </x:c>
      <x:c r="H174" s="85" t="n">
        <x:v>72</x:v>
      </x:c>
      <x:c r="I174" s="91" t="n">
        <x:v>75</x:v>
      </x:c>
      <x:c r="J174" s="91" t="str">
        <x:v>山岳賞ハンター / スプリントトレイン / 山岳アシスト / 山岳番手</x:v>
      </x:c>
      <x:c r="K174" s="91" t="str">
        <x:v>クライマー / スプリンター</x:v>
      </x:c>
      <x:c r="L174" s="88" t="n">
        <x:v>4750</x:v>
      </x:c>
      <x:c r="M174" s="91" t="str">
        <x:v>現役確認済</x:v>
      </x:c>
      <x:c r="N174" s="91" t="str">
        <x:v>https://en.wikipedia.org/wiki/Jonas_Geens</x:v>
      </x:c>
    </x:row>
    <x:row r="175" ht="22" customHeight="1">
      <x:c r="A175" s="82" t="n">
        <x:v>171</x:v>
      </x:c>
      <x:c r="B175" s="82" t="str">
        <x:v>Adrià Pericas</x:v>
      </x:c>
      <x:c r="C175" s="82" t="str"/>
      <x:c r="D175" s="82" t="str">
        <x:v>スペイン</x:v>
      </x:c>
      <x:c r="E175" s="82" t="str">
        <x:v>UAE Team Emirates XRG</x:v>
      </x:c>
      <x:c r="F175" s="82" t="str">
        <x:v>クラシック型</x:v>
      </x:c>
      <x:c r="G175" s="85" t="str">
        <x:v>パンチャー</x:v>
      </x:c>
      <x:c r="H175" s="85" t="n">
        <x:v>72</x:v>
      </x:c>
      <x:c r="I175" s="91" t="n">
        <x:v>74</x:v>
      </x:c>
      <x:c r="J175" s="91" t="str">
        <x:v>石畳護衛 / ブリッジャー</x:v>
      </x:c>
      <x:c r="K175" s="91" t="str">
        <x:v>クラシック型 / パンチャー</x:v>
      </x:c>
      <x:c r="L175" s="88" t="n">
        <x:v>4600</x:v>
      </x:c>
      <x:c r="M175" s="91" t="str">
        <x:v>現役確認済</x:v>
      </x:c>
      <x:c r="N175" s="91" t="str">
        <x:v>https://en.wikipedia.org/wiki/Adri%C3%A0_Pericas</x:v>
      </x:c>
    </x:row>
    <x:row r="176" ht="22" customHeight="1">
      <x:c r="A176" s="82" t="n">
        <x:v>172</x:v>
      </x:c>
      <x:c r="B176" s="82" t="str">
        <x:v>Gerben Thijssen</x:v>
      </x:c>
      <x:c r="C176" s="82" t="str"/>
      <x:c r="D176" s="82" t="str">
        <x:v>ベルギー</x:v>
      </x:c>
      <x:c r="E176" s="82" t="str">
        <x:v>Alpecin–Premier Tech</x:v>
      </x:c>
      <x:c r="F176" s="82" t="str">
        <x:v>スプリンター</x:v>
      </x:c>
      <x:c r="G176" s="85" t="str">
        <x:v>クラシック型</x:v>
      </x:c>
      <x:c r="H176" s="85" t="n">
        <x:v>72</x:v>
      </x:c>
      <x:c r="I176" s="91" t="n">
        <x:v>71</x:v>
      </x:c>
      <x:c r="J176" s="91" t="str">
        <x:v>ロードキャプテン / ステージハンター / リードアウト / 最終発射台</x:v>
      </x:c>
      <x:c r="K176" s="91" t="str">
        <x:v>スプリンター / クラシック型</x:v>
      </x:c>
      <x:c r="L176" s="88" t="n">
        <x:v>4450</x:v>
      </x:c>
      <x:c r="M176" s="91" t="str">
        <x:v>現役確認済</x:v>
      </x:c>
      <x:c r="N176" s="91" t="str">
        <x:v>https://en.wikipedia.org/wiki/Gerben_Thijssen</x:v>
      </x:c>
    </x:row>
    <x:row r="177" ht="22" customHeight="1">
      <x:c r="A177" s="82" t="n">
        <x:v>173</x:v>
      </x:c>
      <x:c r="B177" s="82" t="str">
        <x:v>Anders Foldager</x:v>
      </x:c>
      <x:c r="C177" s="82" t="str"/>
      <x:c r="D177" s="82" t="str">
        <x:v>デンマーク</x:v>
      </x:c>
      <x:c r="E177" s="82" t="str">
        <x:v>Team Jayco–AlUla</x:v>
      </x:c>
      <x:c r="F177" s="82" t="str">
        <x:v>パンチャー</x:v>
      </x:c>
      <x:c r="G177" s="85" t="str">
        <x:v>クライマー</x:v>
      </x:c>
      <x:c r="H177" s="85" t="n">
        <x:v>72</x:v>
      </x:c>
      <x:c r="I177" s="91" t="n">
        <x:v>69</x:v>
      </x:c>
      <x:c r="J177" s="91" t="str">
        <x:v>ステージハンター / 山岳賞ハンター</x:v>
      </x:c>
      <x:c r="K177" s="91" t="str">
        <x:v>パンチャー / クライマー</x:v>
      </x:c>
      <x:c r="L177" s="88" t="n">
        <x:v>4350</x:v>
      </x:c>
      <x:c r="M177" s="91" t="str">
        <x:v>現役確認済</x:v>
      </x:c>
      <x:c r="N177" s="91" t="str">
        <x:v>https://en.wikipedia.org/wiki/Anders_Foldager</x:v>
      </x:c>
    </x:row>
    <x:row r="178" ht="22" customHeight="1">
      <x:c r="A178" s="82" t="n">
        <x:v>174</x:v>
      </x:c>
      <x:c r="B178" s="82" t="str">
        <x:v>Alberto Bruttomesso</x:v>
      </x:c>
      <x:c r="C178" s="82" t="str"/>
      <x:c r="D178" s="82" t="str">
        <x:v>イタリア</x:v>
      </x:c>
      <x:c r="E178" s="82" t="str">
        <x:v>Team Bahrain Victorious</x:v>
      </x:c>
      <x:c r="F178" s="82" t="str">
        <x:v>クラシック型</x:v>
      </x:c>
      <x:c r="G178" s="85" t="str">
        <x:v>TT・ルーラー型</x:v>
      </x:c>
      <x:c r="H178" s="85" t="n">
        <x:v>72</x:v>
      </x:c>
      <x:c r="I178" s="91" t="n">
        <x:v>73</x:v>
      </x:c>
      <x:c r="J178" s="91" t="str">
        <x:v>石畳護衛 / 横風分断</x:v>
      </x:c>
      <x:c r="K178" s="91" t="str">
        <x:v>クラシック型 / TT・ルーラー型</x:v>
      </x:c>
      <x:c r="L178" s="88" t="n">
        <x:v>4250</x:v>
      </x:c>
      <x:c r="M178" s="91" t="str">
        <x:v>現役確認済</x:v>
      </x:c>
      <x:c r="N178" s="91" t="str">
        <x:v>https://en.wikipedia.org/wiki/Alberto_Bruttomesso</x:v>
      </x:c>
    </x:row>
    <x:row r="179" ht="22" customHeight="1">
      <x:c r="A179" s="82" t="n">
        <x:v>175</x:v>
      </x:c>
      <x:c r="B179" s="82" t="str">
        <x:v>Emiel Verstrynge</x:v>
      </x:c>
      <x:c r="C179" s="82" t="str"/>
      <x:c r="D179" s="82" t="str">
        <x:v>ベルギー</x:v>
      </x:c>
      <x:c r="E179" s="82" t="str">
        <x:v>Alpecin–Premier Tech</x:v>
      </x:c>
      <x:c r="F179" s="82" t="str">
        <x:v>パンチャー</x:v>
      </x:c>
      <x:c r="G179" s="85" t="str">
        <x:v>スプリンター</x:v>
      </x:c>
      <x:c r="H179" s="85" t="n">
        <x:v>72</x:v>
      </x:c>
      <x:c r="I179" s="91" t="n">
        <x:v>71</x:v>
      </x:c>
      <x:c r="J179" s="91" t="str">
        <x:v>ステージハンター / スプリントトレイン / 下り牽引</x:v>
      </x:c>
      <x:c r="K179" s="91" t="str">
        <x:v>パンチャー / スプリンター</x:v>
      </x:c>
      <x:c r="L179" s="88" t="n">
        <x:v>4250</x:v>
      </x:c>
      <x:c r="M179" s="91" t="str">
        <x:v>現役確認済</x:v>
      </x:c>
      <x:c r="N179" s="91" t="str">
        <x:v>https://en.wikipedia.org/wiki/Emiel_Verstrynge</x:v>
      </x:c>
    </x:row>
    <x:row r="180" ht="22" customHeight="1">
      <x:c r="A180" s="82" t="n">
        <x:v>176</x:v>
      </x:c>
      <x:c r="B180" s="82" t="str">
        <x:v>Davide Toneatti</x:v>
      </x:c>
      <x:c r="C180" s="82" t="str"/>
      <x:c r="D180" s="82" t="str">
        <x:v>イタリア</x:v>
      </x:c>
      <x:c r="E180" s="82" t="str">
        <x:v>XDS Astana Team</x:v>
      </x:c>
      <x:c r="F180" s="82" t="str">
        <x:v>クラシック型</x:v>
      </x:c>
      <x:c r="G180" s="85" t="str">
        <x:v>クライマー</x:v>
      </x:c>
      <x:c r="H180" s="85" t="n">
        <x:v>72</x:v>
      </x:c>
      <x:c r="I180" s="91" t="n">
        <x:v>73</x:v>
      </x:c>
      <x:c r="J180" s="91" t="str">
        <x:v>ステージハンター / 山岳賞ハンター / 石畳護衛</x:v>
      </x:c>
      <x:c r="K180" s="91" t="str">
        <x:v>クラシック型 / クライマー</x:v>
      </x:c>
      <x:c r="L180" s="88" t="n">
        <x:v>4200</x:v>
      </x:c>
      <x:c r="M180" s="91" t="str">
        <x:v>現役確認済</x:v>
      </x:c>
      <x:c r="N180" s="91" t="str">
        <x:v>https://en.wikipedia.org/wiki/Davide_Toneatti</x:v>
      </x:c>
    </x:row>
    <x:row r="181" ht="22" customHeight="1">
      <x:c r="A181" s="82" t="n">
        <x:v>177</x:v>
      </x:c>
      <x:c r="B181" s="82" t="str">
        <x:v>Arne Marit</x:v>
      </x:c>
      <x:c r="C181" s="82" t="str"/>
      <x:c r="D181" s="82" t="str">
        <x:v>ベルギー</x:v>
      </x:c>
      <x:c r="E181" s="82" t="str">
        <x:v>Red Bull–Bora–Hansgrohe</x:v>
      </x:c>
      <x:c r="F181" s="82" t="str">
        <x:v>スプリンター</x:v>
      </x:c>
      <x:c r="G181" s="85" t="str">
        <x:v>総合型</x:v>
      </x:c>
      <x:c r="H181" s="85" t="n">
        <x:v>72</x:v>
      </x:c>
      <x:c r="I181" s="91" t="n">
        <x:v>68</x:v>
      </x:c>
      <x:c r="J181" s="91" t="str">
        <x:v>リードアウト / 最終発射台 / スプリントトレイン / 集団コントローラー</x:v>
      </x:c>
      <x:c r="K181" s="91" t="str">
        <x:v>スプリンター / 総合型</x:v>
      </x:c>
      <x:c r="L181" s="88" t="n">
        <x:v>4100</x:v>
      </x:c>
      <x:c r="M181" s="91" t="str">
        <x:v>現役確認済</x:v>
      </x:c>
      <x:c r="N181" s="91" t="str">
        <x:v>https://en.wikipedia.org/wiki/Arne_Marit</x:v>
      </x:c>
    </x:row>
    <x:row r="182" ht="22" customHeight="1">
      <x:c r="A182" s="82" t="n">
        <x:v>178</x:v>
      </x:c>
      <x:c r="B182" s="82" t="str">
        <x:v>Brady Gilmore</x:v>
      </x:c>
      <x:c r="C182" s="82" t="str"/>
      <x:c r="D182" s="82" t="str">
        <x:v>オーストラリア</x:v>
      </x:c>
      <x:c r="E182" s="82" t="str">
        <x:v>NSN Cycling Team</x:v>
      </x:c>
      <x:c r="F182" s="82" t="str">
        <x:v>パンチャー</x:v>
      </x:c>
      <x:c r="G182" s="85" t="str">
        <x:v>総合型</x:v>
      </x:c>
      <x:c r="H182" s="85" t="n">
        <x:v>72</x:v>
      </x:c>
      <x:c r="I182" s="91" t="n">
        <x:v>68</x:v>
      </x:c>
      <x:c r="J182" s="91" t="str">
        <x:v>ステージハンター / 山岳賞ハンター / 集団コントローラー / 無賃乗車</x:v>
      </x:c>
      <x:c r="K182" s="91" t="str">
        <x:v>パンチャー / 総合型</x:v>
      </x:c>
      <x:c r="L182" s="88" t="n">
        <x:v>3950</x:v>
      </x:c>
      <x:c r="M182" s="91" t="str">
        <x:v>現役確認済</x:v>
      </x:c>
      <x:c r="N182" s="91" t="str">
        <x:v>https://en.wikipedia.org/wiki/Brady_Gilmore</x:v>
      </x:c>
    </x:row>
    <x:row r="183" ht="22" customHeight="1">
      <x:c r="A183" s="82" t="n">
        <x:v>179</x:v>
      </x:c>
      <x:c r="B183" s="82" t="str">
        <x:v>Johannes Staune-Mittet</x:v>
      </x:c>
      <x:c r="C183" s="82" t="str"/>
      <x:c r="D183" s="82" t="str">
        <x:v>ノルウェー</x:v>
      </x:c>
      <x:c r="E183" s="82" t="str">
        <x:v>Decathlon–CMA CGM</x:v>
      </x:c>
      <x:c r="F183" s="82" t="str">
        <x:v>パンチャー</x:v>
      </x:c>
      <x:c r="G183" s="85" t="str">
        <x:v>TT・ルーラー型</x:v>
      </x:c>
      <x:c r="H183" s="85" t="n">
        <x:v>72</x:v>
      </x:c>
      <x:c r="I183" s="91" t="n">
        <x:v>69</x:v>
      </x:c>
      <x:c r="J183" s="91" t="str">
        <x:v>ステージハンター</x:v>
      </x:c>
      <x:c r="K183" s="91" t="str">
        <x:v>パンチャー / TT・ルーラー型</x:v>
      </x:c>
      <x:c r="L183" s="88" t="n">
        <x:v>3800</x:v>
      </x:c>
      <x:c r="M183" s="91" t="str">
        <x:v>現役確認済</x:v>
      </x:c>
      <x:c r="N183" s="91" t="str">
        <x:v>https://en.wikipedia.org/wiki/Johannes_Staune-Mittet</x:v>
      </x:c>
    </x:row>
    <x:row r="184" ht="22" customHeight="1">
      <x:c r="A184" s="82" t="n">
        <x:v>180</x:v>
      </x:c>
      <x:c r="B184" s="82" t="str">
        <x:v>Ayco Bastiaens</x:v>
      </x:c>
      <x:c r="C184" s="82" t="str"/>
      <x:c r="D184" s="82" t="str">
        <x:v>ベルギー</x:v>
      </x:c>
      <x:c r="E184" s="82" t="str">
        <x:v>Soudal–Quick-Step</x:v>
      </x:c>
      <x:c r="F184" s="82" t="str">
        <x:v>スプリンター</x:v>
      </x:c>
      <x:c r="G184" s="85" t="str">
        <x:v>クラシック型</x:v>
      </x:c>
      <x:c r="H184" s="85" t="n">
        <x:v>72</x:v>
      </x:c>
      <x:c r="I184" s="91" t="n">
        <x:v>66</x:v>
      </x:c>
      <x:c r="J184" s="91" t="str">
        <x:v>リードアウト / 最終発射台 / スプリントトレイン / 下り牽引 / 無賃乗車</x:v>
      </x:c>
      <x:c r="K184" s="91" t="str">
        <x:v>スプリンター / クラシック型</x:v>
      </x:c>
      <x:c r="L184" s="88" t="n">
        <x:v>3550</x:v>
      </x:c>
      <x:c r="M184" s="91" t="str">
        <x:v>現役確認済</x:v>
      </x:c>
      <x:c r="N184" s="91" t="str">
        <x:v>https://en.wikipedia.org/wiki/Ayco_Bastiaens</x:v>
      </x:c>
    </x:row>
    <x:row r="185" ht="22" customHeight="1">
      <x:c r="A185" s="82" t="n">
        <x:v>181</x:v>
      </x:c>
      <x:c r="B185" s="82" t="str">
        <x:v>Jensen Plowright</x:v>
      </x:c>
      <x:c r="C185" s="82" t="str"/>
      <x:c r="D185" s="82" t="str">
        <x:v>オーストラリア</x:v>
      </x:c>
      <x:c r="E185" s="82" t="str">
        <x:v>Alpecin–Premier Tech</x:v>
      </x:c>
      <x:c r="F185" s="82" t="str">
        <x:v>スプリンター</x:v>
      </x:c>
      <x:c r="G185" s="85" t="str">
        <x:v>総合型</x:v>
      </x:c>
      <x:c r="H185" s="85" t="n">
        <x:v>72</x:v>
      </x:c>
      <x:c r="I185" s="91" t="n">
        <x:v>64</x:v>
      </x:c>
      <x:c r="J185" s="91" t="str">
        <x:v>リードアウト / 集団コントローラー</x:v>
      </x:c>
      <x:c r="K185" s="91" t="str">
        <x:v>スプリンター / 総合型</x:v>
      </x:c>
      <x:c r="L185" s="88" t="n">
        <x:v>3450</x:v>
      </x:c>
      <x:c r="M185" s="91" t="str">
        <x:v>現役確認済</x:v>
      </x:c>
      <x:c r="N185" s="91" t="str">
        <x:v>https://en.wikipedia.org/wiki/Jensen_Plowright</x:v>
      </x:c>
    </x:row>
    <x:row r="186" ht="22" customHeight="1">
      <x:c r="A186" s="82" t="n">
        <x:v>182</x:v>
      </x:c>
      <x:c r="B186" s="82" t="str">
        <x:v>Ethan Hayter</x:v>
      </x:c>
      <x:c r="C186" s="82" t="str"/>
      <x:c r="D186" s="82" t="str">
        <x:v>イギリス</x:v>
      </x:c>
      <x:c r="E186" s="82" t="str">
        <x:v>Soudal–Quick-Step</x:v>
      </x:c>
      <x:c r="F186" s="82" t="str">
        <x:v>TT・ルーラー型</x:v>
      </x:c>
      <x:c r="G186" s="85" t="str">
        <x:v>クラシック型</x:v>
      </x:c>
      <x:c r="H186" s="85" t="n">
        <x:v>71</x:v>
      </x:c>
      <x:c r="I186" s="91" t="n">
        <x:v>80</x:v>
      </x:c>
      <x:c r="J186" s="91" t="str">
        <x:v>TTスペシャリスト / 平坦アシスト / 平坦ペースメーカー / ブレイクアウェイキラー / 横風要員 / 逃げ屋 / ポジションキーパー</x:v>
      </x:c>
      <x:c r="K186" s="91" t="str">
        <x:v>TT・ルーラー型 / クラシック型</x:v>
      </x:c>
      <x:c r="L186" s="88" t="n">
        <x:v>6100</x:v>
      </x:c>
      <x:c r="M186" s="91" t="str">
        <x:v>現役確認済</x:v>
      </x:c>
      <x:c r="N186" s="91" t="str">
        <x:v>https://en.wikipedia.org/wiki/Ethan_Hayter</x:v>
      </x:c>
    </x:row>
    <x:row r="187" ht="22" customHeight="1">
      <x:c r="A187" s="82" t="n">
        <x:v>183</x:v>
      </x:c>
      <x:c r="B187" s="82" t="str">
        <x:v>Johan Price-Pejtersen</x:v>
      </x:c>
      <x:c r="C187" s="82" t="str"/>
      <x:c r="D187" s="82" t="str">
        <x:v>デンマーク</x:v>
      </x:c>
      <x:c r="E187" s="82" t="str">
        <x:v>Alpecin–Premier Tech</x:v>
      </x:c>
      <x:c r="F187" s="82" t="str">
        <x:v>TT・ルーラー型</x:v>
      </x:c>
      <x:c r="G187" s="85" t="str">
        <x:v>総合型</x:v>
      </x:c>
      <x:c r="H187" s="85" t="n">
        <x:v>71</x:v>
      </x:c>
      <x:c r="I187" s="91" t="n">
        <x:v>81</x:v>
      </x:c>
      <x:c r="J187" s="91" t="str">
        <x:v>TTスペシャリスト / 平坦アシスト / 集団コントローラー / ブレイクアウェイキラー / 横風要員 / 超ロングスパート / ポジションキーパー</x:v>
      </x:c>
      <x:c r="K187" s="91" t="str">
        <x:v>TT・ルーラー型 / 総合型</x:v>
      </x:c>
      <x:c r="L187" s="88" t="n">
        <x:v>6050</x:v>
      </x:c>
      <x:c r="M187" s="91" t="str">
        <x:v>現役確認済</x:v>
      </x:c>
      <x:c r="N187" s="91" t="str">
        <x:v>https://en.wikipedia.org/wiki/Johan_Price-Pejtersen</x:v>
      </x:c>
    </x:row>
    <x:row r="188" ht="22" customHeight="1">
      <x:c r="A188" s="82" t="n">
        <x:v>184</x:v>
      </x:c>
      <x:c r="B188" s="82" t="str">
        <x:v>Callum Thornley</x:v>
      </x:c>
      <x:c r="C188" s="82" t="str"/>
      <x:c r="D188" s="82" t="str">
        <x:v>イギリス</x:v>
      </x:c>
      <x:c r="E188" s="82" t="str">
        <x:v>Red Bull–Bora–Hansgrohe</x:v>
      </x:c>
      <x:c r="F188" s="82" t="str">
        <x:v>TT・ルーラー型</x:v>
      </x:c>
      <x:c r="G188" s="85" t="str">
        <x:v>クラシック型</x:v>
      </x:c>
      <x:c r="H188" s="85" t="n">
        <x:v>71</x:v>
      </x:c>
      <x:c r="I188" s="91" t="n">
        <x:v>79</x:v>
      </x:c>
      <x:c r="J188" s="91" t="str">
        <x:v>ロードキャプテン / TTスペシャリスト / 平坦アシスト / ブレイクアウェイキラー / 横風要員 / 逃げ屋 / 超ロングスパート</x:v>
      </x:c>
      <x:c r="K188" s="91" t="str">
        <x:v>TT・ルーラー型 / クラシック型</x:v>
      </x:c>
      <x:c r="L188" s="88" t="n">
        <x:v>5750</x:v>
      </x:c>
      <x:c r="M188" s="91" t="str">
        <x:v>現役確認済</x:v>
      </x:c>
      <x:c r="N188" s="91" t="str">
        <x:v>https://en.wikipedia.org/wiki/Callum_Thornley</x:v>
      </x:c>
    </x:row>
    <x:row r="189" ht="22" customHeight="1">
      <x:c r="A189" s="82" t="n">
        <x:v>185</x:v>
      </x:c>
      <x:c r="B189" s="82" t="str">
        <x:v>Alec Segaert</x:v>
      </x:c>
      <x:c r="C189" s="82" t="str"/>
      <x:c r="D189" s="82" t="str">
        <x:v>ベルギー</x:v>
      </x:c>
      <x:c r="E189" s="82" t="str">
        <x:v>Team Bahrain Victorious</x:v>
      </x:c>
      <x:c r="F189" s="82" t="str">
        <x:v>TT・ルーラー型</x:v>
      </x:c>
      <x:c r="G189" s="85" t="str">
        <x:v>スプリンター</x:v>
      </x:c>
      <x:c r="H189" s="85" t="n">
        <x:v>71</x:v>
      </x:c>
      <x:c r="I189" s="91" t="n">
        <x:v>79</x:v>
      </x:c>
      <x:c r="J189" s="91" t="str">
        <x:v>TTスペシャリスト / スプリントトレイン / 平坦アシスト / ブレイクアウェイキラー / 超ロングスパート / 横風分断</x:v>
      </x:c>
      <x:c r="K189" s="91" t="str">
        <x:v>TT・ルーラー型 / スプリンター</x:v>
      </x:c>
      <x:c r="L189" s="88" t="n">
        <x:v>5650</x:v>
      </x:c>
      <x:c r="M189" s="91" t="str">
        <x:v>現役確認済</x:v>
      </x:c>
      <x:c r="N189" s="91" t="str">
        <x:v>https://en.wikipedia.org/wiki/Alec_Segaert</x:v>
      </x:c>
    </x:row>
    <x:row r="190" ht="22" customHeight="1">
      <x:c r="A190" s="82" t="n">
        <x:v>186</x:v>
      </x:c>
      <x:c r="B190" s="82" t="str">
        <x:v>Edoardo Zambanini</x:v>
      </x:c>
      <x:c r="C190" s="82" t="str"/>
      <x:c r="D190" s="82" t="str">
        <x:v>イタリア</x:v>
      </x:c>
      <x:c r="E190" s="82" t="str">
        <x:v>Team Bahrain Victorious</x:v>
      </x:c>
      <x:c r="F190" s="82" t="str">
        <x:v>クライマー</x:v>
      </x:c>
      <x:c r="G190" s="85" t="str">
        <x:v>TT・ルーラー型</x:v>
      </x:c>
      <x:c r="H190" s="85" t="n">
        <x:v>71</x:v>
      </x:c>
      <x:c r="I190" s="91" t="n">
        <x:v>76</x:v>
      </x:c>
      <x:c r="J190" s="91" t="str">
        <x:v>山岳アシスト / 山岳ペースメーカー</x:v>
      </x:c>
      <x:c r="K190" s="91" t="str">
        <x:v>クライマー / TT・ルーラー型</x:v>
      </x:c>
      <x:c r="L190" s="88" t="n">
        <x:v>5250</x:v>
      </x:c>
      <x:c r="M190" s="91" t="str">
        <x:v>現役確認済</x:v>
      </x:c>
      <x:c r="N190" s="91" t="str">
        <x:v>https://en.wikipedia.org/wiki/Edoardo_Zambanini</x:v>
      </x:c>
    </x:row>
    <x:row r="191" ht="22" customHeight="1">
      <x:c r="A191" s="82" t="n">
        <x:v>187</x:v>
      </x:c>
      <x:c r="B191" s="82" t="str">
        <x:v>Emil Herzog</x:v>
      </x:c>
      <x:c r="C191" s="82" t="str"/>
      <x:c r="D191" s="82" t="str">
        <x:v>ドイツ</x:v>
      </x:c>
      <x:c r="E191" s="82" t="str">
        <x:v>Red Bull–Bora–Hansgrohe</x:v>
      </x:c>
      <x:c r="F191" s="82" t="str">
        <x:v>クライマー</x:v>
      </x:c>
      <x:c r="G191" s="85" t="str">
        <x:v>スプリンター</x:v>
      </x:c>
      <x:c r="H191" s="85" t="n">
        <x:v>71</x:v>
      </x:c>
      <x:c r="I191" s="91" t="n">
        <x:v>73</x:v>
      </x:c>
      <x:c r="J191" s="91" t="str">
        <x:v>山岳賞ハンター / スプリントトレイン / 山岳アシスト</x:v>
      </x:c>
      <x:c r="K191" s="91" t="str">
        <x:v>クライマー / スプリンター</x:v>
      </x:c>
      <x:c r="L191" s="88" t="n">
        <x:v>4950</x:v>
      </x:c>
      <x:c r="M191" s="91" t="str">
        <x:v>現役確認済</x:v>
      </x:c>
      <x:c r="N191" s="91" t="str">
        <x:v>https://en.wikipedia.org/wiki/Emil_Herzog</x:v>
      </x:c>
    </x:row>
    <x:row r="192" ht="22" customHeight="1">
      <x:c r="A192" s="82" t="n">
        <x:v>188</x:v>
      </x:c>
      <x:c r="B192" s="82" t="str">
        <x:v>Joseph Blackmore</x:v>
      </x:c>
      <x:c r="C192" s="82" t="str"/>
      <x:c r="D192" s="82" t="str">
        <x:v>イギリス</x:v>
      </x:c>
      <x:c r="E192" s="82" t="str">
        <x:v>NSN Cycling Team</x:v>
      </x:c>
      <x:c r="F192" s="82" t="str">
        <x:v>クラシック型</x:v>
      </x:c>
      <x:c r="G192" s="85" t="str">
        <x:v>クライマー</x:v>
      </x:c>
      <x:c r="H192" s="85" t="n">
        <x:v>71</x:v>
      </x:c>
      <x:c r="I192" s="91" t="n">
        <x:v>74</x:v>
      </x:c>
      <x:c r="J192" s="91" t="str">
        <x:v>山岳賞ハンター / 石畳護衛</x:v>
      </x:c>
      <x:c r="K192" s="91" t="str">
        <x:v>クラシック型 / クライマー</x:v>
      </x:c>
      <x:c r="L192" s="88" t="n">
        <x:v>4900</x:v>
      </x:c>
      <x:c r="M192" s="91" t="str">
        <x:v>現役確認済</x:v>
      </x:c>
      <x:c r="N192" s="91" t="str">
        <x:v>https://en.wikipedia.org/wiki/Joseph_Blackmore</x:v>
      </x:c>
    </x:row>
    <x:row r="193" ht="22" customHeight="1">
      <x:c r="A193" s="82" t="n">
        <x:v>189</x:v>
      </x:c>
      <x:c r="B193" s="82" t="str">
        <x:v>Georg Zimmermann</x:v>
      </x:c>
      <x:c r="C193" s="82" t="str"/>
      <x:c r="D193" s="82" t="str">
        <x:v>ドイツ</x:v>
      </x:c>
      <x:c r="E193" s="82" t="str">
        <x:v>Lotto–Intermarché</x:v>
      </x:c>
      <x:c r="F193" s="82" t="str">
        <x:v>クライマー</x:v>
      </x:c>
      <x:c r="G193" s="85" t="str">
        <x:v>クラシック型</x:v>
      </x:c>
      <x:c r="H193" s="85" t="n">
        <x:v>71</x:v>
      </x:c>
      <x:c r="I193" s="91" t="n">
        <x:v>73</x:v>
      </x:c>
      <x:c r="J193" s="91" t="str">
        <x:v>山岳賞ハンター / 山岳アシスト / 山岳番手</x:v>
      </x:c>
      <x:c r="K193" s="91" t="str">
        <x:v>クライマー / クラシック型</x:v>
      </x:c>
      <x:c r="L193" s="88" t="n">
        <x:v>4850</x:v>
      </x:c>
      <x:c r="M193" s="91" t="str">
        <x:v>現役確認済</x:v>
      </x:c>
      <x:c r="N193" s="91" t="str">
        <x:v>https://en.wikipedia.org/wiki/Georg_Zimmermann</x:v>
      </x:c>
    </x:row>
    <x:row r="194" ht="22" customHeight="1">
      <x:c r="A194" s="82" t="n">
        <x:v>190</x:v>
      </x:c>
      <x:c r="B194" s="82" t="str">
        <x:v>Lionel Taminiaux</x:v>
      </x:c>
      <x:c r="C194" s="82" t="str"/>
      <x:c r="D194" s="82" t="str">
        <x:v>ベルギー</x:v>
      </x:c>
      <x:c r="E194" s="82" t="str">
        <x:v>Lotto–Intermarché</x:v>
      </x:c>
      <x:c r="F194" s="82" t="str">
        <x:v>クライマー</x:v>
      </x:c>
      <x:c r="G194" s="85" t="str">
        <x:v>スプリンター</x:v>
      </x:c>
      <x:c r="H194" s="85" t="n">
        <x:v>71</x:v>
      </x:c>
      <x:c r="I194" s="91" t="n">
        <x:v>73</x:v>
      </x:c>
      <x:c r="J194" s="91" t="str">
        <x:v>山岳賞ハンター / スプリントトレイン / 山岳アシスト</x:v>
      </x:c>
      <x:c r="K194" s="91" t="str">
        <x:v>クライマー / スプリンター</x:v>
      </x:c>
      <x:c r="L194" s="88" t="n">
        <x:v>4700</x:v>
      </x:c>
      <x:c r="M194" s="91" t="str">
        <x:v>現役確認済</x:v>
      </x:c>
      <x:c r="N194" s="91" t="str">
        <x:v>https://en.wikipedia.org/wiki/Lionel_Taminiaux</x:v>
      </x:c>
    </x:row>
    <x:row r="195" ht="22" customHeight="1">
      <x:c r="A195" s="82" t="n">
        <x:v>191</x:v>
      </x:c>
      <x:c r="B195" s="82" t="str">
        <x:v>Gal Glivar</x:v>
      </x:c>
      <x:c r="C195" s="82" t="str"/>
      <x:c r="D195" s="82" t="str">
        <x:v>スロベニア</x:v>
      </x:c>
      <x:c r="E195" s="82" t="str">
        <x:v>Alpecin–Premier Tech</x:v>
      </x:c>
      <x:c r="F195" s="82" t="str">
        <x:v>クラシック型</x:v>
      </x:c>
      <x:c r="G195" s="85" t="str">
        <x:v>スプリンター</x:v>
      </x:c>
      <x:c r="H195" s="85" t="n">
        <x:v>71</x:v>
      </x:c>
      <x:c r="I195" s="91" t="n">
        <x:v>73</x:v>
      </x:c>
      <x:c r="J195" s="91" t="str">
        <x:v>スプリントトレイン / 石畳護衛</x:v>
      </x:c>
      <x:c r="K195" s="91" t="str">
        <x:v>クラシック型 / スプリンター</x:v>
      </x:c>
      <x:c r="L195" s="88" t="n">
        <x:v>4650</x:v>
      </x:c>
      <x:c r="M195" s="91" t="str">
        <x:v>現役確認済</x:v>
      </x:c>
      <x:c r="N195" s="91" t="str">
        <x:v>https://en.wikipedia.org/wiki/Gal_Glivar</x:v>
      </x:c>
    </x:row>
    <x:row r="196" ht="22" customHeight="1">
      <x:c r="A196" s="82" t="n">
        <x:v>192</x:v>
      </x:c>
      <x:c r="B196" s="82" t="str">
        <x:v>Jonas Rutsch</x:v>
      </x:c>
      <x:c r="C196" s="82" t="str"/>
      <x:c r="D196" s="82" t="str">
        <x:v>ドイツ</x:v>
      </x:c>
      <x:c r="E196" s="82" t="str">
        <x:v>Lotto–Intermarché</x:v>
      </x:c>
      <x:c r="F196" s="82" t="str">
        <x:v>クラシック型</x:v>
      </x:c>
      <x:c r="G196" s="85" t="str">
        <x:v>総合型</x:v>
      </x:c>
      <x:c r="H196" s="85" t="n">
        <x:v>71</x:v>
      </x:c>
      <x:c r="I196" s="91" t="n">
        <x:v>74</x:v>
      </x:c>
      <x:c r="J196" s="91" t="str">
        <x:v>石畳護衛 / 集団コントローラー / 横風分断</x:v>
      </x:c>
      <x:c r="K196" s="91" t="str">
        <x:v>クラシック型 / 総合型</x:v>
      </x:c>
      <x:c r="L196" s="88" t="n">
        <x:v>4650</x:v>
      </x:c>
      <x:c r="M196" s="91" t="str">
        <x:v>現役確認済</x:v>
      </x:c>
      <x:c r="N196" s="91" t="str">
        <x:v>https://en.wikipedia.org/wiki/Jonas_Rutsch</x:v>
      </x:c>
    </x:row>
    <x:row r="197" ht="22" customHeight="1">
      <x:c r="A197" s="82" t="n">
        <x:v>193</x:v>
      </x:c>
      <x:c r="B197" s="82" t="str">
        <x:v>Axel Laurance</x:v>
      </x:c>
      <x:c r="C197" s="82" t="str"/>
      <x:c r="D197" s="82" t="str">
        <x:v>フランス</x:v>
      </x:c>
      <x:c r="E197" s="82" t="str">
        <x:v>Netcompany INEOS Cycling Team</x:v>
      </x:c>
      <x:c r="F197" s="82" t="str">
        <x:v>パンチャー</x:v>
      </x:c>
      <x:c r="G197" s="85" t="str">
        <x:v>TT・ルーラー型</x:v>
      </x:c>
      <x:c r="H197" s="85" t="n">
        <x:v>71</x:v>
      </x:c>
      <x:c r="I197" s="91" t="n">
        <x:v>69</x:v>
      </x:c>
      <x:c r="J197" s="91" t="str">
        <x:v>ステージハンター / 逃げ屋 / カウンターアタッカー / 無賃乗車 / ポジションキーパー</x:v>
      </x:c>
      <x:c r="K197" s="91" t="str">
        <x:v>パンチャー / TT・ルーラー型</x:v>
      </x:c>
      <x:c r="L197" s="88" t="n">
        <x:v>4600</x:v>
      </x:c>
      <x:c r="M197" s="91" t="str">
        <x:v>現役確認済</x:v>
      </x:c>
      <x:c r="N197" s="91" t="str">
        <x:v>https://en.wikipedia.org/wiki/Axel_Laurance</x:v>
      </x:c>
    </x:row>
    <x:row r="198" ht="22" customHeight="1">
      <x:c r="A198" s="82" t="n">
        <x:v>194</x:v>
      </x:c>
      <x:c r="B198" s="82" t="str">
        <x:v>Frank van den Broek</x:v>
      </x:c>
      <x:c r="C198" s="82" t="str"/>
      <x:c r="D198" s="82" t="str">
        <x:v>オランダ</x:v>
      </x:c>
      <x:c r="E198" s="82" t="str">
        <x:v>Team Picnic–PostNL</x:v>
      </x:c>
      <x:c r="F198" s="82" t="str">
        <x:v>クラシック型</x:v>
      </x:c>
      <x:c r="G198" s="85" t="str">
        <x:v>クライマー</x:v>
      </x:c>
      <x:c r="H198" s="85" t="n">
        <x:v>71</x:v>
      </x:c>
      <x:c r="I198" s="91" t="n">
        <x:v>73</x:v>
      </x:c>
      <x:c r="J198" s="91" t="str">
        <x:v>山岳賞ハンター / 石畳護衛</x:v>
      </x:c>
      <x:c r="K198" s="91" t="str">
        <x:v>クラシック型 / クライマー</x:v>
      </x:c>
      <x:c r="L198" s="88" t="n">
        <x:v>4600</x:v>
      </x:c>
      <x:c r="M198" s="91" t="str">
        <x:v>現役確認済</x:v>
      </x:c>
      <x:c r="N198" s="91" t="str">
        <x:v>https://en.wikipedia.org/wiki/Frank_van_den_Broek</x:v>
      </x:c>
    </x:row>
    <x:row r="199" ht="22" customHeight="1">
      <x:c r="A199" s="82" t="n">
        <x:v>195</x:v>
      </x:c>
      <x:c r="B199" s="82" t="str">
        <x:v>Matthew Riccitello</x:v>
      </x:c>
      <x:c r="C199" s="82" t="str"/>
      <x:c r="D199" s="82" t="str">
        <x:v>アメリカ</x:v>
      </x:c>
      <x:c r="E199" s="82" t="str">
        <x:v>Decathlon–CMA CGM</x:v>
      </x:c>
      <x:c r="F199" s="82" t="str">
        <x:v>クライマー</x:v>
      </x:c>
      <x:c r="G199" s="85" t="str">
        <x:v>パンチャー</x:v>
      </x:c>
      <x:c r="H199" s="85" t="n">
        <x:v>71</x:v>
      </x:c>
      <x:c r="I199" s="91" t="n">
        <x:v>72</x:v>
      </x:c>
      <x:c r="J199" s="91" t="str">
        <x:v>山岳賞ハンター / 山岳アシスト</x:v>
      </x:c>
      <x:c r="K199" s="91" t="str">
        <x:v>クライマー / パンチャー</x:v>
      </x:c>
      <x:c r="L199" s="88" t="n">
        <x:v>4550</x:v>
      </x:c>
      <x:c r="M199" s="91" t="str">
        <x:v>現役確認済</x:v>
      </x:c>
      <x:c r="N199" s="91" t="str">
        <x:v>https://en.wikipedia.org/wiki/Matthew_Riccitello</x:v>
      </x:c>
    </x:row>
    <x:row r="200" ht="22" customHeight="1">
      <x:c r="A200" s="82" t="n">
        <x:v>196</x:v>
      </x:c>
      <x:c r="B200" s="82" t="str">
        <x:v>Andrea Raccagni Noviero</x:v>
      </x:c>
      <x:c r="C200" s="82" t="str"/>
      <x:c r="D200" s="82" t="str">
        <x:v>イタリア</x:v>
      </x:c>
      <x:c r="E200" s="82" t="str">
        <x:v>Soudal–Quick-Step</x:v>
      </x:c>
      <x:c r="F200" s="82" t="str">
        <x:v>クラシック型</x:v>
      </x:c>
      <x:c r="G200" s="85" t="str">
        <x:v>クライマー</x:v>
      </x:c>
      <x:c r="H200" s="85" t="n">
        <x:v>71</x:v>
      </x:c>
      <x:c r="I200" s="91" t="n">
        <x:v>74</x:v>
      </x:c>
      <x:c r="J200" s="91" t="str">
        <x:v>ステージハンター / 山岳賞ハンター / 石畳護衛 / 横風分断</x:v>
      </x:c>
      <x:c r="K200" s="91" t="str">
        <x:v>クラシック型 / クライマー</x:v>
      </x:c>
      <x:c r="L200" s="88" t="n">
        <x:v>4500</x:v>
      </x:c>
      <x:c r="M200" s="91" t="str">
        <x:v>現役確認済</x:v>
      </x:c>
      <x:c r="N200" s="91" t="str">
        <x:v>https://en.wikipedia.org/wiki/List_of_2026_UCI_WorldTeams_and_riders</x:v>
      </x:c>
    </x:row>
    <x:row r="201" ht="22" customHeight="1">
      <x:c r="A201" s="82" t="n">
        <x:v>197</x:v>
      </x:c>
      <x:c r="B201" s="82" t="str">
        <x:v>Gianmarco Garofoli</x:v>
      </x:c>
      <x:c r="C201" s="82" t="str"/>
      <x:c r="D201" s="82" t="str">
        <x:v>イタリア</x:v>
      </x:c>
      <x:c r="E201" s="82" t="str">
        <x:v>Soudal–Quick-Step</x:v>
      </x:c>
      <x:c r="F201" s="82" t="str">
        <x:v>クライマー</x:v>
      </x:c>
      <x:c r="G201" s="85" t="str">
        <x:v>スプリンター</x:v>
      </x:c>
      <x:c r="H201" s="85" t="n">
        <x:v>71</x:v>
      </x:c>
      <x:c r="I201" s="91" t="n">
        <x:v>73</x:v>
      </x:c>
      <x:c r="J201" s="91" t="str">
        <x:v>山岳賞ハンター / スプリントトレイン / 山岳アシスト / 山岳ペースメーカー</x:v>
      </x:c>
      <x:c r="K201" s="91" t="str">
        <x:v>クライマー / スプリンター</x:v>
      </x:c>
      <x:c r="L201" s="88" t="n">
        <x:v>4350</x:v>
      </x:c>
      <x:c r="M201" s="91" t="str">
        <x:v>現役確認済</x:v>
      </x:c>
      <x:c r="N201" s="91" t="str">
        <x:v>https://en.wikipedia.org/wiki/Gianmarco_Garofoli</x:v>
      </x:c>
    </x:row>
    <x:row r="202" ht="22" customHeight="1">
      <x:c r="A202" s="82" t="n">
        <x:v>198</x:v>
      </x:c>
      <x:c r="B202" s="82" t="str">
        <x:v>Gijs Leemreize</x:v>
      </x:c>
      <x:c r="C202" s="82" t="str"/>
      <x:c r="D202" s="82" t="str">
        <x:v>オランダ</x:v>
      </x:c>
      <x:c r="E202" s="82" t="str">
        <x:v>Team Picnic–PostNL</x:v>
      </x:c>
      <x:c r="F202" s="82" t="str">
        <x:v>クライマー</x:v>
      </x:c>
      <x:c r="G202" s="85" t="str">
        <x:v>TT・ルーラー型</x:v>
      </x:c>
      <x:c r="H202" s="85" t="n">
        <x:v>71</x:v>
      </x:c>
      <x:c r="I202" s="91" t="n">
        <x:v>73</x:v>
      </x:c>
      <x:c r="J202" s="91" t="str">
        <x:v>山岳賞ハンター / 山岳アシスト / 山岳ペースメーカー</x:v>
      </x:c>
      <x:c r="K202" s="91" t="str">
        <x:v>クライマー / TT・ルーラー型</x:v>
      </x:c>
      <x:c r="L202" s="88" t="n">
        <x:v>4350</x:v>
      </x:c>
      <x:c r="M202" s="91" t="str">
        <x:v>現役確認済</x:v>
      </x:c>
      <x:c r="N202" s="91" t="str">
        <x:v>https://en.wikipedia.org/wiki/Gijs_Leemreize</x:v>
      </x:c>
    </x:row>
    <x:row r="203" ht="22" customHeight="1">
      <x:c r="A203" s="82" t="n">
        <x:v>199</x:v>
      </x:c>
      <x:c r="B203" s="82" t="str">
        <x:v>Lars Craps</x:v>
      </x:c>
      <x:c r="C203" s="82" t="str"/>
      <x:c r="D203" s="82" t="str">
        <x:v>ベルギー</x:v>
      </x:c>
      <x:c r="E203" s="82" t="str">
        <x:v>Lotto–Intermarché</x:v>
      </x:c>
      <x:c r="F203" s="82" t="str">
        <x:v>クラシック型</x:v>
      </x:c>
      <x:c r="G203" s="85" t="str">
        <x:v>TT・ルーラー型</x:v>
      </x:c>
      <x:c r="H203" s="85" t="n">
        <x:v>71</x:v>
      </x:c>
      <x:c r="I203" s="91" t="n">
        <x:v>74</x:v>
      </x:c>
      <x:c r="J203" s="91" t="str">
        <x:v>石畳護衛</x:v>
      </x:c>
      <x:c r="K203" s="91" t="str">
        <x:v>クラシック型 / TT・ルーラー型</x:v>
      </x:c>
      <x:c r="L203" s="88" t="n">
        <x:v>4300</x:v>
      </x:c>
      <x:c r="M203" s="91" t="str">
        <x:v>現役確認済</x:v>
      </x:c>
      <x:c r="N203" s="91" t="str">
        <x:v>https://en.wikipedia.org/wiki/Lars_Craps</x:v>
      </x:c>
    </x:row>
    <x:row r="204" ht="22" customHeight="1">
      <x:c r="A204" s="82" t="n">
        <x:v>200</x:v>
      </x:c>
      <x:c r="B204" s="82" t="str">
        <x:v>Diego Pescador</x:v>
      </x:c>
      <x:c r="C204" s="82" t="str"/>
      <x:c r="D204" s="82" t="str">
        <x:v>コロンビア</x:v>
      </x:c>
      <x:c r="E204" s="82" t="str">
        <x:v>Movistar Team</x:v>
      </x:c>
      <x:c r="F204" s="82" t="str">
        <x:v>クライマー</x:v>
      </x:c>
      <x:c r="G204" s="85" t="str">
        <x:v>総合型</x:v>
      </x:c>
      <x:c r="H204" s="85" t="n">
        <x:v>71</x:v>
      </x:c>
      <x:c r="I204" s="91" t="n">
        <x:v>72</x:v>
      </x:c>
      <x:c r="J204" s="91" t="str">
        <x:v>山岳賞ハンター / 山岳アシスト / 山岳ペースメーカー / 集団コントローラー</x:v>
      </x:c>
      <x:c r="K204" s="91" t="str">
        <x:v>クライマー / 総合型</x:v>
      </x:c>
      <x:c r="L204" s="88" t="n">
        <x:v>4150</x:v>
      </x:c>
      <x:c r="M204" s="91" t="str">
        <x:v>現役確認済</x:v>
      </x:c>
      <x:c r="N204" s="91" t="str">
        <x:v>https://en.wikipedia.org/wiki/Diego_Pescador</x:v>
      </x:c>
    </x:row>
    <x:row r="205" ht="22" customHeight="1">
      <x:c r="A205" s="82" t="n">
        <x:v>201</x:v>
      </x:c>
      <x:c r="B205" s="82" t="str">
        <x:v>Fran Miholjević</x:v>
      </x:c>
      <x:c r="C205" s="82" t="str"/>
      <x:c r="D205" s="82" t="str">
        <x:v>CRO</x:v>
      </x:c>
      <x:c r="E205" s="82" t="str">
        <x:v>Team Bahrain Victorious</x:v>
      </x:c>
      <x:c r="F205" s="82" t="str">
        <x:v>スプリンター</x:v>
      </x:c>
      <x:c r="G205" s="85" t="str">
        <x:v>総合型</x:v>
      </x:c>
      <x:c r="H205" s="85" t="n">
        <x:v>71</x:v>
      </x:c>
      <x:c r="I205" s="91" t="n">
        <x:v>66</x:v>
      </x:c>
      <x:c r="J205" s="91" t="str">
        <x:v>リードアウト / 最終発射台 / スプリントトレイン / 集団コントローラー</x:v>
      </x:c>
      <x:c r="K205" s="91" t="str">
        <x:v>スプリンター / 総合型</x:v>
      </x:c>
      <x:c r="L205" s="88" t="n">
        <x:v>4100</x:v>
      </x:c>
      <x:c r="M205" s="91" t="str">
        <x:v>現役確認済</x:v>
      </x:c>
      <x:c r="N205" s="91" t="str">
        <x:v>https://en.wikipedia.org/wiki/Fran_Miholjevi%C4%87</x:v>
      </x:c>
    </x:row>
    <x:row r="206" ht="22" customHeight="1">
      <x:c r="A206" s="82" t="n">
        <x:v>202</x:v>
      </x:c>
      <x:c r="B206" s="82" t="str">
        <x:v>Madis Mihkels</x:v>
      </x:c>
      <x:c r="C206" s="82" t="str"/>
      <x:c r="D206" s="82" t="str">
        <x:v>エストニア</x:v>
      </x:c>
      <x:c r="E206" s="82" t="str">
        <x:v>EF Education–EasyPost</x:v>
      </x:c>
      <x:c r="F206" s="82" t="str">
        <x:v>パンチャー</x:v>
      </x:c>
      <x:c r="G206" s="85" t="str">
        <x:v>総合型</x:v>
      </x:c>
      <x:c r="H206" s="85" t="n">
        <x:v>71</x:v>
      </x:c>
      <x:c r="I206" s="91" t="n">
        <x:v>70</x:v>
      </x:c>
      <x:c r="J206" s="91" t="str">
        <x:v>ロードキャプテン / ステージハンター / 集団コントローラー</x:v>
      </x:c>
      <x:c r="K206" s="91" t="str">
        <x:v>パンチャー / 総合型</x:v>
      </x:c>
      <x:c r="L206" s="88" t="n">
        <x:v>4050</x:v>
      </x:c>
      <x:c r="M206" s="91" t="str">
        <x:v>現役確認済</x:v>
      </x:c>
      <x:c r="N206" s="91" t="str">
        <x:v>https://en.wikipedia.org/wiki/Madis_Mihkels</x:v>
      </x:c>
    </x:row>
    <x:row r="207" ht="22" customHeight="1">
      <x:c r="A207" s="82" t="n">
        <x:v>203</x:v>
      </x:c>
      <x:c r="B207" s="82" t="str">
        <x:v>Luke Lamperti</x:v>
      </x:c>
      <x:c r="C207" s="82" t="str"/>
      <x:c r="D207" s="82" t="str">
        <x:v>アメリカ</x:v>
      </x:c>
      <x:c r="E207" s="82" t="str">
        <x:v>EF Education–EasyPost</x:v>
      </x:c>
      <x:c r="F207" s="82" t="str">
        <x:v>スプリンター</x:v>
      </x:c>
      <x:c r="G207" s="85" t="str">
        <x:v>TT・ルーラー型</x:v>
      </x:c>
      <x:c r="H207" s="85" t="n">
        <x:v>71</x:v>
      </x:c>
      <x:c r="I207" s="91" t="n">
        <x:v>67</x:v>
      </x:c>
      <x:c r="J207" s="91" t="str">
        <x:v>リードアウト / 最終発射台 / 無賃乗車</x:v>
      </x:c>
      <x:c r="K207" s="91" t="str">
        <x:v>スプリンター / TT・ルーラー型</x:v>
      </x:c>
      <x:c r="L207" s="88" t="n">
        <x:v>4050</x:v>
      </x:c>
      <x:c r="M207" s="91" t="str">
        <x:v>現役確認済</x:v>
      </x:c>
      <x:c r="N207" s="91" t="str">
        <x:v>https://en.wikipedia.org/wiki/Luke_Lamperti</x:v>
      </x:c>
    </x:row>
    <x:row r="208" ht="22" customHeight="1">
      <x:c r="A208" s="82" t="n">
        <x:v>204</x:v>
      </x:c>
      <x:c r="B208" s="82" t="str">
        <x:v>Dries Van Gestel</x:v>
      </x:c>
      <x:c r="C208" s="82" t="str"/>
      <x:c r="D208" s="82" t="str">
        <x:v>ベルギー</x:v>
      </x:c>
      <x:c r="E208" s="82" t="str">
        <x:v>Soudal–Quick-Step</x:v>
      </x:c>
      <x:c r="F208" s="82" t="str">
        <x:v>パンチャー</x:v>
      </x:c>
      <x:c r="G208" s="85" t="str">
        <x:v>クライマー</x:v>
      </x:c>
      <x:c r="H208" s="85" t="n">
        <x:v>71</x:v>
      </x:c>
      <x:c r="I208" s="91" t="n">
        <x:v>69</x:v>
      </x:c>
      <x:c r="J208" s="91" t="str">
        <x:v>ステージハンター / 山岳賞ハンター / 無賃乗車</x:v>
      </x:c>
      <x:c r="K208" s="91" t="str">
        <x:v>パンチャー / クライマー</x:v>
      </x:c>
      <x:c r="L208" s="88" t="n">
        <x:v>4000</x:v>
      </x:c>
      <x:c r="M208" s="91" t="str">
        <x:v>現役確認済</x:v>
      </x:c>
      <x:c r="N208" s="91" t="str">
        <x:v>https://en.wikipedia.org/wiki/Dries_Van_Gestel</x:v>
      </x:c>
    </x:row>
    <x:row r="209" ht="22" customHeight="1">
      <x:c r="A209" s="82" t="n">
        <x:v>205</x:v>
      </x:c>
      <x:c r="B209" s="82" t="str">
        <x:v>Ben Zwiehoff</x:v>
      </x:c>
      <x:c r="C209" s="82" t="str"/>
      <x:c r="D209" s="82" t="str">
        <x:v>ドイツ</x:v>
      </x:c>
      <x:c r="E209" s="82" t="str">
        <x:v>Red Bull–Bora–Hansgrohe</x:v>
      </x:c>
      <x:c r="F209" s="82" t="str">
        <x:v>パンチャー</x:v>
      </x:c>
      <x:c r="G209" s="85" t="str">
        <x:v>スプリンター</x:v>
      </x:c>
      <x:c r="H209" s="85" t="n">
        <x:v>71</x:v>
      </x:c>
      <x:c r="I209" s="91" t="n">
        <x:v>68</x:v>
      </x:c>
      <x:c r="J209" s="91" t="str">
        <x:v>ロードキャプテン / ステージハンター / スプリントトレイン</x:v>
      </x:c>
      <x:c r="K209" s="91" t="str">
        <x:v>パンチャー / スプリンター</x:v>
      </x:c>
      <x:c r="L209" s="88" t="n">
        <x:v>3850</x:v>
      </x:c>
      <x:c r="M209" s="91" t="str">
        <x:v>現役確認済</x:v>
      </x:c>
      <x:c r="N209" s="91" t="str">
        <x:v>https://en.wikipedia.org/wiki/Ben_Zwiehoff</x:v>
      </x:c>
    </x:row>
    <x:row r="210" ht="22" customHeight="1">
      <x:c r="A210" s="82" t="n">
        <x:v>206</x:v>
      </x:c>
      <x:c r="B210" s="82" t="str">
        <x:v>Fredrik Dversnes</x:v>
      </x:c>
      <x:c r="C210" s="82" t="str"/>
      <x:c r="D210" s="82" t="str">
        <x:v>ノルウェー</x:v>
      </x:c>
      <x:c r="E210" s="82" t="str">
        <x:v>Uno-X Mobility</x:v>
      </x:c>
      <x:c r="F210" s="82" t="str">
        <x:v>パンチャー</x:v>
      </x:c>
      <x:c r="G210" s="85" t="str">
        <x:v>クライマー</x:v>
      </x:c>
      <x:c r="H210" s="85" t="n">
        <x:v>71</x:v>
      </x:c>
      <x:c r="I210" s="91" t="n">
        <x:v>69</x:v>
      </x:c>
      <x:c r="J210" s="91" t="str">
        <x:v>ステージハンター / 山岳賞ハンター / 下り牽引</x:v>
      </x:c>
      <x:c r="K210" s="91" t="str">
        <x:v>パンチャー / クライマー</x:v>
      </x:c>
      <x:c r="L210" s="88" t="n">
        <x:v>3850</x:v>
      </x:c>
      <x:c r="M210" s="91" t="str">
        <x:v>現役確認済</x:v>
      </x:c>
      <x:c r="N210" s="91" t="str">
        <x:v>https://en.wikipedia.org/wiki/Fredrik_Dversnes</x:v>
      </x:c>
    </x:row>
    <x:row r="211" ht="22" customHeight="1">
      <x:c r="A211" s="82" t="n">
        <x:v>207</x:v>
      </x:c>
      <x:c r="B211" s="82" t="str">
        <x:v>Jardi Christiaan van der Lee</x:v>
      </x:c>
      <x:c r="C211" s="82" t="str"/>
      <x:c r="D211" s="82" t="str">
        <x:v>オランダ</x:v>
      </x:c>
      <x:c r="E211" s="82" t="str">
        <x:v>EF Education–EasyPost</x:v>
      </x:c>
      <x:c r="F211" s="82" t="str">
        <x:v>パンチャー</x:v>
      </x:c>
      <x:c r="G211" s="85" t="str">
        <x:v>総合型</x:v>
      </x:c>
      <x:c r="H211" s="85" t="n">
        <x:v>71</x:v>
      </x:c>
      <x:c r="I211" s="91" t="n">
        <x:v>68</x:v>
      </x:c>
      <x:c r="J211" s="91" t="str">
        <x:v>ステージハンター / 山岳賞ハンター / 集団コントローラー</x:v>
      </x:c>
      <x:c r="K211" s="91" t="str">
        <x:v>パンチャー / 総合型</x:v>
      </x:c>
      <x:c r="L211" s="88" t="n">
        <x:v>3850</x:v>
      </x:c>
      <x:c r="M211" s="91" t="str">
        <x:v>現役確認済</x:v>
      </x:c>
      <x:c r="N211" s="91" t="str">
        <x:v>https://en.wikipedia.org/wiki/List_of_2026_UCI_WorldTeams_and_riders</x:v>
      </x:c>
    </x:row>
    <x:row r="212" ht="22" customHeight="1">
      <x:c r="A212" s="82" t="n">
        <x:v>208</x:v>
      </x:c>
      <x:c r="B212" s="82" t="str">
        <x:v>Gonzalo Serrano</x:v>
      </x:c>
      <x:c r="C212" s="82" t="str"/>
      <x:c r="D212" s="82" t="str">
        <x:v>スペイン</x:v>
      </x:c>
      <x:c r="E212" s="82" t="str">
        <x:v>Movistar Team</x:v>
      </x:c>
      <x:c r="F212" s="82" t="str">
        <x:v>パンチャー</x:v>
      </x:c>
      <x:c r="G212" s="85" t="str">
        <x:v>クライマー</x:v>
      </x:c>
      <x:c r="H212" s="85" t="n">
        <x:v>71</x:v>
      </x:c>
      <x:c r="I212" s="91" t="n">
        <x:v>69</x:v>
      </x:c>
      <x:c r="J212" s="91" t="str">
        <x:v>ステージハンター / 山岳賞ハンター</x:v>
      </x:c>
      <x:c r="K212" s="91" t="str">
        <x:v>パンチャー / クライマー</x:v>
      </x:c>
      <x:c r="L212" s="88" t="n">
        <x:v>3800</x:v>
      </x:c>
      <x:c r="M212" s="91" t="str">
        <x:v>現役確認済</x:v>
      </x:c>
      <x:c r="N212" s="91" t="str">
        <x:v>https://en.wikipedia.org/wiki/Gonzalo_Serrano</x:v>
      </x:c>
    </x:row>
    <x:row r="213" ht="22" customHeight="1">
      <x:c r="A213" s="82" t="n">
        <x:v>209</x:v>
      </x:c>
      <x:c r="B213" s="82" t="str">
        <x:v>Ådne Holter</x:v>
      </x:c>
      <x:c r="C213" s="82" t="str"/>
      <x:c r="D213" s="82" t="str">
        <x:v>ノルウェー</x:v>
      </x:c>
      <x:c r="E213" s="82" t="str">
        <x:v>Uno-X Mobility</x:v>
      </x:c>
      <x:c r="F213" s="82" t="str">
        <x:v>パンチャー</x:v>
      </x:c>
      <x:c r="G213" s="85" t="str">
        <x:v>総合型</x:v>
      </x:c>
      <x:c r="H213" s="85" t="n">
        <x:v>71</x:v>
      </x:c>
      <x:c r="I213" s="91" t="n">
        <x:v>66</x:v>
      </x:c>
      <x:c r="J213" s="91" t="str">
        <x:v>ステージハンター / 山岳賞ハンター / 集団コントローラー</x:v>
      </x:c>
      <x:c r="K213" s="91" t="str">
        <x:v>パンチャー / 総合型</x:v>
      </x:c>
      <x:c r="L213" s="88" t="n">
        <x:v>3800</x:v>
      </x:c>
      <x:c r="M213" s="91" t="str">
        <x:v>現役確認済</x:v>
      </x:c>
      <x:c r="N213" s="91" t="str">
        <x:v>https://en.wikipedia.org/wiki/%C3%85dne_Holter</x:v>
      </x:c>
    </x:row>
    <x:row r="214" ht="22" customHeight="1">
      <x:c r="A214" s="82" t="n">
        <x:v>210</x:v>
      </x:c>
      <x:c r="B214" s="82" t="str">
        <x:v>Alessandro Romele</x:v>
      </x:c>
      <x:c r="C214" s="82" t="str"/>
      <x:c r="D214" s="82" t="str">
        <x:v>イタリア</x:v>
      </x:c>
      <x:c r="E214" s="82" t="str">
        <x:v>XDS Astana Team</x:v>
      </x:c>
      <x:c r="F214" s="82" t="str">
        <x:v>パンチャー</x:v>
      </x:c>
      <x:c r="G214" s="85" t="str">
        <x:v>TT・ルーラー型</x:v>
      </x:c>
      <x:c r="H214" s="85" t="n">
        <x:v>71</x:v>
      </x:c>
      <x:c r="I214" s="91" t="n">
        <x:v>68</x:v>
      </x:c>
      <x:c r="J214" s="91" t="str">
        <x:v>ステージハンター</x:v>
      </x:c>
      <x:c r="K214" s="91" t="str">
        <x:v>パンチャー / TT・ルーラー型</x:v>
      </x:c>
      <x:c r="L214" s="88" t="n">
        <x:v>3700</x:v>
      </x:c>
      <x:c r="M214" s="91" t="str">
        <x:v>現役確認済</x:v>
      </x:c>
      <x:c r="N214" s="91" t="str">
        <x:v>https://en.wikipedia.org/wiki/Alessandro_Romele</x:v>
      </x:c>
    </x:row>
    <x:row r="215" ht="22" customHeight="1">
      <x:c r="A215" s="82" t="n">
        <x:v>211</x:v>
      </x:c>
      <x:c r="B215" s="82" t="str">
        <x:v>Erlend Blikra</x:v>
      </x:c>
      <x:c r="C215" s="82" t="str"/>
      <x:c r="D215" s="82" t="str">
        <x:v>ノルウェー</x:v>
      </x:c>
      <x:c r="E215" s="82" t="str">
        <x:v>Uno-X Mobility</x:v>
      </x:c>
      <x:c r="F215" s="82" t="str">
        <x:v>パンチャー</x:v>
      </x:c>
      <x:c r="G215" s="85" t="str">
        <x:v>クライマー</x:v>
      </x:c>
      <x:c r="H215" s="85" t="n">
        <x:v>71</x:v>
      </x:c>
      <x:c r="I215" s="91" t="n">
        <x:v>68</x:v>
      </x:c>
      <x:c r="J215" s="91" t="str">
        <x:v>ステージハンター / 山岳賞ハンター</x:v>
      </x:c>
      <x:c r="K215" s="91" t="str">
        <x:v>パンチャー / クライマー</x:v>
      </x:c>
      <x:c r="L215" s="88" t="n">
        <x:v>3400</x:v>
      </x:c>
      <x:c r="M215" s="91" t="str">
        <x:v>現役確認済</x:v>
      </x:c>
      <x:c r="N215" s="91" t="str">
        <x:v>https://en.wikipedia.org/wiki/Erlend_Blikra</x:v>
      </x:c>
    </x:row>
    <x:row r="216" ht="22" customHeight="1">
      <x:c r="A216" s="82" t="n">
        <x:v>212</x:v>
      </x:c>
      <x:c r="B216" s="82" t="str">
        <x:v>Guillaume Boivin</x:v>
      </x:c>
      <x:c r="C216" s="82" t="str"/>
      <x:c r="D216" s="82" t="str">
        <x:v>カナダ</x:v>
      </x:c>
      <x:c r="E216" s="82" t="str">
        <x:v>NSN Cycling Team</x:v>
      </x:c>
      <x:c r="F216" s="82" t="str">
        <x:v>TT・ルーラー型</x:v>
      </x:c>
      <x:c r="G216" s="85" t="str">
        <x:v>総合型</x:v>
      </x:c>
      <x:c r="H216" s="85" t="n">
        <x:v>70</x:v>
      </x:c>
      <x:c r="I216" s="91" t="n">
        <x:v>78</x:v>
      </x:c>
      <x:c r="J216" s="91" t="str">
        <x:v>TTスペシャリスト / 平坦アシスト / 集団コントローラー / ブレイクアウェイキラー</x:v>
      </x:c>
      <x:c r="K216" s="91" t="str">
        <x:v>TT・ルーラー型 / 総合型</x:v>
      </x:c>
      <x:c r="L216" s="88" t="n">
        <x:v>5450</x:v>
      </x:c>
      <x:c r="M216" s="91" t="str">
        <x:v>現役確認済</x:v>
      </x:c>
      <x:c r="N216" s="91" t="str">
        <x:v>https://en.wikipedia.org/wiki/Guillaume_Boivin</x:v>
      </x:c>
    </x:row>
    <x:row r="217" ht="22" customHeight="1">
      <x:c r="A217" s="82" t="n">
        <x:v>213</x:v>
      </x:c>
      <x:c r="B217" s="82" t="str">
        <x:v>Davide Formolo</x:v>
      </x:c>
      <x:c r="C217" s="82" t="str"/>
      <x:c r="D217" s="82" t="str">
        <x:v>イタリア</x:v>
      </x:c>
      <x:c r="E217" s="82" t="str">
        <x:v>Movistar Team</x:v>
      </x:c>
      <x:c r="F217" s="82" t="str">
        <x:v>クライマー</x:v>
      </x:c>
      <x:c r="G217" s="85" t="str">
        <x:v>クラシック型</x:v>
      </x:c>
      <x:c r="H217" s="85" t="n">
        <x:v>70</x:v>
      </x:c>
      <x:c r="I217" s="91" t="n">
        <x:v>73</x:v>
      </x:c>
      <x:c r="J217" s="91" t="str">
        <x:v>山岳賞ハンター / 山岳アシスト / 下り牽引</x:v>
      </x:c>
      <x:c r="K217" s="91" t="str">
        <x:v>クライマー / クラシック型</x:v>
      </x:c>
      <x:c r="L217" s="88" t="n">
        <x:v>4650</x:v>
      </x:c>
      <x:c r="M217" s="91" t="str">
        <x:v>現役確認済</x:v>
      </x:c>
      <x:c r="N217" s="91" t="str">
        <x:v>https://en.wikipedia.org/wiki/Davide_Formolo</x:v>
      </x:c>
    </x:row>
    <x:row r="218" ht="22" customHeight="1">
      <x:c r="A218" s="82" t="n">
        <x:v>214</x:v>
      </x:c>
      <x:c r="B218" s="82" t="str">
        <x:v>Adrien Boichis</x:v>
      </x:c>
      <x:c r="C218" s="82" t="str"/>
      <x:c r="D218" s="82" t="str">
        <x:v>フランス</x:v>
      </x:c>
      <x:c r="E218" s="82" t="str">
        <x:v>Red Bull–Bora–Hansgrohe</x:v>
      </x:c>
      <x:c r="F218" s="82" t="str">
        <x:v>TT・ルーラー型</x:v>
      </x:c>
      <x:c r="G218" s="85" t="str">
        <x:v>総合型</x:v>
      </x:c>
      <x:c r="H218" s="85" t="n">
        <x:v>70</x:v>
      </x:c>
      <x:c r="I218" s="91" t="n">
        <x:v>77</x:v>
      </x:c>
      <x:c r="J218" s="91" t="str">
        <x:v>平坦アシスト / TT牽引 / 集団コントローラー / ブレイクアウェイキラー</x:v>
      </x:c>
      <x:c r="K218" s="91" t="str">
        <x:v>TT・ルーラー型 / 総合型</x:v>
      </x:c>
      <x:c r="L218" s="88" t="n">
        <x:v>4550</x:v>
      </x:c>
      <x:c r="M218" s="91" t="str">
        <x:v>現役確認済</x:v>
      </x:c>
      <x:c r="N218" s="91" t="str">
        <x:v>https://en.wikipedia.org/wiki/Adrien_Boichis</x:v>
      </x:c>
    </x:row>
    <x:row r="219" ht="22" customHeight="1">
      <x:c r="A219" s="82" t="n">
        <x:v>215</x:v>
      </x:c>
      <x:c r="B219" s="82" t="str">
        <x:v>Clément Champoussin</x:v>
      </x:c>
      <x:c r="C219" s="82" t="str"/>
      <x:c r="D219" s="82" t="str">
        <x:v>フランス</x:v>
      </x:c>
      <x:c r="E219" s="82" t="str">
        <x:v>XDS Astana Team</x:v>
      </x:c>
      <x:c r="F219" s="82" t="str">
        <x:v>クライマー</x:v>
      </x:c>
      <x:c r="G219" s="85" t="str">
        <x:v>総合型</x:v>
      </x:c>
      <x:c r="H219" s="85" t="n">
        <x:v>70</x:v>
      </x:c>
      <x:c r="I219" s="91" t="n">
        <x:v>73</x:v>
      </x:c>
      <x:c r="J219" s="91" t="str">
        <x:v>山岳賞ハンター / 山岳アシスト / 山岳ペースメーカー / 集団コントローラー</x:v>
      </x:c>
      <x:c r="K219" s="91" t="str">
        <x:v>クライマー / 総合型</x:v>
      </x:c>
      <x:c r="L219" s="88" t="n">
        <x:v>4450</x:v>
      </x:c>
      <x:c r="M219" s="91" t="str">
        <x:v>現役確認済</x:v>
      </x:c>
      <x:c r="N219" s="91" t="str">
        <x:v>https://en.wikipedia.org/wiki/Cl%C3%A9ment_Champoussin</x:v>
      </x:c>
    </x:row>
    <x:row r="220" ht="22" customHeight="1">
      <x:c r="A220" s="82" t="n">
        <x:v>216</x:v>
      </x:c>
      <x:c r="B220" s="82" t="str">
        <x:v>Einer Rubio</x:v>
      </x:c>
      <x:c r="C220" s="82" t="str"/>
      <x:c r="D220" s="82" t="str">
        <x:v>コロンビア</x:v>
      </x:c>
      <x:c r="E220" s="82" t="str">
        <x:v>Movistar Team</x:v>
      </x:c>
      <x:c r="F220" s="82" t="str">
        <x:v>クライマー</x:v>
      </x:c>
      <x:c r="G220" s="85" t="str">
        <x:v>スプリンター</x:v>
      </x:c>
      <x:c r="H220" s="85" t="n">
        <x:v>70</x:v>
      </x:c>
      <x:c r="I220" s="91" t="n">
        <x:v>71</x:v>
      </x:c>
      <x:c r="J220" s="91" t="str">
        <x:v>山岳賞ハンター / スプリントトレイン / 山岳アシスト / 山岳ペースメーカー</x:v>
      </x:c>
      <x:c r="K220" s="91" t="str">
        <x:v>クライマー / スプリンター</x:v>
      </x:c>
      <x:c r="L220" s="88" t="n">
        <x:v>4200</x:v>
      </x:c>
      <x:c r="M220" s="91" t="str">
        <x:v>現役確認済</x:v>
      </x:c>
      <x:c r="N220" s="91" t="str">
        <x:v>https://en.wikipedia.org/wiki/Einer_Rubio</x:v>
      </x:c>
    </x:row>
    <x:row r="221" ht="22" customHeight="1">
      <x:c r="A221" s="82" t="n">
        <x:v>217</x:v>
      </x:c>
      <x:c r="B221" s="82" t="str">
        <x:v>Clément Braz Afonso</x:v>
      </x:c>
      <x:c r="C221" s="82" t="str"/>
      <x:c r="D221" s="82" t="str">
        <x:v>フランス</x:v>
      </x:c>
      <x:c r="E221" s="82" t="str">
        <x:v>Groupama–FDJ United</x:v>
      </x:c>
      <x:c r="F221" s="82" t="str">
        <x:v>クライマー</x:v>
      </x:c>
      <x:c r="G221" s="85" t="str">
        <x:v>スプリンター</x:v>
      </x:c>
      <x:c r="H221" s="85" t="n">
        <x:v>70</x:v>
      </x:c>
      <x:c r="I221" s="91" t="n">
        <x:v>72</x:v>
      </x:c>
      <x:c r="J221" s="91" t="str">
        <x:v>山岳賞ハンター / スプリントトレイン / 山岳アシスト</x:v>
      </x:c>
      <x:c r="K221" s="91" t="str">
        <x:v>クライマー / スプリンター</x:v>
      </x:c>
      <x:c r="L221" s="88" t="n">
        <x:v>4050</x:v>
      </x:c>
      <x:c r="M221" s="91" t="str">
        <x:v>現役確認済</x:v>
      </x:c>
      <x:c r="N221" s="91" t="str">
        <x:v>https://en.wikipedia.org/wiki/Cl%C3%A9ment_Braz_Afonso</x:v>
      </x:c>
    </x:row>
    <x:row r="222" ht="22" customHeight="1">
      <x:c r="A222" s="82" t="n">
        <x:v>218</x:v>
      </x:c>
      <x:c r="B222" s="82" t="str">
        <x:v>Alexander Hajek</x:v>
      </x:c>
      <x:c r="C222" s="82" t="str"/>
      <x:c r="D222" s="82" t="str">
        <x:v>オーストリア</x:v>
      </x:c>
      <x:c r="E222" s="82" t="str">
        <x:v>Red Bull–Bora–Hansgrohe</x:v>
      </x:c>
      <x:c r="F222" s="82" t="str">
        <x:v>クラシック型</x:v>
      </x:c>
      <x:c r="G222" s="85" t="str">
        <x:v>クライマー</x:v>
      </x:c>
      <x:c r="H222" s="85" t="n">
        <x:v>70</x:v>
      </x:c>
      <x:c r="I222" s="91" t="n">
        <x:v>73</x:v>
      </x:c>
      <x:c r="J222" s="91" t="str">
        <x:v>山岳賞ハンター / 石畳護衛</x:v>
      </x:c>
      <x:c r="K222" s="91" t="str">
        <x:v>クラシック型 / クライマー</x:v>
      </x:c>
      <x:c r="L222" s="88" t="n">
        <x:v>4000</x:v>
      </x:c>
      <x:c r="M222" s="91" t="str">
        <x:v>現役確認済</x:v>
      </x:c>
      <x:c r="N222" s="91" t="str">
        <x:v>https://en.wikipedia.org/wiki/Alexander_Hajek</x:v>
      </x:c>
    </x:row>
    <x:row r="223" ht="22" customHeight="1">
      <x:c r="A223" s="82" t="n">
        <x:v>219</x:v>
      </x:c>
      <x:c r="B223" s="82" t="str">
        <x:v>Axel Huens</x:v>
      </x:c>
      <x:c r="C223" s="82" t="str"/>
      <x:c r="D223" s="82" t="str">
        <x:v>フランス</x:v>
      </x:c>
      <x:c r="E223" s="82" t="str">
        <x:v>Groupama–FDJ United</x:v>
      </x:c>
      <x:c r="F223" s="82" t="str">
        <x:v>クライマー</x:v>
      </x:c>
      <x:c r="G223" s="85" t="str">
        <x:v>スプリンター</x:v>
      </x:c>
      <x:c r="H223" s="85" t="n">
        <x:v>70</x:v>
      </x:c>
      <x:c r="I223" s="91" t="n">
        <x:v>71</x:v>
      </x:c>
      <x:c r="J223" s="91" t="str">
        <x:v>山岳賞ハンター / スプリントトレイン / 山岳アシスト / 山岳番手</x:v>
      </x:c>
      <x:c r="K223" s="91" t="str">
        <x:v>クライマー / スプリンター</x:v>
      </x:c>
      <x:c r="L223" s="88" t="n">
        <x:v>4000</x:v>
      </x:c>
      <x:c r="M223" s="91" t="str">
        <x:v>現役確認済</x:v>
      </x:c>
      <x:c r="N223" s="91" t="str">
        <x:v>https://en.wikipedia.org/wiki/Axel_Huens</x:v>
      </x:c>
    </x:row>
    <x:row r="224" ht="22" customHeight="1">
      <x:c r="A224" s="82" t="n">
        <x:v>220</x:v>
      </x:c>
      <x:c r="B224" s="82" t="str">
        <x:v>Cyril Barthe</x:v>
      </x:c>
      <x:c r="C224" s="82" t="str"/>
      <x:c r="D224" s="82" t="str">
        <x:v>フランス</x:v>
      </x:c>
      <x:c r="E224" s="82" t="str">
        <x:v>Groupama–FDJ United</x:v>
      </x:c>
      <x:c r="F224" s="82" t="str">
        <x:v>パンチャー</x:v>
      </x:c>
      <x:c r="G224" s="85" t="str">
        <x:v>クライマー</x:v>
      </x:c>
      <x:c r="H224" s="85" t="n">
        <x:v>70</x:v>
      </x:c>
      <x:c r="I224" s="91" t="n">
        <x:v>69</x:v>
      </x:c>
      <x:c r="J224" s="91" t="str">
        <x:v>ステージハンター / 山岳賞ハンター</x:v>
      </x:c>
      <x:c r="K224" s="91" t="str">
        <x:v>パンチャー / クライマー</x:v>
      </x:c>
      <x:c r="L224" s="88" t="n">
        <x:v>3850</x:v>
      </x:c>
      <x:c r="M224" s="91" t="str">
        <x:v>現役確認済</x:v>
      </x:c>
      <x:c r="N224" s="91" t="str">
        <x:v>https://en.wikipedia.org/wiki/Cyril_Barthe</x:v>
      </x:c>
    </x:row>
    <x:row r="225" ht="22" customHeight="1">
      <x:c r="A225" s="82" t="n">
        <x:v>221</x:v>
      </x:c>
      <x:c r="B225" s="82" t="str">
        <x:v>Ewen Costiou</x:v>
      </x:c>
      <x:c r="C225" s="82" t="str"/>
      <x:c r="D225" s="82" t="str">
        <x:v>フランス</x:v>
      </x:c>
      <x:c r="E225" s="82" t="str">
        <x:v>Groupama–FDJ United</x:v>
      </x:c>
      <x:c r="F225" s="82" t="str">
        <x:v>パンチャー</x:v>
      </x:c>
      <x:c r="G225" s="85" t="str">
        <x:v>スプリンター</x:v>
      </x:c>
      <x:c r="H225" s="85" t="n">
        <x:v>70</x:v>
      </x:c>
      <x:c r="I225" s="91" t="n">
        <x:v>68</x:v>
      </x:c>
      <x:c r="J225" s="91" t="str">
        <x:v>ステージハンター / 山岳賞ハンター / スプリントトレイン</x:v>
      </x:c>
      <x:c r="K225" s="91" t="str">
        <x:v>パンチャー / スプリンター</x:v>
      </x:c>
      <x:c r="L225" s="88" t="n">
        <x:v>3700</x:v>
      </x:c>
      <x:c r="M225" s="91" t="str">
        <x:v>現役確認済</x:v>
      </x:c>
      <x:c r="N225" s="91" t="str">
        <x:v>https://en.wikipedia.org/wiki/Ewen_Costiou</x:v>
      </x:c>
    </x:row>
    <x:row r="226" ht="22" customHeight="1">
      <x:c r="A226" s="82" t="n">
        <x:v>222</x:v>
      </x:c>
      <x:c r="B226" s="82" t="str">
        <x:v>Erik Nordsæter Resell</x:v>
      </x:c>
      <x:c r="C226" s="82" t="str"/>
      <x:c r="D226" s="82" t="str">
        <x:v>ノルウェー</x:v>
      </x:c>
      <x:c r="E226" s="82" t="str">
        <x:v>Uno-X Mobility</x:v>
      </x:c>
      <x:c r="F226" s="82" t="str">
        <x:v>パンチャー</x:v>
      </x:c>
      <x:c r="G226" s="85" t="str">
        <x:v>スプリンター</x:v>
      </x:c>
      <x:c r="H226" s="85" t="n">
        <x:v>70</x:v>
      </x:c>
      <x:c r="I226" s="91" t="n">
        <x:v>68</x:v>
      </x:c>
      <x:c r="J226" s="91" t="str">
        <x:v>ロードキャプテン / ステージハンター / スプリントトレイン</x:v>
      </x:c>
      <x:c r="K226" s="91" t="str">
        <x:v>パンチャー / スプリンター</x:v>
      </x:c>
      <x:c r="L226" s="88" t="n">
        <x:v>3450</x:v>
      </x:c>
      <x:c r="M226" s="91" t="str">
        <x:v>現役確認済</x:v>
      </x:c>
      <x:c r="N226" s="91" t="str">
        <x:v>https://en.wikipedia.org/wiki/List_of_2026_UCI_WorldTeams_and_riders</x:v>
      </x:c>
    </x:row>
    <x:row r="227" ht="22" customHeight="1">
      <x:c r="A227" s="82" t="n">
        <x:v>223</x:v>
      </x:c>
      <x:c r="B227" s="82" t="str">
        <x:v>Daniel Skerl</x:v>
      </x:c>
      <x:c r="C227" s="82" t="str"/>
      <x:c r="D227" s="82" t="str">
        <x:v>イタリア</x:v>
      </x:c>
      <x:c r="E227" s="82" t="str">
        <x:v>Team Bahrain Victorious</x:v>
      </x:c>
      <x:c r="F227" s="82" t="str">
        <x:v>パンチャー</x:v>
      </x:c>
      <x:c r="G227" s="85" t="str">
        <x:v>総合型</x:v>
      </x:c>
      <x:c r="H227" s="85" t="n">
        <x:v>70</x:v>
      </x:c>
      <x:c r="I227" s="91" t="n">
        <x:v>65</x:v>
      </x:c>
      <x:c r="J227" s="91" t="str">
        <x:v>ステージハンター / 集団コントローラー</x:v>
      </x:c>
      <x:c r="K227" s="91" t="str">
        <x:v>パンチャー / 総合型</x:v>
      </x:c>
      <x:c r="L227" s="88" t="n">
        <x:v>3300</x:v>
      </x:c>
      <x:c r="M227" s="91" t="str">
        <x:v>現役確認済</x:v>
      </x:c>
      <x:c r="N227" s="91" t="str">
        <x:v>https://en.wikipedia.org/wiki/Daniel_Skerl</x:v>
      </x:c>
    </x:row>
    <x:row r="228" ht="22" customHeight="1">
      <x:c r="A228" s="82" t="n">
        <x:v>224</x:v>
      </x:c>
      <x:c r="B228" s="82" t="str">
        <x:v>Liam Slock</x:v>
      </x:c>
      <x:c r="C228" s="82" t="str"/>
      <x:c r="D228" s="82" t="str">
        <x:v>ベルギー</x:v>
      </x:c>
      <x:c r="E228" s="82" t="str">
        <x:v>Lotto–Intermarché</x:v>
      </x:c>
      <x:c r="F228" s="82" t="str">
        <x:v>TT・ルーラー型</x:v>
      </x:c>
      <x:c r="G228" s="85" t="str">
        <x:v>スプリンター</x:v>
      </x:c>
      <x:c r="H228" s="85" t="n">
        <x:v>69</x:v>
      </x:c>
      <x:c r="I228" s="91" t="n">
        <x:v>77</x:v>
      </x:c>
      <x:c r="J228" s="91" t="str">
        <x:v>TTスペシャリスト / スプリントトレイン / 平坦アシスト / 集団コントローラー / ブレイクアウェイキラー / ポジションキーパー</x:v>
      </x:c>
      <x:c r="K228" s="91" t="str">
        <x:v>TT・ルーラー型 / スプリンター</x:v>
      </x:c>
      <x:c r="L228" s="88" t="n">
        <x:v>4850</x:v>
      </x:c>
      <x:c r="M228" s="91" t="str">
        <x:v>現役確認済</x:v>
      </x:c>
      <x:c r="N228" s="91" t="str">
        <x:v>https://en.wikipedia.org/wiki/Liam_Slock</x:v>
      </x:c>
    </x:row>
    <x:row r="229" ht="22" customHeight="1">
      <x:c r="A229" s="82" t="n">
        <x:v>225</x:v>
      </x:c>
      <x:c r="B229" s="82" t="str">
        <x:v>Artem Shmidt</x:v>
      </x:c>
      <x:c r="C229" s="82" t="str"/>
      <x:c r="D229" s="82" t="str">
        <x:v>アメリカ</x:v>
      </x:c>
      <x:c r="E229" s="82" t="str">
        <x:v>Netcompany INEOS Cycling Team</x:v>
      </x:c>
      <x:c r="F229" s="82" t="str">
        <x:v>TT・ルーラー型</x:v>
      </x:c>
      <x:c r="G229" s="85" t="str">
        <x:v>クライマー</x:v>
      </x:c>
      <x:c r="H229" s="85" t="n">
        <x:v>69</x:v>
      </x:c>
      <x:c r="I229" s="91" t="n">
        <x:v>78</x:v>
      </x:c>
      <x:c r="J229" s="91" t="str">
        <x:v>山岳賞ハンター / 平坦アシスト / 平坦ペースメーカー / TT牽引 / ブレイクアウェイキラー</x:v>
      </x:c>
      <x:c r="K229" s="91" t="str">
        <x:v>TT・ルーラー型 / クライマー</x:v>
      </x:c>
      <x:c r="L229" s="88" t="n">
        <x:v>4700</x:v>
      </x:c>
      <x:c r="M229" s="91" t="str">
        <x:v>現役確認済</x:v>
      </x:c>
      <x:c r="N229" s="91" t="str">
        <x:v>https://en.wikipedia.org/wiki/Artem_Shmidt</x:v>
      </x:c>
    </x:row>
    <x:row r="230" ht="22" customHeight="1">
      <x:c r="A230" s="82" t="n">
        <x:v>226</x:v>
      </x:c>
      <x:c r="B230" s="82" t="str">
        <x:v>Kamil Gradek</x:v>
      </x:c>
      <x:c r="C230" s="82" t="str"/>
      <x:c r="D230" s="82" t="str">
        <x:v>ポーランド</x:v>
      </x:c>
      <x:c r="E230" s="82" t="str">
        <x:v>Team Bahrain Victorious</x:v>
      </x:c>
      <x:c r="F230" s="82" t="str">
        <x:v>TT・ルーラー型</x:v>
      </x:c>
      <x:c r="G230" s="85" t="str">
        <x:v>総合型</x:v>
      </x:c>
      <x:c r="H230" s="85" t="n">
        <x:v>69</x:v>
      </x:c>
      <x:c r="I230" s="91" t="n">
        <x:v>78</x:v>
      </x:c>
      <x:c r="J230" s="91" t="str">
        <x:v>平坦アシスト / TT牽引 / 集団コントローラー / ブレイクアウェイキラー</x:v>
      </x:c>
      <x:c r="K230" s="91" t="str">
        <x:v>TT・ルーラー型 / 総合型</x:v>
      </x:c>
      <x:c r="L230" s="88" t="n">
        <x:v>4500</x:v>
      </x:c>
      <x:c r="M230" s="91" t="str">
        <x:v>現役確認済</x:v>
      </x:c>
      <x:c r="N230" s="91" t="str">
        <x:v>https://en.wikipedia.org/wiki/Kamil_Gradek</x:v>
      </x:c>
    </x:row>
    <x:row r="231" ht="22" customHeight="1">
      <x:c r="A231" s="82" t="n">
        <x:v>227</x:v>
      </x:c>
      <x:c r="B231" s="82" t="str">
        <x:v>Francesco Busatto</x:v>
      </x:c>
      <x:c r="C231" s="82" t="str"/>
      <x:c r="D231" s="82" t="str">
        <x:v>イタリア</x:v>
      </x:c>
      <x:c r="E231" s="82" t="str">
        <x:v>Alpecin–Premier Tech</x:v>
      </x:c>
      <x:c r="F231" s="82" t="str">
        <x:v>TT・ルーラー型</x:v>
      </x:c>
      <x:c r="G231" s="85" t="str">
        <x:v>総合型</x:v>
      </x:c>
      <x:c r="H231" s="85" t="n">
        <x:v>69</x:v>
      </x:c>
      <x:c r="I231" s="91" t="n">
        <x:v>76</x:v>
      </x:c>
      <x:c r="J231" s="91" t="str">
        <x:v>TTスペシャリスト / 平坦アシスト / 平坦ペースメーカー / 集団コントローラー / ブレイクアウェイキラー</x:v>
      </x:c>
      <x:c r="K231" s="91" t="str">
        <x:v>TT・ルーラー型 / 総合型</x:v>
      </x:c>
      <x:c r="L231" s="88" t="n">
        <x:v>4400</x:v>
      </x:c>
      <x:c r="M231" s="91" t="str">
        <x:v>現役確認済</x:v>
      </x:c>
      <x:c r="N231" s="91" t="str">
        <x:v>https://en.wikipedia.org/wiki/Francesco_Busatto</x:v>
      </x:c>
    </x:row>
    <x:row r="232" ht="22" customHeight="1">
      <x:c r="A232" s="82" t="n">
        <x:v>228</x:v>
      </x:c>
      <x:c r="B232" s="82" t="str">
        <x:v>Juan Pedro López</x:v>
      </x:c>
      <x:c r="C232" s="82" t="str"/>
      <x:c r="D232" s="82" t="str">
        <x:v>スペイン</x:v>
      </x:c>
      <x:c r="E232" s="82" t="str">
        <x:v>Movistar Team</x:v>
      </x:c>
      <x:c r="F232" s="82" t="str">
        <x:v>クライマー</x:v>
      </x:c>
      <x:c r="G232" s="85" t="str">
        <x:v>クラシック型</x:v>
      </x:c>
      <x:c r="H232" s="85" t="n">
        <x:v>69</x:v>
      </x:c>
      <x:c r="I232" s="91" t="n">
        <x:v>72</x:v>
      </x:c>
      <x:c r="J232" s="91" t="str">
        <x:v>山岳賞ハンター / 山岳アシスト</x:v>
      </x:c>
      <x:c r="K232" s="91" t="str">
        <x:v>クライマー / クラシック型</x:v>
      </x:c>
      <x:c r="L232" s="88" t="n">
        <x:v>4100</x:v>
      </x:c>
      <x:c r="M232" s="91" t="str">
        <x:v>現役確認済</x:v>
      </x:c>
      <x:c r="N232" s="91" t="str">
        <x:v>https://en.wikipedia.org/wiki/Juan_Pedro_L%C3%B3pez</x:v>
      </x:c>
    </x:row>
    <x:row r="233" ht="22" customHeight="1">
      <x:c r="A233" s="82" t="n">
        <x:v>229</x:v>
      </x:c>
      <x:c r="B233" s="82" t="str">
        <x:v>Jakob Omrzel</x:v>
      </x:c>
      <x:c r="C233" s="82" t="str"/>
      <x:c r="D233" s="82" t="str">
        <x:v>スロベニア</x:v>
      </x:c>
      <x:c r="E233" s="82" t="str">
        <x:v>Team Bahrain Victorious</x:v>
      </x:c>
      <x:c r="F233" s="82" t="str">
        <x:v>クラシック型</x:v>
      </x:c>
      <x:c r="G233" s="85" t="str">
        <x:v>総合型</x:v>
      </x:c>
      <x:c r="H233" s="85" t="n">
        <x:v>69</x:v>
      </x:c>
      <x:c r="I233" s="91" t="n">
        <x:v>73</x:v>
      </x:c>
      <x:c r="J233" s="91" t="str">
        <x:v>石畳護衛 / 集団コントローラー / ブレイクアウェイキラー / 逃げ屋 / 超ロングスパート</x:v>
      </x:c>
      <x:c r="K233" s="91" t="str">
        <x:v>クラシック型 / 総合型</x:v>
      </x:c>
      <x:c r="L233" s="88" t="n">
        <x:v>4050</x:v>
      </x:c>
      <x:c r="M233" s="91" t="str">
        <x:v>現役確認済</x:v>
      </x:c>
      <x:c r="N233" s="91" t="str">
        <x:v>https://en.wikipedia.org/wiki/Jakob_Omrzel</x:v>
      </x:c>
    </x:row>
    <x:row r="234" ht="22" customHeight="1">
      <x:c r="A234" s="82" t="n">
        <x:v>230</x:v>
      </x:c>
      <x:c r="B234" s="82" t="str">
        <x:v>Aurélien Paret-Peintre</x:v>
      </x:c>
      <x:c r="C234" s="82" t="str"/>
      <x:c r="D234" s="82" t="str">
        <x:v>フランス</x:v>
      </x:c>
      <x:c r="E234" s="82" t="str">
        <x:v>Decathlon–CMA CGM</x:v>
      </x:c>
      <x:c r="F234" s="82" t="str">
        <x:v>クライマー</x:v>
      </x:c>
      <x:c r="G234" s="85" t="str">
        <x:v>スプリンター</x:v>
      </x:c>
      <x:c r="H234" s="85" t="n">
        <x:v>69</x:v>
      </x:c>
      <x:c r="I234" s="91" t="n">
        <x:v>73</x:v>
      </x:c>
      <x:c r="J234" s="91" t="str">
        <x:v>山岳賞ハンター / スプリントトレイン / 山岳アシスト / 山岳ペースメーカー</x:v>
      </x:c>
      <x:c r="K234" s="91" t="str">
        <x:v>クライマー / スプリンター</x:v>
      </x:c>
      <x:c r="L234" s="88" t="n">
        <x:v>3950</x:v>
      </x:c>
      <x:c r="M234" s="91" t="str">
        <x:v>現役確認済</x:v>
      </x:c>
      <x:c r="N234" s="91" t="str">
        <x:v>https://en.wikipedia.org/wiki/Aur%C3%A9lien_Paret-Peintre</x:v>
      </x:c>
    </x:row>
    <x:row r="235" ht="22" customHeight="1">
      <x:c r="A235" s="82" t="n">
        <x:v>231</x:v>
      </x:c>
      <x:c r="B235" s="82" t="str">
        <x:v>Alastair Mackellar</x:v>
      </x:c>
      <x:c r="C235" s="82" t="str"/>
      <x:c r="D235" s="82" t="str">
        <x:v>オーストラリア</x:v>
      </x:c>
      <x:c r="E235" s="82" t="str">
        <x:v>EF Education–EasyPost</x:v>
      </x:c>
      <x:c r="F235" s="82" t="str">
        <x:v>クライマー</x:v>
      </x:c>
      <x:c r="G235" s="85" t="str">
        <x:v>スプリンター</x:v>
      </x:c>
      <x:c r="H235" s="85" t="n">
        <x:v>69</x:v>
      </x:c>
      <x:c r="I235" s="91" t="n">
        <x:v>72</x:v>
      </x:c>
      <x:c r="J235" s="91" t="str">
        <x:v>山岳賞ハンター / スプリントトレイン / 山岳アシスト / 山岳ペースメーカー</x:v>
      </x:c>
      <x:c r="K235" s="91" t="str">
        <x:v>クライマー / スプリンター</x:v>
      </x:c>
      <x:c r="L235" s="88" t="n">
        <x:v>3950</x:v>
      </x:c>
      <x:c r="M235" s="91" t="str">
        <x:v>現役確認済</x:v>
      </x:c>
      <x:c r="N235" s="91" t="str">
        <x:v>https://en.wikipedia.org/wiki/Alastair_MacKellar</x:v>
      </x:c>
    </x:row>
    <x:row r="236" ht="22" customHeight="1">
      <x:c r="A236" s="82" t="n">
        <x:v>232</x:v>
      </x:c>
      <x:c r="B236" s="82" t="str">
        <x:v>Brieuc Rolland</x:v>
      </x:c>
      <x:c r="C236" s="82" t="str"/>
      <x:c r="D236" s="82" t="str">
        <x:v>フランス</x:v>
      </x:c>
      <x:c r="E236" s="82" t="str">
        <x:v>Groupama–FDJ United</x:v>
      </x:c>
      <x:c r="F236" s="82" t="str">
        <x:v>クライマー</x:v>
      </x:c>
      <x:c r="G236" s="85" t="str">
        <x:v>パンチャー</x:v>
      </x:c>
      <x:c r="H236" s="85" t="n">
        <x:v>69</x:v>
      </x:c>
      <x:c r="I236" s="91" t="n">
        <x:v>73</x:v>
      </x:c>
      <x:c r="J236" s="91" t="str">
        <x:v>山岳賞ハンター / 山岳アシスト / 山岳ペースメーカー</x:v>
      </x:c>
      <x:c r="K236" s="91" t="str">
        <x:v>クライマー / パンチャー</x:v>
      </x:c>
      <x:c r="L236" s="88" t="n">
        <x:v>3750</x:v>
      </x:c>
      <x:c r="M236" s="91" t="str">
        <x:v>現役確認済</x:v>
      </x:c>
      <x:c r="N236" s="91" t="str">
        <x:v>https://en.wikipedia.org/wiki/Brieuc_Rolland</x:v>
      </x:c>
    </x:row>
    <x:row r="237" ht="22" customHeight="1">
      <x:c r="A237" s="82" t="n">
        <x:v>233</x:v>
      </x:c>
      <x:c r="B237" s="82" t="str">
        <x:v>Albert Withen Philipsen</x:v>
      </x:c>
      <x:c r="C237" s="82" t="str"/>
      <x:c r="D237" s="82" t="str">
        <x:v>デンマーク</x:v>
      </x:c>
      <x:c r="E237" s="82" t="str">
        <x:v>Lidl–Trek</x:v>
      </x:c>
      <x:c r="F237" s="82" t="str">
        <x:v>TT・ルーラー型</x:v>
      </x:c>
      <x:c r="G237" s="85" t="str">
        <x:v>クラシック型</x:v>
      </x:c>
      <x:c r="H237" s="85" t="n">
        <x:v>69</x:v>
      </x:c>
      <x:c r="I237" s="91" t="n">
        <x:v>75</x:v>
      </x:c>
      <x:c r="J237" s="91" t="str">
        <x:v>平坦ペースメーカー / TT牽引 / 集団コントローラー</x:v>
      </x:c>
      <x:c r="K237" s="91" t="str">
        <x:v>TT・ルーラー型 / クラシック型</x:v>
      </x:c>
      <x:c r="L237" s="88" t="n">
        <x:v>3700</x:v>
      </x:c>
      <x:c r="M237" s="91" t="str">
        <x:v>現役確認済</x:v>
      </x:c>
      <x:c r="N237" s="91" t="str">
        <x:v>https://en.wikipedia.org/wiki/List_of_2026_UCI_WorldTeams_and_riders</x:v>
      </x:c>
    </x:row>
    <x:row r="238" ht="22" customHeight="1">
      <x:c r="A238" s="82" t="n">
        <x:v>234</x:v>
      </x:c>
      <x:c r="B238" s="82" t="str">
        <x:v>Arjen Livyns</x:v>
      </x:c>
      <x:c r="C238" s="82" t="str"/>
      <x:c r="D238" s="82" t="str">
        <x:v>ベルギー</x:v>
      </x:c>
      <x:c r="E238" s="82" t="str">
        <x:v>XDS Astana Team</x:v>
      </x:c>
      <x:c r="F238" s="82" t="str">
        <x:v>パンチャー</x:v>
      </x:c>
      <x:c r="G238" s="85" t="str">
        <x:v>クラシック型</x:v>
      </x:c>
      <x:c r="H238" s="85" t="n">
        <x:v>69</x:v>
      </x:c>
      <x:c r="I238" s="91" t="n">
        <x:v>69</x:v>
      </x:c>
      <x:c r="J238" s="91" t="str">
        <x:v>ステージハンター</x:v>
      </x:c>
      <x:c r="K238" s="91" t="str">
        <x:v>パンチャー / クラシック型</x:v>
      </x:c>
      <x:c r="L238" s="88" t="n">
        <x:v>3550</x:v>
      </x:c>
      <x:c r="M238" s="91" t="str">
        <x:v>現役確認済</x:v>
      </x:c>
      <x:c r="N238" s="91" t="str">
        <x:v>https://en.wikipedia.org/wiki/Arjen_Livyns</x:v>
      </x:c>
    </x:row>
    <x:row r="239" ht="22" customHeight="1">
      <x:c r="A239" s="82" t="n">
        <x:v>235</x:v>
      </x:c>
      <x:c r="B239" s="82" t="str">
        <x:v>Loe van Belle</x:v>
      </x:c>
      <x:c r="C239" s="82" t="str"/>
      <x:c r="D239" s="82" t="str">
        <x:v>オランダ</x:v>
      </x:c>
      <x:c r="E239" s="82" t="str">
        <x:v>Visma–Lease a Bike</x:v>
      </x:c>
      <x:c r="F239" s="82" t="str">
        <x:v>パンチャー</x:v>
      </x:c>
      <x:c r="G239" s="85" t="str">
        <x:v>スプリンター</x:v>
      </x:c>
      <x:c r="H239" s="85" t="n">
        <x:v>69</x:v>
      </x:c>
      <x:c r="I239" s="91" t="n">
        <x:v>67</x:v>
      </x:c>
      <x:c r="J239" s="91" t="str">
        <x:v>ステージハンター / 山岳賞ハンター / スプリントトレイン</x:v>
      </x:c>
      <x:c r="K239" s="91" t="str">
        <x:v>パンチャー / スプリンター</x:v>
      </x:c>
      <x:c r="L239" s="88" t="n">
        <x:v>3500</x:v>
      </x:c>
      <x:c r="M239" s="91" t="str">
        <x:v>現役確認済</x:v>
      </x:c>
      <x:c r="N239" s="91" t="str">
        <x:v>https://en.wikipedia.org/wiki/Loe_van_Belle</x:v>
      </x:c>
    </x:row>
    <x:row r="240" ht="22" customHeight="1">
      <x:c r="A240" s="82" t="n">
        <x:v>236</x:v>
      </x:c>
      <x:c r="B240" s="82" t="str">
        <x:v>Florian Samuel Kajamini</x:v>
      </x:c>
      <x:c r="C240" s="82" t="str"/>
      <x:c r="D240" s="82" t="str">
        <x:v>イタリア</x:v>
      </x:c>
      <x:c r="E240" s="82" t="str">
        <x:v>XDS Astana Team</x:v>
      </x:c>
      <x:c r="F240" s="82" t="str">
        <x:v>パンチャー</x:v>
      </x:c>
      <x:c r="G240" s="85" t="str">
        <x:v>総合型</x:v>
      </x:c>
      <x:c r="H240" s="85" t="n">
        <x:v>69</x:v>
      </x:c>
      <x:c r="I240" s="91" t="n">
        <x:v>68</x:v>
      </x:c>
      <x:c r="J240" s="91" t="str">
        <x:v>ステージハンター / 山岳賞ハンター / 集団コントローラー</x:v>
      </x:c>
      <x:c r="K240" s="91" t="str">
        <x:v>パンチャー / 総合型</x:v>
      </x:c>
      <x:c r="L240" s="88" t="n">
        <x:v>3500</x:v>
      </x:c>
      <x:c r="M240" s="91" t="str">
        <x:v>現役確認済</x:v>
      </x:c>
      <x:c r="N240" s="91" t="str">
        <x:v>https://en.wikipedia.org/wiki/List_of_2026_UCI_WorldTeams_and_riders</x:v>
      </x:c>
    </x:row>
    <x:row r="241" ht="22" customHeight="1">
      <x:c r="A241" s="82" t="n">
        <x:v>237</x:v>
      </x:c>
      <x:c r="B241" s="82" t="str">
        <x:v>Davide De Pretto</x:v>
      </x:c>
      <x:c r="C241" s="82" t="str"/>
      <x:c r="D241" s="82" t="str">
        <x:v>イタリア</x:v>
      </x:c>
      <x:c r="E241" s="82" t="str">
        <x:v>Team Jayco–AlUla</x:v>
      </x:c>
      <x:c r="F241" s="82" t="str">
        <x:v>パンチャー</x:v>
      </x:c>
      <x:c r="G241" s="85" t="str">
        <x:v>スプリンター</x:v>
      </x:c>
      <x:c r="H241" s="85" t="n">
        <x:v>69</x:v>
      </x:c>
      <x:c r="I241" s="91" t="n">
        <x:v>66</x:v>
      </x:c>
      <x:c r="J241" s="91" t="str">
        <x:v>ステージハンター / スプリントトレイン</x:v>
      </x:c>
      <x:c r="K241" s="91" t="str">
        <x:v>パンチャー / スプリンター</x:v>
      </x:c>
      <x:c r="L241" s="88" t="n">
        <x:v>3500</x:v>
      </x:c>
      <x:c r="M241" s="91" t="str">
        <x:v>現役確認済</x:v>
      </x:c>
      <x:c r="N241" s="91" t="str">
        <x:v>https://en.wikipedia.org/wiki/Davide_De_Pretto</x:v>
      </x:c>
    </x:row>
    <x:row r="242" ht="22" customHeight="1">
      <x:c r="A242" s="82" t="n">
        <x:v>238</x:v>
      </x:c>
      <x:c r="B242" s="82" t="str">
        <x:v>Gil Gelders</x:v>
      </x:c>
      <x:c r="C242" s="82" t="str"/>
      <x:c r="D242" s="82" t="str">
        <x:v>ベルギー</x:v>
      </x:c>
      <x:c r="E242" s="82" t="str">
        <x:v>Soudal–Quick-Step</x:v>
      </x:c>
      <x:c r="F242" s="82" t="str">
        <x:v>総合型</x:v>
      </x:c>
      <x:c r="G242" s="85" t="str">
        <x:v>スプリンター</x:v>
      </x:c>
      <x:c r="H242" s="85" t="n">
        <x:v>69</x:v>
      </x:c>
      <x:c r="I242" s="91" t="n">
        <x:v>69</x:v>
      </x:c>
      <x:c r="J242" s="91" t="str">
        <x:v>ロードキャプテン / 山岳賞ハンター / スプリントトレイン / 山岳アシスト</x:v>
      </x:c>
      <x:c r="K242" s="91" t="str">
        <x:v>総合型 / スプリンター</x:v>
      </x:c>
      <x:c r="L242" s="88" t="n">
        <x:v>3500</x:v>
      </x:c>
      <x:c r="M242" s="91" t="str">
        <x:v>現役確認済</x:v>
      </x:c>
      <x:c r="N242" s="91" t="str">
        <x:v>https://en.wikipedia.org/wiki/Gil_Gelders</x:v>
      </x:c>
    </x:row>
    <x:row r="243" ht="22" customHeight="1">
      <x:c r="A243" s="82" t="n">
        <x:v>239</x:v>
      </x:c>
      <x:c r="B243" s="82" t="str">
        <x:v>Clément Berthet</x:v>
      </x:c>
      <x:c r="C243" s="82" t="str"/>
      <x:c r="D243" s="82" t="str">
        <x:v>フランス</x:v>
      </x:c>
      <x:c r="E243" s="82" t="str">
        <x:v>Groupama–FDJ United</x:v>
      </x:c>
      <x:c r="F243" s="82" t="str">
        <x:v>パンチャー</x:v>
      </x:c>
      <x:c r="G243" s="85" t="str">
        <x:v>総合型</x:v>
      </x:c>
      <x:c r="H243" s="85" t="n">
        <x:v>69</x:v>
      </x:c>
      <x:c r="I243" s="91" t="n">
        <x:v>67</x:v>
      </x:c>
      <x:c r="J243" s="91" t="str">
        <x:v>ステージハンター / 下り牽引 / 集団コントローラー</x:v>
      </x:c>
      <x:c r="K243" s="91" t="str">
        <x:v>パンチャー / 総合型</x:v>
      </x:c>
      <x:c r="L243" s="88" t="n">
        <x:v>3400</x:v>
      </x:c>
      <x:c r="M243" s="91" t="str">
        <x:v>現役確認済</x:v>
      </x:c>
      <x:c r="N243" s="91" t="str">
        <x:v>https://en.wikipedia.org/wiki/Cl%C3%A9ment_Berthet</x:v>
      </x:c>
    </x:row>
    <x:row r="244" ht="22" customHeight="1">
      <x:c r="A244" s="82" t="n">
        <x:v>240</x:v>
      </x:c>
      <x:c r="B244" s="82" t="str">
        <x:v>Dillon Corkery</x:v>
      </x:c>
      <x:c r="C244" s="82" t="str"/>
      <x:c r="D244" s="82" t="str">
        <x:v>アイルランド</x:v>
      </x:c>
      <x:c r="E244" s="82" t="str">
        <x:v>Team Picnic–PostNL</x:v>
      </x:c>
      <x:c r="F244" s="82" t="str">
        <x:v>スプリンター</x:v>
      </x:c>
      <x:c r="G244" s="85" t="str">
        <x:v>総合型</x:v>
      </x:c>
      <x:c r="H244" s="85" t="n">
        <x:v>69</x:v>
      </x:c>
      <x:c r="I244" s="91" t="n">
        <x:v>65</x:v>
      </x:c>
      <x:c r="J244" s="91" t="str">
        <x:v>ロードキャプテン / リードアウト / 下り牽引 / 集団コントローラー / 無賃乗車</x:v>
      </x:c>
      <x:c r="K244" s="91" t="str">
        <x:v>スプリンター / 総合型</x:v>
      </x:c>
      <x:c r="L244" s="88" t="n">
        <x:v>3200</x:v>
      </x:c>
      <x:c r="M244" s="91" t="str">
        <x:v>現役確認済</x:v>
      </x:c>
      <x:c r="N244" s="91" t="str">
        <x:v>https://en.wikipedia.org/wiki/Dillon_Corkery</x:v>
      </x:c>
    </x:row>
    <x:row r="245" ht="22" customHeight="1">
      <x:c r="A245" s="82" t="n">
        <x:v>241</x:v>
      </x:c>
      <x:c r="B245" s="82" t="str">
        <x:v>Casper Pedersen</x:v>
      </x:c>
      <x:c r="C245" s="82" t="str"/>
      <x:c r="D245" s="82" t="str">
        <x:v>デンマーク</x:v>
      </x:c>
      <x:c r="E245" s="82" t="str">
        <x:v>Soudal–Quick-Step</x:v>
      </x:c>
      <x:c r="F245" s="82" t="str">
        <x:v>TT・ルーラー型</x:v>
      </x:c>
      <x:c r="G245" s="85" t="str">
        <x:v>総合型</x:v>
      </x:c>
      <x:c r="H245" s="85" t="n">
        <x:v>68</x:v>
      </x:c>
      <x:c r="I245" s="91" t="n">
        <x:v>77</x:v>
      </x:c>
      <x:c r="J245" s="91" t="str">
        <x:v>平坦アシスト / TT牽引 / 集団コントローラー / ブレイクアウェイキラー</x:v>
      </x:c>
      <x:c r="K245" s="91" t="str">
        <x:v>TT・ルーラー型 / 総合型</x:v>
      </x:c>
      <x:c r="L245" s="88" t="n">
        <x:v>4850</x:v>
      </x:c>
      <x:c r="M245" s="91" t="str">
        <x:v>現役確認済</x:v>
      </x:c>
      <x:c r="N245" s="91" t="str">
        <x:v>https://en.wikipedia.org/wiki/Casper_Pedersen</x:v>
      </x:c>
    </x:row>
    <x:row r="246" ht="22" customHeight="1">
      <x:c r="A246" s="82" t="n">
        <x:v>242</x:v>
      </x:c>
      <x:c r="B246" s="82" t="str">
        <x:v>Christopher Juul-Jensen</x:v>
      </x:c>
      <x:c r="C246" s="82" t="str"/>
      <x:c r="D246" s="82" t="str">
        <x:v>デンマーク</x:v>
      </x:c>
      <x:c r="E246" s="82" t="str">
        <x:v>Team Jayco–AlUla</x:v>
      </x:c>
      <x:c r="F246" s="82" t="str">
        <x:v>TT・ルーラー型</x:v>
      </x:c>
      <x:c r="G246" s="85" t="str">
        <x:v>スプリンター</x:v>
      </x:c>
      <x:c r="H246" s="85" t="n">
        <x:v>68</x:v>
      </x:c>
      <x:c r="I246" s="91" t="n">
        <x:v>78</x:v>
      </x:c>
      <x:c r="J246" s="91" t="str">
        <x:v>スプリントトレイン / 平坦アシスト / 平坦ペースメーカー / TT牽引 / ブレイクアウェイキラー</x:v>
      </x:c>
      <x:c r="K246" s="91" t="str">
        <x:v>TT・ルーラー型 / スプリンター</x:v>
      </x:c>
      <x:c r="L246" s="88" t="n">
        <x:v>4750</x:v>
      </x:c>
      <x:c r="M246" s="91" t="str">
        <x:v>現役確認済</x:v>
      </x:c>
      <x:c r="N246" s="91" t="str">
        <x:v>https://en.wikipedia.org/wiki/Christopher_Juul-Jensen</x:v>
      </x:c>
    </x:row>
    <x:row r="247" ht="22" customHeight="1">
      <x:c r="A247" s="82" t="n">
        <x:v>243</x:v>
      </x:c>
      <x:c r="B247" s="82" t="str">
        <x:v>Felix Engelhardt</x:v>
      </x:c>
      <x:c r="C247" s="82" t="str"/>
      <x:c r="D247" s="82" t="str">
        <x:v>ドイツ</x:v>
      </x:c>
      <x:c r="E247" s="82" t="str">
        <x:v>Team Jayco–AlUla</x:v>
      </x:c>
      <x:c r="F247" s="82" t="str">
        <x:v>TT・ルーラー型</x:v>
      </x:c>
      <x:c r="G247" s="85" t="str">
        <x:v>総合型</x:v>
      </x:c>
      <x:c r="H247" s="85" t="n">
        <x:v>68</x:v>
      </x:c>
      <x:c r="I247" s="91" t="n">
        <x:v>75</x:v>
      </x:c>
      <x:c r="J247" s="91" t="str">
        <x:v>TT牽引 / 集団コントローラー / ブレイクアウェイキラー / 横風分断</x:v>
      </x:c>
      <x:c r="K247" s="91" t="str">
        <x:v>TT・ルーラー型 / 総合型</x:v>
      </x:c>
      <x:c r="L247" s="88" t="n">
        <x:v>4150</x:v>
      </x:c>
      <x:c r="M247" s="91" t="str">
        <x:v>現役確認済</x:v>
      </x:c>
      <x:c r="N247" s="91" t="str">
        <x:v>https://en.wikipedia.org/wiki/Felix_Engelhardt</x:v>
      </x:c>
    </x:row>
    <x:row r="248" ht="22" customHeight="1">
      <x:c r="A248" s="82" t="n">
        <x:v>244</x:v>
      </x:c>
      <x:c r="B248" s="82" t="str">
        <x:v>Jenno Berckmoes</x:v>
      </x:c>
      <x:c r="C248" s="82" t="str"/>
      <x:c r="D248" s="82" t="str">
        <x:v>ベルギー</x:v>
      </x:c>
      <x:c r="E248" s="82" t="str">
        <x:v>Lotto–Intermarché</x:v>
      </x:c>
      <x:c r="F248" s="82" t="str">
        <x:v>クラシック型</x:v>
      </x:c>
      <x:c r="G248" s="85" t="str">
        <x:v>スプリンター</x:v>
      </x:c>
      <x:c r="H248" s="85" t="n">
        <x:v>68</x:v>
      </x:c>
      <x:c r="I248" s="91" t="n">
        <x:v>73</x:v>
      </x:c>
      <x:c r="J248" s="91" t="str">
        <x:v>スプリントトレイン / 石畳護衛 / 横風分断</x:v>
      </x:c>
      <x:c r="K248" s="91" t="str">
        <x:v>クラシック型 / スプリンター</x:v>
      </x:c>
      <x:c r="L248" s="88" t="n">
        <x:v>3900</x:v>
      </x:c>
      <x:c r="M248" s="91" t="str">
        <x:v>現役確認済</x:v>
      </x:c>
      <x:c r="N248" s="91" t="str">
        <x:v>https://en.wikipedia.org/wiki/Jenno_Berckmoes</x:v>
      </x:c>
    </x:row>
    <x:row r="249" ht="22" customHeight="1">
      <x:c r="A249" s="82" t="n">
        <x:v>245</x:v>
      </x:c>
      <x:c r="B249" s="82" t="str">
        <x:v>Jakob Söderqvist</x:v>
      </x:c>
      <x:c r="C249" s="82" t="str"/>
      <x:c r="D249" s="82" t="str">
        <x:v>SWE</x:v>
      </x:c>
      <x:c r="E249" s="82" t="str">
        <x:v>Lidl–Trek</x:v>
      </x:c>
      <x:c r="F249" s="82" t="str">
        <x:v>TT・ルーラー型</x:v>
      </x:c>
      <x:c r="G249" s="85" t="str">
        <x:v>クライマー</x:v>
      </x:c>
      <x:c r="H249" s="85" t="n">
        <x:v>68</x:v>
      </x:c>
      <x:c r="I249" s="91" t="n">
        <x:v>75</x:v>
      </x:c>
      <x:c r="J249" s="91" t="str">
        <x:v>山岳賞ハンター / TT牽引 / 集団コントローラー</x:v>
      </x:c>
      <x:c r="K249" s="91" t="str">
        <x:v>TT・ルーラー型 / クライマー</x:v>
      </x:c>
      <x:c r="L249" s="88" t="n">
        <x:v>3750</x:v>
      </x:c>
      <x:c r="M249" s="91" t="str">
        <x:v>現役確認済</x:v>
      </x:c>
      <x:c r="N249" s="91" t="str">
        <x:v>https://en.wikipedia.org/wiki/Jakob_S%C3%B6derqvist</x:v>
      </x:c>
    </x:row>
    <x:row r="250" ht="22" customHeight="1">
      <x:c r="A250" s="82" t="n">
        <x:v>246</x:v>
      </x:c>
      <x:c r="B250" s="82" t="str">
        <x:v>Johannes Kulset</x:v>
      </x:c>
      <x:c r="C250" s="82" t="str"/>
      <x:c r="D250" s="82" t="str">
        <x:v>ノルウェー</x:v>
      </x:c>
      <x:c r="E250" s="82" t="str">
        <x:v>Uno-X Mobility</x:v>
      </x:c>
      <x:c r="F250" s="82" t="str">
        <x:v>クライマー</x:v>
      </x:c>
      <x:c r="G250" s="85" t="str">
        <x:v>総合型</x:v>
      </x:c>
      <x:c r="H250" s="85" t="n">
        <x:v>68</x:v>
      </x:c>
      <x:c r="I250" s="91" t="n">
        <x:v>72</x:v>
      </x:c>
      <x:c r="J250" s="91" t="str">
        <x:v>山岳賞ハンター / 山岳アシスト / 集団コントローラー</x:v>
      </x:c>
      <x:c r="K250" s="91" t="str">
        <x:v>クライマー / 総合型</x:v>
      </x:c>
      <x:c r="L250" s="88" t="n">
        <x:v>3600</x:v>
      </x:c>
      <x:c r="M250" s="91" t="str">
        <x:v>現役確認済</x:v>
      </x:c>
      <x:c r="N250" s="91" t="str">
        <x:v>https://en.wikipedia.org/wiki/Johannes_Kulset</x:v>
      </x:c>
    </x:row>
    <x:row r="251" ht="22" customHeight="1">
      <x:c r="A251" s="82" t="n">
        <x:v>247</x:v>
      </x:c>
      <x:c r="B251" s="82" t="str">
        <x:v>Archie Ryan (cyclist)</x:v>
      </x:c>
      <x:c r="C251" s="82" t="str"/>
      <x:c r="D251" s="82" t="str">
        <x:v>アイルランド</x:v>
      </x:c>
      <x:c r="E251" s="82" t="str">
        <x:v>EF Education–EasyPost</x:v>
      </x:c>
      <x:c r="F251" s="82" t="str">
        <x:v>クライマー</x:v>
      </x:c>
      <x:c r="G251" s="85" t="str">
        <x:v>総合型</x:v>
      </x:c>
      <x:c r="H251" s="85" t="n">
        <x:v>68</x:v>
      </x:c>
      <x:c r="I251" s="91" t="n">
        <x:v>70</x:v>
      </x:c>
      <x:c r="J251" s="91" t="str">
        <x:v>山岳賞ハンター / 山岳アシスト / 山岳番手 / 集団コントローラー</x:v>
      </x:c>
      <x:c r="K251" s="91" t="str">
        <x:v>クライマー / 総合型</x:v>
      </x:c>
      <x:c r="L251" s="88" t="n">
        <x:v>3500</x:v>
      </x:c>
      <x:c r="M251" s="91" t="str">
        <x:v>現役確認済</x:v>
      </x:c>
      <x:c r="N251" s="91" t="str">
        <x:v>https://en.wikipedia.org/wiki/Archie_Ryan_(cyclist)</x:v>
      </x:c>
    </x:row>
    <x:row r="252" ht="22" customHeight="1">
      <x:c r="A252" s="82" t="n">
        <x:v>248</x:v>
      </x:c>
      <x:c r="B252" s="82" t="str">
        <x:v>Josh Kench</x:v>
      </x:c>
      <x:c r="C252" s="82" t="str"/>
      <x:c r="D252" s="82" t="str">
        <x:v>ニュージーランド</x:v>
      </x:c>
      <x:c r="E252" s="82" t="str">
        <x:v>Groupama–FDJ United</x:v>
      </x:c>
      <x:c r="F252" s="82" t="str">
        <x:v>クラシック型</x:v>
      </x:c>
      <x:c r="G252" s="85" t="str">
        <x:v>TT・ルーラー型</x:v>
      </x:c>
      <x:c r="H252" s="85" t="n">
        <x:v>68</x:v>
      </x:c>
      <x:c r="I252" s="91" t="n">
        <x:v>72</x:v>
      </x:c>
      <x:c r="J252" s="91" t="str">
        <x:v>石畳護衛</x:v>
      </x:c>
      <x:c r="K252" s="91" t="str">
        <x:v>クラシック型 / TT・ルーラー型</x:v>
      </x:c>
      <x:c r="L252" s="88" t="n">
        <x:v>3350</x:v>
      </x:c>
      <x:c r="M252" s="91" t="str">
        <x:v>現役確認済</x:v>
      </x:c>
      <x:c r="N252" s="91" t="str">
        <x:v>https://en.wikipedia.org/wiki/Josh_Kench</x:v>
      </x:c>
    </x:row>
    <x:row r="253" ht="22" customHeight="1">
      <x:c r="A253" s="82" t="n">
        <x:v>249</x:v>
      </x:c>
      <x:c r="B253" s="82" t="str">
        <x:v>Floris Van Tricht</x:v>
      </x:c>
      <x:c r="C253" s="82" t="str"/>
      <x:c r="D253" s="82" t="str">
        <x:v>ベルギー</x:v>
      </x:c>
      <x:c r="E253" s="82" t="str">
        <x:v>NSN Cycling Team</x:v>
      </x:c>
      <x:c r="F253" s="82" t="str">
        <x:v>スプリンター</x:v>
      </x:c>
      <x:c r="G253" s="85" t="str">
        <x:v>クライマー</x:v>
      </x:c>
      <x:c r="H253" s="85" t="n">
        <x:v>68</x:v>
      </x:c>
      <x:c r="I253" s="91" t="n">
        <x:v>63</x:v>
      </x:c>
      <x:c r="J253" s="91" t="str">
        <x:v>山岳賞ハンター / リードアウト / 下り牽引</x:v>
      </x:c>
      <x:c r="K253" s="91" t="str">
        <x:v>スプリンター / クライマー</x:v>
      </x:c>
      <x:c r="L253" s="88" t="n">
        <x:v>2850</x:v>
      </x:c>
      <x:c r="M253" s="91" t="str">
        <x:v>現役確認済</x:v>
      </x:c>
      <x:c r="N253" s="91" t="str">
        <x:v>https://en.wikipedia.org/wiki/Floris_Van_Tricht</x:v>
      </x:c>
    </x:row>
    <x:row r="254" ht="22" customHeight="1">
      <x:c r="A254" s="82" t="n">
        <x:v>250</x:v>
      </x:c>
      <x:c r="B254" s="82" t="str">
        <x:v>Bart Lemmen</x:v>
      </x:c>
      <x:c r="C254" s="82" t="str"/>
      <x:c r="D254" s="82" t="str">
        <x:v>オランダ</x:v>
      </x:c>
      <x:c r="E254" s="82" t="str">
        <x:v>Visma–Lease a Bike</x:v>
      </x:c>
      <x:c r="F254" s="82" t="str">
        <x:v>TT・ルーラー型</x:v>
      </x:c>
      <x:c r="G254" s="85" t="str">
        <x:v>クラシック型</x:v>
      </x:c>
      <x:c r="H254" s="85" t="n">
        <x:v>67</x:v>
      </x:c>
      <x:c r="I254" s="91" t="n">
        <x:v>77</x:v>
      </x:c>
      <x:c r="J254" s="91" t="str">
        <x:v>TTスペシャリスト / 平坦アシスト / 集団コントローラー / ブレイクアウェイキラー / 横風要員 / 逃げ屋</x:v>
      </x:c>
      <x:c r="K254" s="91" t="str">
        <x:v>TT・ルーラー型 / クラシック型</x:v>
      </x:c>
      <x:c r="L254" s="88" t="n">
        <x:v>4800</x:v>
      </x:c>
      <x:c r="M254" s="91" t="str">
        <x:v>現役確認済</x:v>
      </x:c>
      <x:c r="N254" s="91" t="str">
        <x:v>https://en.wikipedia.org/wiki/Bart_Lemmen</x:v>
      </x:c>
    </x:row>
    <x:row r="255" ht="22" customHeight="1">
      <x:c r="A255" s="82" t="n">
        <x:v>251</x:v>
      </x:c>
      <x:c r="B255" s="82" t="str">
        <x:v>Davide Piganzoli</x:v>
      </x:c>
      <x:c r="C255" s="82" t="str"/>
      <x:c r="D255" s="82" t="str">
        <x:v>イタリア</x:v>
      </x:c>
      <x:c r="E255" s="82" t="str">
        <x:v>Visma–Lease a Bike</x:v>
      </x:c>
      <x:c r="F255" s="82" t="str">
        <x:v>TT・ルーラー型</x:v>
      </x:c>
      <x:c r="G255" s="85" t="str">
        <x:v>総合型</x:v>
      </x:c>
      <x:c r="H255" s="85" t="n">
        <x:v>67</x:v>
      </x:c>
      <x:c r="I255" s="91" t="n">
        <x:v>77</x:v>
      </x:c>
      <x:c r="J255" s="91" t="str">
        <x:v>平坦アシスト / TT牽引 / 集団コントローラー / ポジションキーパー</x:v>
      </x:c>
      <x:c r="K255" s="91" t="str">
        <x:v>TT・ルーラー型 / 総合型</x:v>
      </x:c>
      <x:c r="L255" s="88" t="n">
        <x:v>3900</x:v>
      </x:c>
      <x:c r="M255" s="91" t="str">
        <x:v>現役確認済</x:v>
      </x:c>
      <x:c r="N255" s="91" t="str">
        <x:v>https://en.wikipedia.org/wiki/Davide_Piganzoli</x:v>
      </x:c>
    </x:row>
    <x:row r="256" ht="22" customHeight="1">
      <x:c r="A256" s="82" t="n">
        <x:v>252</x:v>
      </x:c>
      <x:c r="B256" s="82" t="str">
        <x:v>Harold Martín López</x:v>
      </x:c>
      <x:c r="C256" s="82" t="str"/>
      <x:c r="D256" s="82" t="str">
        <x:v>エクアドル</x:v>
      </x:c>
      <x:c r="E256" s="82" t="str">
        <x:v>XDS Astana Team</x:v>
      </x:c>
      <x:c r="F256" s="82" t="str">
        <x:v>クライマー</x:v>
      </x:c>
      <x:c r="G256" s="85" t="str">
        <x:v>TT・ルーラー型</x:v>
      </x:c>
      <x:c r="H256" s="85" t="n">
        <x:v>67</x:v>
      </x:c>
      <x:c r="I256" s="91" t="n">
        <x:v>71</x:v>
      </x:c>
      <x:c r="J256" s="91" t="str">
        <x:v>山岳賞ハンター / 山岳アシスト</x:v>
      </x:c>
      <x:c r="K256" s="91" t="str">
        <x:v>クライマー / TT・ルーラー型</x:v>
      </x:c>
      <x:c r="L256" s="88" t="n">
        <x:v>3450</x:v>
      </x:c>
      <x:c r="M256" s="91" t="str">
        <x:v>現役確認済</x:v>
      </x:c>
      <x:c r="N256" s="91" t="str">
        <x:v>https://en.wikipedia.org/wiki/Harold_Mart%C3%ADn_L%C3%B3pez</x:v>
      </x:c>
    </x:row>
    <x:row r="257" ht="22" customHeight="1">
      <x:c r="A257" s="82" t="n">
        <x:v>253</x:v>
      </x:c>
      <x:c r="B257" s="82" t="str">
        <x:v>Henri-François Renard-Haquin</x:v>
      </x:c>
      <x:c r="C257" s="82" t="str"/>
      <x:c r="D257" s="82" t="str">
        <x:v>フランス</x:v>
      </x:c>
      <x:c r="E257" s="82" t="str">
        <x:v>Team Picnic–PostNL</x:v>
      </x:c>
      <x:c r="F257" s="82" t="str">
        <x:v>クラシック型</x:v>
      </x:c>
      <x:c r="G257" s="85" t="str">
        <x:v>クライマー</x:v>
      </x:c>
      <x:c r="H257" s="85" t="n">
        <x:v>67</x:v>
      </x:c>
      <x:c r="I257" s="91" t="n">
        <x:v>70</x:v>
      </x:c>
      <x:c r="J257" s="91" t="str">
        <x:v>山岳賞ハンター / 石畳護衛 / 下り牽引</x:v>
      </x:c>
      <x:c r="K257" s="91" t="str">
        <x:v>クラシック型 / クライマー</x:v>
      </x:c>
      <x:c r="L257" s="88" t="n">
        <x:v>3350</x:v>
      </x:c>
      <x:c r="M257" s="91" t="str">
        <x:v>現役確認済</x:v>
      </x:c>
      <x:c r="N257" s="91" t="str">
        <x:v>https://en.wikipedia.org/wiki/Henri-Fran%C3%A7ois_Renard-Haquin</x:v>
      </x:c>
    </x:row>
    <x:row r="258" ht="22" customHeight="1">
      <x:c r="A258" s="82" t="n">
        <x:v>254</x:v>
      </x:c>
      <x:c r="B258" s="82" t="str">
        <x:v>Lennert Belmans</x:v>
      </x:c>
      <x:c r="C258" s="82" t="str"/>
      <x:c r="D258" s="82" t="str">
        <x:v>ベルギー</x:v>
      </x:c>
      <x:c r="E258" s="82" t="str">
        <x:v>Alpecin–Premier Tech</x:v>
      </x:c>
      <x:c r="F258" s="82" t="str">
        <x:v>クラシック型</x:v>
      </x:c>
      <x:c r="G258" s="85" t="str">
        <x:v>TT・ルーラー型</x:v>
      </x:c>
      <x:c r="H258" s="85" t="n">
        <x:v>67</x:v>
      </x:c>
      <x:c r="I258" s="91" t="n">
        <x:v>71</x:v>
      </x:c>
      <x:c r="J258" s="91" t="str">
        <x:v>石畳護衛 / 集団コントローラー</x:v>
      </x:c>
      <x:c r="K258" s="91" t="str">
        <x:v>クラシック型 / TT・ルーラー型</x:v>
      </x:c>
      <x:c r="L258" s="88" t="n">
        <x:v>3300</x:v>
      </x:c>
      <x:c r="M258" s="91" t="str">
        <x:v>現役確認済</x:v>
      </x:c>
      <x:c r="N258" s="91" t="str">
        <x:v>https://en.wikipedia.org/wiki/Lennert_Belmans</x:v>
      </x:c>
    </x:row>
    <x:row r="259" ht="22" customHeight="1">
      <x:c r="A259" s="82" t="n">
        <x:v>255</x:v>
      </x:c>
      <x:c r="B259" s="82" t="str">
        <x:v>Bastien Tronchon</x:v>
      </x:c>
      <x:c r="C259" s="82" t="str"/>
      <x:c r="D259" s="82" t="str">
        <x:v>フランス</x:v>
      </x:c>
      <x:c r="E259" s="82" t="str">
        <x:v>Groupama–FDJ United</x:v>
      </x:c>
      <x:c r="F259" s="82" t="str">
        <x:v>パンチャー</x:v>
      </x:c>
      <x:c r="G259" s="85" t="str">
        <x:v>スプリンター</x:v>
      </x:c>
      <x:c r="H259" s="85" t="n">
        <x:v>67</x:v>
      </x:c>
      <x:c r="I259" s="91" t="n">
        <x:v>66</x:v>
      </x:c>
      <x:c r="J259" s="91" t="str">
        <x:v>ステージハンター / 山岳賞ハンター / スプリントトレイン</x:v>
      </x:c>
      <x:c r="K259" s="91" t="str">
        <x:v>パンチャー / スプリンター</x:v>
      </x:c>
      <x:c r="L259" s="88" t="n">
        <x:v>3300</x:v>
      </x:c>
      <x:c r="M259" s="91" t="str">
        <x:v>現役確認済</x:v>
      </x:c>
      <x:c r="N259" s="91" t="str">
        <x:v>https://en.wikipedia.org/wiki/Bastien_Tronchon</x:v>
      </x:c>
    </x:row>
    <x:row r="260" ht="22" customHeight="1">
      <x:c r="A260" s="82" t="n">
        <x:v>256</x:v>
      </x:c>
      <x:c r="B260" s="82" t="str">
        <x:v>Laurens De Plus</x:v>
      </x:c>
      <x:c r="C260" s="82" t="str"/>
      <x:c r="D260" s="82" t="str">
        <x:v>ベルギー</x:v>
      </x:c>
      <x:c r="E260" s="82" t="str">
        <x:v>Netcompany INEOS Cycling Team</x:v>
      </x:c>
      <x:c r="F260" s="82" t="str">
        <x:v>クライマー</x:v>
      </x:c>
      <x:c r="G260" s="85" t="str">
        <x:v>総合型</x:v>
      </x:c>
      <x:c r="H260" s="85" t="n">
        <x:v>66</x:v>
      </x:c>
      <x:c r="I260" s="91" t="n">
        <x:v>76</x:v>
      </x:c>
      <x:c r="J260" s="91" t="str">
        <x:v>山岳賞ハンター / 山岳アシスト / 集団コントローラー</x:v>
      </x:c>
      <x:c r="K260" s="91" t="str">
        <x:v>山岳耐久 / 総合安定</x:v>
      </x:c>
      <x:c r="L260" s="88" t="n">
        <x:v>3750</x:v>
      </x:c>
      <x:c r="M260" s="91" t="str">
        <x:v>現役確認済</x:v>
      </x:c>
      <x:c r="N260" s="91" t="str">
        <x:v>https://en.wikipedia.org/wiki/Special:Search?search=Laurens%20De%20Plus%20cyclist</x:v>
      </x:c>
    </x:row>
    <x:row r="261" ht="22" customHeight="1">
      <x:c r="A261" s="82" t="n">
        <x:v>257</x:v>
      </x:c>
      <x:c r="B261" s="82" t="str">
        <x:v>Alessandro Covi</x:v>
      </x:c>
      <x:c r="C261" s="82" t="str"/>
      <x:c r="D261" s="82" t="str">
        <x:v>イタリア</x:v>
      </x:c>
      <x:c r="E261" s="82" t="str">
        <x:v>Team Jayco–AlUla</x:v>
      </x:c>
      <x:c r="F261" s="82" t="str">
        <x:v>TT・ルーラー型</x:v>
      </x:c>
      <x:c r="G261" s="85" t="str">
        <x:v>スプリンター</x:v>
      </x:c>
      <x:c r="H261" s="85" t="n">
        <x:v>66</x:v>
      </x:c>
      <x:c r="I261" s="91" t="n">
        <x:v>77</x:v>
      </x:c>
      <x:c r="J261" s="91" t="str">
        <x:v>スプリントトレイン / 平坦アシスト / TT牽引 / 集団コントローラー</x:v>
      </x:c>
      <x:c r="K261" s="91" t="str">
        <x:v>TT・ルーラー型 / スプリンター</x:v>
      </x:c>
      <x:c r="L261" s="88" t="n">
        <x:v>3650</x:v>
      </x:c>
      <x:c r="M261" s="91" t="str">
        <x:v>現役確認済</x:v>
      </x:c>
      <x:c r="N261" s="91" t="str">
        <x:v>https://en.wikipedia.org/wiki/Alessandro_Covi</x:v>
      </x:c>
    </x:row>
    <x:row r="262" ht="22" customHeight="1">
      <x:c r="A262" s="82" t="n">
        <x:v>258</x:v>
      </x:c>
      <x:c r="B262" s="82" t="str">
        <x:v>Darren van Bekkum</x:v>
      </x:c>
      <x:c r="C262" s="82" t="str"/>
      <x:c r="D262" s="82" t="str">
        <x:v>オランダ</x:v>
      </x:c>
      <x:c r="E262" s="82" t="str">
        <x:v>XDS Astana Team</x:v>
      </x:c>
      <x:c r="F262" s="82" t="str">
        <x:v>クライマー</x:v>
      </x:c>
      <x:c r="G262" s="85" t="str">
        <x:v>クラシック型</x:v>
      </x:c>
      <x:c r="H262" s="85" t="n">
        <x:v>66</x:v>
      </x:c>
      <x:c r="I262" s="91" t="n">
        <x:v>71</x:v>
      </x:c>
      <x:c r="J262" s="91" t="str">
        <x:v>山岳賞ハンター / 山岳アシスト / 山岳番手</x:v>
      </x:c>
      <x:c r="K262" s="91" t="str">
        <x:v>クライマー / クラシック型</x:v>
      </x:c>
      <x:c r="L262" s="88" t="n">
        <x:v>3250</x:v>
      </x:c>
      <x:c r="M262" s="91" t="str">
        <x:v>現役確認済</x:v>
      </x:c>
      <x:c r="N262" s="91" t="str">
        <x:v>https://en.wikipedia.org/wiki/Darren_van_Bekkum</x:v>
      </x:c>
    </x:row>
    <x:row r="263" ht="22" customHeight="1">
      <x:c r="A263" s="82" t="n">
        <x:v>259</x:v>
      </x:c>
      <x:c r="B263" s="82" t="str">
        <x:v>Anton Kuzmin</x:v>
      </x:c>
      <x:c r="C263" s="82" t="str"/>
      <x:c r="D263" s="82" t="str">
        <x:v>カザフスタン</x:v>
      </x:c>
      <x:c r="E263" s="82" t="str">
        <x:v>XDS Astana Team</x:v>
      </x:c>
      <x:c r="F263" s="82" t="str">
        <x:v>TT・ルーラー型</x:v>
      </x:c>
      <x:c r="G263" s="85" t="str">
        <x:v>総合型</x:v>
      </x:c>
      <x:c r="H263" s="85" t="n">
        <x:v>66</x:v>
      </x:c>
      <x:c r="I263" s="91" t="n">
        <x:v>73</x:v>
      </x:c>
      <x:c r="J263" s="91" t="str">
        <x:v>TT牽引 / 集団コントローラー / 横風分断</x:v>
      </x:c>
      <x:c r="K263" s="91" t="str">
        <x:v>TT・ルーラー型 / 総合型</x:v>
      </x:c>
      <x:c r="L263" s="88" t="n">
        <x:v>3150</x:v>
      </x:c>
      <x:c r="M263" s="91" t="str">
        <x:v>現役確認済</x:v>
      </x:c>
      <x:c r="N263" s="91" t="str">
        <x:v>https://en.wikipedia.org/wiki/Anton_Kuzmin</x:v>
      </x:c>
    </x:row>
    <x:row r="264" ht="22" customHeight="1">
      <x:c r="A264" s="82" t="n">
        <x:v>260</x:v>
      </x:c>
      <x:c r="B264" s="82" t="str">
        <x:v>Alessandro Borgo</x:v>
      </x:c>
      <x:c r="C264" s="82" t="str"/>
      <x:c r="D264" s="82" t="str">
        <x:v>イタリア</x:v>
      </x:c>
      <x:c r="E264" s="82" t="str">
        <x:v>Team Bahrain Victorious</x:v>
      </x:c>
      <x:c r="F264" s="82" t="str">
        <x:v>TT・ルーラー型</x:v>
      </x:c>
      <x:c r="G264" s="85" t="str">
        <x:v>クラシック型</x:v>
      </x:c>
      <x:c r="H264" s="85" t="n">
        <x:v>66</x:v>
      </x:c>
      <x:c r="I264" s="91" t="n">
        <x:v>73</x:v>
      </x:c>
      <x:c r="J264" s="91" t="str">
        <x:v>TT牽引 / 集団コントローラー</x:v>
      </x:c>
      <x:c r="K264" s="91" t="str">
        <x:v>TT・ルーラー型 / クラシック型</x:v>
      </x:c>
      <x:c r="L264" s="88" t="n">
        <x:v>3100</x:v>
      </x:c>
      <x:c r="M264" s="91" t="str">
        <x:v>現役確認済</x:v>
      </x:c>
      <x:c r="N264" s="91" t="str">
        <x:v>https://en.wikipedia.org/wiki/Alessandro_Borgo</x:v>
      </x:c>
    </x:row>
    <x:row r="265" ht="22" customHeight="1">
      <x:c r="A265" s="82" t="n">
        <x:v>261</x:v>
      </x:c>
      <x:c r="B265" s="82" t="str">
        <x:v>Luke Plapp</x:v>
      </x:c>
      <x:c r="C265" s="82" t="str"/>
      <x:c r="D265" s="82" t="str">
        <x:v>オーストラリア</x:v>
      </x:c>
      <x:c r="E265" s="82" t="str">
        <x:v>Team Jayco–AlUla</x:v>
      </x:c>
      <x:c r="F265" s="82" t="str">
        <x:v>TT・ルーラー型</x:v>
      </x:c>
      <x:c r="G265" s="85" t="str">
        <x:v>総合型</x:v>
      </x:c>
      <x:c r="H265" s="85" t="n">
        <x:v>65</x:v>
      </x:c>
      <x:c r="I265" s="91" t="n">
        <x:v>79</x:v>
      </x:c>
      <x:c r="J265" s="91" t="str">
        <x:v>ロードキャプテン / 平坦アシスト / TT牽引 / 集団コントローラー</x:v>
      </x:c>
      <x:c r="K265" s="91" t="str">
        <x:v>巡航力 / 総合安定</x:v>
      </x:c>
      <x:c r="L265" s="88" t="n">
        <x:v>3650</x:v>
      </x:c>
      <x:c r="M265" s="91" t="str">
        <x:v>現役確認済</x:v>
      </x:c>
      <x:c r="N265" s="91" t="str">
        <x:v>https://en.wikipedia.org/wiki/Special:Search?search=Luke%20Plapp%20cyclist</x:v>
      </x:c>
    </x:row>
    <x:row r="266" ht="22" customHeight="1">
      <x:c r="A266" s="82" t="n">
        <x:v>262</x:v>
      </x:c>
      <x:c r="B266" s="82" t="str">
        <x:v>Adam Yates</x:v>
      </x:c>
      <x:c r="C266" s="82" t="str"/>
      <x:c r="D266" s="82" t="str">
        <x:v>イギリス</x:v>
      </x:c>
      <x:c r="E266" s="82" t="str">
        <x:v>UAE Team Emirates XRG</x:v>
      </x:c>
      <x:c r="F266" s="82" t="str">
        <x:v>クライマー</x:v>
      </x:c>
      <x:c r="G266" s="85" t="str">
        <x:v>総合型</x:v>
      </x:c>
      <x:c r="H266" s="85" t="n">
        <x:v>65</x:v>
      </x:c>
      <x:c r="I266" s="91" t="n">
        <x:v>76</x:v>
      </x:c>
      <x:c r="J266" s="91" t="str">
        <x:v>山岳賞ハンター / 山岳アシスト / 集団コントローラー</x:v>
      </x:c>
      <x:c r="K266" s="91" t="str">
        <x:v>山岳耐久 / 総合安定</x:v>
      </x:c>
      <x:c r="L266" s="88" t="n">
        <x:v>3600</x:v>
      </x:c>
      <x:c r="M266" s="91" t="str">
        <x:v>現役確認済</x:v>
      </x:c>
      <x:c r="N266" s="91" t="str">
        <x:v>https://en.wikipedia.org/wiki/Special:Search?search=Adam%20Yates%20cyclist</x:v>
      </x:c>
    </x:row>
    <x:row r="267" ht="22" customHeight="1">
      <x:c r="A267" s="82" t="n">
        <x:v>263</x:v>
      </x:c>
      <x:c r="B267" s="82" t="str">
        <x:v>Anders Halland Johannessen</x:v>
      </x:c>
      <x:c r="C267" s="82" t="str"/>
      <x:c r="D267" s="82" t="str">
        <x:v>ノルウェー</x:v>
      </x:c>
      <x:c r="E267" s="82" t="str">
        <x:v>Uno-X Mobility</x:v>
      </x:c>
      <x:c r="F267" s="82" t="str">
        <x:v>TT・ルーラー型</x:v>
      </x:c>
      <x:c r="G267" s="85" t="str">
        <x:v>クラシック型</x:v>
      </x:c>
      <x:c r="H267" s="85" t="n">
        <x:v>65</x:v>
      </x:c>
      <x:c r="I267" s="91" t="n">
        <x:v>72</x:v>
      </x:c>
      <x:c r="J267" s="91" t="str">
        <x:v>平坦ペースメーカー / 集団コントローラー</x:v>
      </x:c>
      <x:c r="K267" s="91" t="str">
        <x:v>TT・ルーラー型 / クラシック型</x:v>
      </x:c>
      <x:c r="L267" s="88" t="n">
        <x:v>2950</x:v>
      </x:c>
      <x:c r="M267" s="91" t="str">
        <x:v>現役確認済</x:v>
      </x:c>
      <x:c r="N267" s="91" t="str">
        <x:v>https://en.wikipedia.org/wiki/Anders_Halland_Johannessen</x:v>
      </x:c>
    </x:row>
    <x:row r="268" ht="22" customHeight="1">
      <x:c r="A268" s="82" t="n">
        <x:v>264</x:v>
      </x:c>
      <x:c r="B268" s="82" t="str">
        <x:v>Tobias Foss</x:v>
      </x:c>
      <x:c r="C268" s="82" t="str">
        <x:v>北欧のクロノ王</x:v>
      </x:c>
      <x:c r="D268" s="82" t="str">
        <x:v>ノルウェー</x:v>
      </x:c>
      <x:c r="E268" s="82" t="str">
        <x:v>Netcompany INEOS Cycling Team</x:v>
      </x:c>
      <x:c r="F268" s="82" t="str">
        <x:v>TT・ルーラー型</x:v>
      </x:c>
      <x:c r="G268" s="85" t="str">
        <x:v>総合型</x:v>
      </x:c>
      <x:c r="H268" s="85" t="n">
        <x:v>64</x:v>
      </x:c>
      <x:c r="I268" s="91" t="n">
        <x:v>80</x:v>
      </x:c>
      <x:c r="J268" s="91" t="str">
        <x:v>ロードキャプテン / TTスペシャリスト / 平坦アシスト / 集団コントローラー / ブレイクアウェイキラー / トラブル復帰牽引</x:v>
      </x:c>
      <x:c r="K268" s="91" t="str">
        <x:v>巡航力 / 総合安定</x:v>
      </x:c>
      <x:c r="L268" s="88" t="n">
        <x:v>4950</x:v>
      </x:c>
      <x:c r="M268" s="91" t="str">
        <x:v>現役確認済</x:v>
      </x:c>
      <x:c r="N268" s="91" t="str">
        <x:v>https://en.wikipedia.org/wiki/Special:Search?search=Tobias%20Foss%20cyclist</x:v>
      </x:c>
    </x:row>
    <x:row r="269" ht="22" customHeight="1">
      <x:c r="A269" s="82" t="n">
        <x:v>265</x:v>
      </x:c>
      <x:c r="B269" s="82" t="str">
        <x:v>Damiano Caruso</x:v>
      </x:c>
      <x:c r="C269" s="82" t="str"/>
      <x:c r="D269" s="82" t="str">
        <x:v>イタリア</x:v>
      </x:c>
      <x:c r="E269" s="82" t="str">
        <x:v>Team Bahrain Victorious</x:v>
      </x:c>
      <x:c r="F269" s="82" t="str">
        <x:v>クライマー</x:v>
      </x:c>
      <x:c r="G269" s="85" t="str">
        <x:v>総合型</x:v>
      </x:c>
      <x:c r="H269" s="85" t="n">
        <x:v>64</x:v>
      </x:c>
      <x:c r="I269" s="91" t="n">
        <x:v>76</x:v>
      </x:c>
      <x:c r="J269" s="91" t="str">
        <x:v>山岳賞ハンター / 山岳アシスト / 集団コントローラー</x:v>
      </x:c>
      <x:c r="K269" s="91" t="str">
        <x:v>山岳耐久 / 総合安定</x:v>
      </x:c>
      <x:c r="L269" s="88" t="n">
        <x:v>3550</x:v>
      </x:c>
      <x:c r="M269" s="91" t="str">
        <x:v>現役確認済</x:v>
      </x:c>
      <x:c r="N269" s="91" t="str">
        <x:v>https://en.wikipedia.org/wiki/Special:Search?search=Damiano%20Caruso%20cyclist</x:v>
      </x:c>
    </x:row>
    <x:row r="270" ht="22" customHeight="1">
      <x:c r="A270" s="82" t="n">
        <x:v>266</x:v>
      </x:c>
      <x:c r="B270" s="82" t="str">
        <x:v>Carlos Verona</x:v>
      </x:c>
      <x:c r="C270" s="82" t="str"/>
      <x:c r="D270" s="82" t="str">
        <x:v>スペイン</x:v>
      </x:c>
      <x:c r="E270" s="82" t="str">
        <x:v>Lidl–Trek</x:v>
      </x:c>
      <x:c r="F270" s="82" t="str">
        <x:v>クライマー</x:v>
      </x:c>
      <x:c r="G270" s="85" t="str">
        <x:v>総合型</x:v>
      </x:c>
      <x:c r="H270" s="85" t="n">
        <x:v>64</x:v>
      </x:c>
      <x:c r="I270" s="91" t="n">
        <x:v>75</x:v>
      </x:c>
      <x:c r="J270" s="91" t="str">
        <x:v>山岳賞ハンター / 山岳アシスト / 山岳番手 / 集団コントローラー</x:v>
      </x:c>
      <x:c r="K270" s="91" t="str">
        <x:v>山岳耐久 / 総合安定</x:v>
      </x:c>
      <x:c r="L270" s="88" t="n">
        <x:v>3350</x:v>
      </x:c>
      <x:c r="M270" s="91" t="str">
        <x:v>現役確認済</x:v>
      </x:c>
      <x:c r="N270" s="91" t="str">
        <x:v>https://en.wikipedia.org/wiki/Special:Search?search=Carlos%20Verona%20cyclist</x:v>
      </x:c>
    </x:row>
    <x:row r="271" ht="22" customHeight="1">
      <x:c r="A271" s="82" t="n">
        <x:v>267</x:v>
      </x:c>
      <x:c r="B271" s="82" t="str">
        <x:v>Mike Teunissen</x:v>
      </x:c>
      <x:c r="C271" s="82" t="str"/>
      <x:c r="D271" s="82" t="str">
        <x:v>オランダ</x:v>
      </x:c>
      <x:c r="E271" s="82" t="str">
        <x:v>XDS Astana Team</x:v>
      </x:c>
      <x:c r="F271" s="82" t="str">
        <x:v>スプリンター</x:v>
      </x:c>
      <x:c r="G271" s="85" t="str">
        <x:v>TT・ルーラー型</x:v>
      </x:c>
      <x:c r="H271" s="85" t="n">
        <x:v>64</x:v>
      </x:c>
      <x:c r="I271" s="91" t="n">
        <x:v>75</x:v>
      </x:c>
      <x:c r="J271" s="91" t="str">
        <x:v>リードアウト / 最終発射台 / スプリントトレイン</x:v>
      </x:c>
      <x:c r="K271" s="91" t="str">
        <x:v>最高速 / TT適性</x:v>
      </x:c>
      <x:c r="L271" s="88" t="n">
        <x:v>3300</x:v>
      </x:c>
      <x:c r="M271" s="91" t="str">
        <x:v>現役確認済</x:v>
      </x:c>
      <x:c r="N271" s="91" t="str">
        <x:v>https://en.wikipedia.org/wiki/Special:Search?search=Mike%20Teunissen%20cyclist</x:v>
      </x:c>
    </x:row>
    <x:row r="272" ht="22" customHeight="1">
      <x:c r="A272" s="82" t="n">
        <x:v>268</x:v>
      </x:c>
      <x:c r="B272" s="82" t="str">
        <x:v>Baptiste Veistroffer</x:v>
      </x:c>
      <x:c r="C272" s="82" t="str"/>
      <x:c r="D272" s="82" t="str">
        <x:v>フランス</x:v>
      </x:c>
      <x:c r="E272" s="82" t="str">
        <x:v>Lotto–Intermarché</x:v>
      </x:c>
      <x:c r="F272" s="82" t="str">
        <x:v>TT・ルーラー型</x:v>
      </x:c>
      <x:c r="G272" s="85" t="str">
        <x:v>クラシック型</x:v>
      </x:c>
      <x:c r="H272" s="85" t="n">
        <x:v>64</x:v>
      </x:c>
      <x:c r="I272" s="91" t="n">
        <x:v>73</x:v>
      </x:c>
      <x:c r="J272" s="91" t="str">
        <x:v>ロードキャプテン / TT牽引 / 横風分断</x:v>
      </x:c>
      <x:c r="K272" s="91" t="str">
        <x:v>TT・ルーラー型 / クラシック型</x:v>
      </x:c>
      <x:c r="L272" s="88" t="n">
        <x:v>2950</x:v>
      </x:c>
      <x:c r="M272" s="91" t="str">
        <x:v>現役確認済</x:v>
      </x:c>
      <x:c r="N272" s="91" t="str">
        <x:v>https://en.wikipedia.org/wiki/Baptiste_Veistroffer</x:v>
      </x:c>
    </x:row>
    <x:row r="273" ht="22" customHeight="1">
      <x:c r="A273" s="82" t="n">
        <x:v>269</x:v>
      </x:c>
      <x:c r="B273" s="82" t="str">
        <x:v>Bob Jungels</x:v>
      </x:c>
      <x:c r="C273" s="82" t="str"/>
      <x:c r="D273" s="82" t="str">
        <x:v>ルクセンブルク</x:v>
      </x:c>
      <x:c r="E273" s="82" t="str">
        <x:v>Netcompany INEOS Cycling Team</x:v>
      </x:c>
      <x:c r="F273" s="82" t="str">
        <x:v>TT・ルーラー型</x:v>
      </x:c>
      <x:c r="G273" s="85" t="str">
        <x:v>総合型</x:v>
      </x:c>
      <x:c r="H273" s="85" t="n">
        <x:v>63</x:v>
      </x:c>
      <x:c r="I273" s="91" t="n">
        <x:v>80</x:v>
      </x:c>
      <x:c r="J273" s="91" t="str">
        <x:v>ロードキャプテン / 平坦アシスト / 平坦ペースメーカー / TT牽引 / 集団コントローラー</x:v>
      </x:c>
      <x:c r="K273" s="91" t="str">
        <x:v>巡航力 / 総合安定 / 逃げ屋</x:v>
      </x:c>
      <x:c r="L273" s="88" t="n">
        <x:v>3450</x:v>
      </x:c>
      <x:c r="M273" s="91" t="str">
        <x:v>現役確認済</x:v>
      </x:c>
      <x:c r="N273" s="91" t="str">
        <x:v>https://en.wikipedia.org/wiki/Special:Search?search=Bob%20Jungels%20cyclist</x:v>
      </x:c>
    </x:row>
    <x:row r="274" ht="22" customHeight="1">
      <x:c r="A274" s="82" t="n">
        <x:v>270</x:v>
      </x:c>
      <x:c r="B274" s="82" t="str">
        <x:v>Santiago Buitrago</x:v>
      </x:c>
      <x:c r="C274" s="82" t="str"/>
      <x:c r="D274" s="82" t="str">
        <x:v>コロンビア</x:v>
      </x:c>
      <x:c r="E274" s="82" t="str">
        <x:v>Team Bahrain Victorious</x:v>
      </x:c>
      <x:c r="F274" s="82" t="str">
        <x:v>クライマー</x:v>
      </x:c>
      <x:c r="G274" s="85" t="str">
        <x:v>総合型</x:v>
      </x:c>
      <x:c r="H274" s="85" t="n">
        <x:v>63</x:v>
      </x:c>
      <x:c r="I274" s="91" t="n">
        <x:v>77</x:v>
      </x:c>
      <x:c r="J274" s="91" t="str">
        <x:v>山岳賞ハンター / 山岳アシスト / 山岳ペースメーカー / 集団コントローラー</x:v>
      </x:c>
      <x:c r="K274" s="91" t="str">
        <x:v>山岳耐久 / 総合安定</x:v>
      </x:c>
      <x:c r="L274" s="88" t="n">
        <x:v>3450</x:v>
      </x:c>
      <x:c r="M274" s="91" t="str">
        <x:v>現役確認済</x:v>
      </x:c>
      <x:c r="N274" s="91" t="str">
        <x:v>https://en.wikipedia.org/wiki/Special:Search?search=Santiago%20Buitrago%20cyclist</x:v>
      </x:c>
    </x:row>
    <x:row r="275" ht="22" customHeight="1">
      <x:c r="A275" s="82" t="n">
        <x:v>271</x:v>
      </x:c>
      <x:c r="B275" s="82" t="str">
        <x:v>Wilco Kelderman</x:v>
      </x:c>
      <x:c r="C275" s="82" t="str"/>
      <x:c r="D275" s="82" t="str">
        <x:v>オランダ</x:v>
      </x:c>
      <x:c r="E275" s="82" t="str">
        <x:v>Visma–Lease a Bike</x:v>
      </x:c>
      <x:c r="F275" s="82" t="str">
        <x:v>クライマー</x:v>
      </x:c>
      <x:c r="G275" s="85" t="str">
        <x:v>総合型</x:v>
      </x:c>
      <x:c r="H275" s="85" t="n">
        <x:v>63</x:v>
      </x:c>
      <x:c r="I275" s="91" t="n">
        <x:v>77</x:v>
      </x:c>
      <x:c r="J275" s="91" t="str">
        <x:v>山岳賞ハンター / 山岳アシスト / 集団コントローラー</x:v>
      </x:c>
      <x:c r="K275" s="91" t="str">
        <x:v>山岳耐久 / 総合安定</x:v>
      </x:c>
      <x:c r="L275" s="88" t="n">
        <x:v>3400</x:v>
      </x:c>
      <x:c r="M275" s="91" t="str">
        <x:v>現役確認済</x:v>
      </x:c>
      <x:c r="N275" s="91" t="str">
        <x:v>https://en.wikipedia.org/wiki/Special:Search?search=Wilco%20Kelderman%20cyclist</x:v>
      </x:c>
    </x:row>
    <x:row r="276" ht="22" customHeight="1">
      <x:c r="A276" s="82" t="n">
        <x:v>272</x:v>
      </x:c>
      <x:c r="B276" s="82" t="str">
        <x:v>Thymen Arensman</x:v>
      </x:c>
      <x:c r="C276" s="82" t="str"/>
      <x:c r="D276" s="82" t="str">
        <x:v>オランダ</x:v>
      </x:c>
      <x:c r="E276" s="82" t="str">
        <x:v>Netcompany INEOS Cycling Team</x:v>
      </x:c>
      <x:c r="F276" s="82" t="str">
        <x:v>クライマー</x:v>
      </x:c>
      <x:c r="G276" s="85" t="str">
        <x:v>総合型</x:v>
      </x:c>
      <x:c r="H276" s="85" t="n">
        <x:v>63</x:v>
      </x:c>
      <x:c r="I276" s="91" t="n">
        <x:v>75</x:v>
      </x:c>
      <x:c r="J276" s="91" t="str">
        <x:v>山岳賞ハンター / 山岳アシスト / 集団コントローラー</x:v>
      </x:c>
      <x:c r="K276" s="91" t="str">
        <x:v>山岳耐久 / 総合安定</x:v>
      </x:c>
      <x:c r="L276" s="88" t="n">
        <x:v>3150</x:v>
      </x:c>
      <x:c r="M276" s="91" t="str">
        <x:v>現役確認済</x:v>
      </x:c>
      <x:c r="N276" s="91" t="str">
        <x:v>https://en.wikipedia.org/wiki/Special:Search?search=Thymen%20Arensman%20cyclist</x:v>
      </x:c>
    </x:row>
    <x:row r="277" ht="22" customHeight="1">
      <x:c r="A277" s="82" t="n">
        <x:v>273</x:v>
      </x:c>
      <x:c r="B277" s="82" t="str">
        <x:v>Taco van der Hoorn</x:v>
      </x:c>
      <x:c r="C277" s="82" t="str"/>
      <x:c r="D277" s="82" t="str">
        <x:v>オランダ</x:v>
      </x:c>
      <x:c r="E277" s="82" t="str">
        <x:v>Lotto–Intermarché</x:v>
      </x:c>
      <x:c r="F277" s="82" t="str">
        <x:v>クラシック型</x:v>
      </x:c>
      <x:c r="G277" s="85" t="str">
        <x:v>パンチャー</x:v>
      </x:c>
      <x:c r="H277" s="85" t="n">
        <x:v>63</x:v>
      </x:c>
      <x:c r="I277" s="91" t="n">
        <x:v>78</x:v>
      </x:c>
      <x:c r="J277" s="91" t="str">
        <x:v>ロードキャプテン / 平坦アシスト / 石畳護衛</x:v>
      </x:c>
      <x:c r="K277" s="91" t="str">
        <x:v>バイクコントロール / 反復加速 / 逃げ屋</x:v>
      </x:c>
      <x:c r="L277" s="88" t="n">
        <x:v>3000</x:v>
      </x:c>
      <x:c r="M277" s="91" t="str">
        <x:v>現役確認済</x:v>
      </x:c>
      <x:c r="N277" s="91" t="str">
        <x:v>https://en.wikipedia.org/wiki/Special:Search?search=Taco%20van%20der%20Hoorn%20cyclist</x:v>
      </x:c>
    </x:row>
    <x:row r="278" ht="22" customHeight="1">
      <x:c r="A278" s="82" t="n">
        <x:v>274</x:v>
      </x:c>
      <x:c r="B278" s="82" t="str">
        <x:v>Jordan Labrosse</x:v>
      </x:c>
      <x:c r="C278" s="82" t="str"/>
      <x:c r="D278" s="82" t="str">
        <x:v>フランス</x:v>
      </x:c>
      <x:c r="E278" s="82" t="str">
        <x:v>Decathlon–CMA CGM</x:v>
      </x:c>
      <x:c r="F278" s="82" t="str">
        <x:v>TT・ルーラー型</x:v>
      </x:c>
      <x:c r="G278" s="85" t="str">
        <x:v>クラシック型</x:v>
      </x:c>
      <x:c r="H278" s="85" t="n">
        <x:v>63</x:v>
      </x:c>
      <x:c r="I278" s="91" t="n">
        <x:v>71</x:v>
      </x:c>
      <x:c r="J278" s="91" t="str">
        <x:v>集団コントローラー</x:v>
      </x:c>
      <x:c r="K278" s="91" t="str">
        <x:v>TT・ルーラー型 / クラシック型</x:v>
      </x:c>
      <x:c r="L278" s="88" t="n">
        <x:v>2800</x:v>
      </x:c>
      <x:c r="M278" s="91" t="str">
        <x:v>現役確認済</x:v>
      </x:c>
      <x:c r="N278" s="91" t="str">
        <x:v>https://en.wikipedia.org/wiki/Jordan_Labrosse</x:v>
      </x:c>
    </x:row>
    <x:row r="279" ht="22" customHeight="1">
      <x:c r="A279" s="82" t="n">
        <x:v>275</x:v>
      </x:c>
      <x:c r="B279" s="82" t="str">
        <x:v>Tao Geoghegan Hart</x:v>
      </x:c>
      <x:c r="C279" s="82" t="str"/>
      <x:c r="D279" s="82" t="str">
        <x:v>イギリス</x:v>
      </x:c>
      <x:c r="E279" s="82" t="str">
        <x:v>Lidl–Trek</x:v>
      </x:c>
      <x:c r="F279" s="82" t="str">
        <x:v>クライマー</x:v>
      </x:c>
      <x:c r="G279" s="85" t="str">
        <x:v>総合型</x:v>
      </x:c>
      <x:c r="H279" s="85" t="n">
        <x:v>62</x:v>
      </x:c>
      <x:c r="I279" s="91" t="n">
        <x:v>77</x:v>
      </x:c>
      <x:c r="J279" s="91" t="str">
        <x:v>山岳賞ハンター / 山岳アシスト / 山岳番手 / 集団コントローラー / サテライトライダー</x:v>
      </x:c>
      <x:c r="K279" s="91" t="str">
        <x:v>山岳耐久 / 総合安定</x:v>
      </x:c>
      <x:c r="L279" s="88" t="n">
        <x:v>3350</x:v>
      </x:c>
      <x:c r="M279" s="91" t="str">
        <x:v>現役確認済</x:v>
      </x:c>
      <x:c r="N279" s="91" t="str">
        <x:v>https://en.wikipedia.org/wiki/Special:Search?search=Tao%20Geoghegan%20Hart%20cyclist</x:v>
      </x:c>
    </x:row>
    <x:row r="280" ht="22" customHeight="1">
      <x:c r="A280" s="82" t="n">
        <x:v>276</x:v>
      </x:c>
      <x:c r="B280" s="82" t="str">
        <x:v>Remi Cavagna</x:v>
      </x:c>
      <x:c r="C280" s="82" t="str"/>
      <x:c r="D280" s="82" t="str">
        <x:v>フランス</x:v>
      </x:c>
      <x:c r="E280" s="82" t="str">
        <x:v>Groupama–FDJ United</x:v>
      </x:c>
      <x:c r="F280" s="82" t="str">
        <x:v>TT・ルーラー型</x:v>
      </x:c>
      <x:c r="G280" s="85" t="str">
        <x:v>総合型</x:v>
      </x:c>
      <x:c r="H280" s="85" t="n">
        <x:v>62</x:v>
      </x:c>
      <x:c r="I280" s="91" t="n">
        <x:v>78</x:v>
      </x:c>
      <x:c r="J280" s="91" t="str">
        <x:v>ロードキャプテン / 平坦アシスト / TT牽引 / 集団コントローラー / 横風分断</x:v>
      </x:c>
      <x:c r="K280" s="91" t="str">
        <x:v>巡航力 / 総合安定</x:v>
      </x:c>
      <x:c r="L280" s="88" t="n">
        <x:v>3150</x:v>
      </x:c>
      <x:c r="M280" s="91" t="str">
        <x:v>現役確認済</x:v>
      </x:c>
      <x:c r="N280" s="91" t="str">
        <x:v>https://en.wikipedia.org/wiki/Special:Search?search=Remi%20Cavagna%20cyclist</x:v>
      </x:c>
    </x:row>
    <x:row r="281" ht="22" customHeight="1">
      <x:c r="A281" s="82" t="n">
        <x:v>277</x:v>
      </x:c>
      <x:c r="B281" s="82" t="str">
        <x:v>Brandon McNulty</x:v>
      </x:c>
      <x:c r="C281" s="82" t="str"/>
      <x:c r="D281" s="82" t="str">
        <x:v>アメリカ</x:v>
      </x:c>
      <x:c r="E281" s="82" t="str">
        <x:v>UAE Team Emirates XRG</x:v>
      </x:c>
      <x:c r="F281" s="82" t="str">
        <x:v>クライマー</x:v>
      </x:c>
      <x:c r="G281" s="85" t="str">
        <x:v>総合型</x:v>
      </x:c>
      <x:c r="H281" s="85" t="n">
        <x:v>62</x:v>
      </x:c>
      <x:c r="I281" s="91" t="n">
        <x:v>76</x:v>
      </x:c>
      <x:c r="J281" s="91" t="str">
        <x:v>山岳賞ハンター / 山岳アシスト / 集団コントローラー</x:v>
      </x:c>
      <x:c r="K281" s="91" t="str">
        <x:v>山岳耐久 / 総合安定</x:v>
      </x:c>
      <x:c r="L281" s="88" t="n">
        <x:v>3100</x:v>
      </x:c>
      <x:c r="M281" s="91" t="str">
        <x:v>現役確認済</x:v>
      </x:c>
      <x:c r="N281" s="91" t="str">
        <x:v>https://en.wikipedia.org/wiki/Special:Search?search=Brandon%20McNulty%20cyclist</x:v>
      </x:c>
    </x:row>
    <x:row r="282" ht="22" customHeight="1">
      <x:c r="A282" s="82" t="n">
        <x:v>278</x:v>
      </x:c>
      <x:c r="B282" s="82" t="str">
        <x:v>Luka Mezgec</x:v>
      </x:c>
      <x:c r="C282" s="82" t="str"/>
      <x:c r="D282" s="82" t="str">
        <x:v>スロベニア</x:v>
      </x:c>
      <x:c r="E282" s="82" t="str">
        <x:v>Team Jayco–AlUla</x:v>
      </x:c>
      <x:c r="F282" s="82" t="str">
        <x:v>スプリンター</x:v>
      </x:c>
      <x:c r="G282" s="85" t="str">
        <x:v>TT・ルーラー型</x:v>
      </x:c>
      <x:c r="H282" s="85" t="n">
        <x:v>62</x:v>
      </x:c>
      <x:c r="I282" s="91" t="n">
        <x:v>76</x:v>
      </x:c>
      <x:c r="J282" s="91" t="str">
        <x:v>リードアウト / 最終発射台 / スプリントトレイン / 集団コントローラー</x:v>
      </x:c>
      <x:c r="K282" s="91" t="str">
        <x:v>最高速 / TT適性</x:v>
      </x:c>
      <x:c r="L282" s="88" t="n">
        <x:v>3100</x:v>
      </x:c>
      <x:c r="M282" s="91" t="str">
        <x:v>現役確認済</x:v>
      </x:c>
      <x:c r="N282" s="91" t="str">
        <x:v>https://en.wikipedia.org/wiki/Special:Search?search=Luka%20Mezgec%20cyclist</x:v>
      </x:c>
    </x:row>
    <x:row r="283" ht="22" customHeight="1">
      <x:c r="A283" s="82" t="n">
        <x:v>279</x:v>
      </x:c>
      <x:c r="B283" s="82" t="str">
        <x:v>Pavel Sivakov</x:v>
      </x:c>
      <x:c r="C283" s="82" t="str"/>
      <x:c r="D283" s="82" t="str">
        <x:v>フランス</x:v>
      </x:c>
      <x:c r="E283" s="82" t="str">
        <x:v>UAE Team Emirates XRG</x:v>
      </x:c>
      <x:c r="F283" s="82" t="str">
        <x:v>クライマー</x:v>
      </x:c>
      <x:c r="G283" s="85" t="str">
        <x:v>総合型</x:v>
      </x:c>
      <x:c r="H283" s="85" t="n">
        <x:v>62</x:v>
      </x:c>
      <x:c r="I283" s="91" t="n">
        <x:v>75</x:v>
      </x:c>
      <x:c r="J283" s="91" t="str">
        <x:v>山岳賞ハンター / 山岳アシスト / 集団コントローラー</x:v>
      </x:c>
      <x:c r="K283" s="91" t="str">
        <x:v>山岳耐久 / 総合安定</x:v>
      </x:c>
      <x:c r="L283" s="88" t="n">
        <x:v>3100</x:v>
      </x:c>
      <x:c r="M283" s="91" t="str">
        <x:v>現役確認済</x:v>
      </x:c>
      <x:c r="N283" s="91" t="str">
        <x:v>https://en.wikipedia.org/wiki/Special:Search?search=Pavel%20Sivakov%20cyclist</x:v>
      </x:c>
    </x:row>
    <x:row r="284" ht="22" customHeight="1">
      <x:c r="A284" s="82" t="n">
        <x:v>280</x:v>
      </x:c>
      <x:c r="B284" s="82" t="str">
        <x:v>Danny van Poppel</x:v>
      </x:c>
      <x:c r="C284" s="82" t="str"/>
      <x:c r="D284" s="82" t="str">
        <x:v>オランダ</x:v>
      </x:c>
      <x:c r="E284" s="82" t="str">
        <x:v>Red Bull–Bora–Hansgrohe</x:v>
      </x:c>
      <x:c r="F284" s="82" t="str">
        <x:v>スプリンター</x:v>
      </x:c>
      <x:c r="G284" s="85" t="str">
        <x:v>TT・ルーラー型</x:v>
      </x:c>
      <x:c r="H284" s="85" t="n">
        <x:v>62</x:v>
      </x:c>
      <x:c r="I284" s="91" t="n">
        <x:v>74</x:v>
      </x:c>
      <x:c r="J284" s="91" t="str">
        <x:v>リードアウト / 最終発射台 / スプリントトレイン / 横風分断</x:v>
      </x:c>
      <x:c r="K284" s="91" t="str">
        <x:v>最高速 / TT適性</x:v>
      </x:c>
      <x:c r="L284" s="88" t="n">
        <x:v>3050</x:v>
      </x:c>
      <x:c r="M284" s="91" t="str">
        <x:v>現役確認済</x:v>
      </x:c>
      <x:c r="N284" s="91" t="str">
        <x:v>https://en.wikipedia.org/wiki/Special:Search?search=Danny%20van%20Poppel%20cyclist</x:v>
      </x:c>
    </x:row>
    <x:row r="285" ht="22" customHeight="1">
      <x:c r="A285" s="82" t="n">
        <x:v>281</x:v>
      </x:c>
      <x:c r="B285" s="82" t="str">
        <x:v>Simone Consonni</x:v>
      </x:c>
      <x:c r="C285" s="82" t="str"/>
      <x:c r="D285" s="82" t="str">
        <x:v>イタリア</x:v>
      </x:c>
      <x:c r="E285" s="82" t="str">
        <x:v>Lidl–Trek</x:v>
      </x:c>
      <x:c r="F285" s="82" t="str">
        <x:v>スプリンター</x:v>
      </x:c>
      <x:c r="G285" s="85" t="str">
        <x:v>TT・ルーラー型</x:v>
      </x:c>
      <x:c r="H285" s="85" t="n">
        <x:v>62</x:v>
      </x:c>
      <x:c r="I285" s="91" t="n">
        <x:v>74</x:v>
      </x:c>
      <x:c r="J285" s="91" t="str">
        <x:v>リードアウト / 最終発射台 / スプリントトレイン / 横風分断</x:v>
      </x:c>
      <x:c r="K285" s="91" t="str">
        <x:v>最高速 / TT適性</x:v>
      </x:c>
      <x:c r="L285" s="88" t="n">
        <x:v>2950</x:v>
      </x:c>
      <x:c r="M285" s="91" t="str">
        <x:v>現役確認済</x:v>
      </x:c>
      <x:c r="N285" s="91" t="str">
        <x:v>https://en.wikipedia.org/wiki/Special:Search?search=Simone%20Consonni%20cyclist</x:v>
      </x:c>
    </x:row>
    <x:row r="286" ht="22" customHeight="1">
      <x:c r="A286" s="82" t="n">
        <x:v>282</x:v>
      </x:c>
      <x:c r="B286" s="82" t="str">
        <x:v>Davide Ballerini</x:v>
      </x:c>
      <x:c r="C286" s="82" t="str"/>
      <x:c r="D286" s="82" t="str">
        <x:v>イタリア</x:v>
      </x:c>
      <x:c r="E286" s="82" t="str">
        <x:v>XDS Astana Team</x:v>
      </x:c>
      <x:c r="F286" s="82" t="str">
        <x:v>スプリンター</x:v>
      </x:c>
      <x:c r="G286" s="85" t="str">
        <x:v>TT・ルーラー型</x:v>
      </x:c>
      <x:c r="H286" s="85" t="n">
        <x:v>62</x:v>
      </x:c>
      <x:c r="I286" s="91" t="n">
        <x:v>73</x:v>
      </x:c>
      <x:c r="J286" s="91" t="str">
        <x:v>リードアウト / 最終発射台 / スプリントトレイン</x:v>
      </x:c>
      <x:c r="K286" s="91" t="str">
        <x:v>最高速 / TT適性</x:v>
      </x:c>
      <x:c r="L286" s="88" t="n">
        <x:v>2900</x:v>
      </x:c>
      <x:c r="M286" s="91" t="str">
        <x:v>現役確認済</x:v>
      </x:c>
      <x:c r="N286" s="91" t="str">
        <x:v>https://en.wikipedia.org/wiki/Special:Search?search=Davide%20Ballerini%20cyclist</x:v>
      </x:c>
    </x:row>
    <x:row r="287" ht="22" customHeight="1">
      <x:c r="A287" s="82" t="n">
        <x:v>283</x:v>
      </x:c>
      <x:c r="B287" s="82" t="str">
        <x:v>Florian Vermeersch</x:v>
      </x:c>
      <x:c r="C287" s="82" t="str"/>
      <x:c r="D287" s="82" t="str">
        <x:v>ベルギー</x:v>
      </x:c>
      <x:c r="E287" s="82" t="str">
        <x:v>UAE Team Emirates XRG</x:v>
      </x:c>
      <x:c r="F287" s="82" t="str">
        <x:v>クラシック型</x:v>
      </x:c>
      <x:c r="G287" s="85" t="str">
        <x:v>パンチャー</x:v>
      </x:c>
      <x:c r="H287" s="85" t="n">
        <x:v>62</x:v>
      </x:c>
      <x:c r="I287" s="91" t="n">
        <x:v>78</x:v>
      </x:c>
      <x:c r="J287" s="91" t="str">
        <x:v>ロードキャプテン / 平坦アシスト / 石畳護衛 / 横風分断</x:v>
      </x:c>
      <x:c r="K287" s="91" t="str">
        <x:v>バイクコントロール / 反復加速</x:v>
      </x:c>
      <x:c r="L287" s="88" t="n">
        <x:v>2850</x:v>
      </x:c>
      <x:c r="M287" s="91" t="str">
        <x:v>現役確認済</x:v>
      </x:c>
      <x:c r="N287" s="91" t="str">
        <x:v>https://en.wikipedia.org/wiki/Special:Search?search=Florian%20Vermeersch%20cyclist</x:v>
      </x:c>
    </x:row>
    <x:row r="288" ht="22" customHeight="1">
      <x:c r="A288" s="82" t="n">
        <x:v>284</x:v>
      </x:c>
      <x:c r="B288" s="82" t="str">
        <x:v>Dylan van Baarle</x:v>
      </x:c>
      <x:c r="C288" s="82" t="str"/>
      <x:c r="D288" s="82" t="str">
        <x:v>オランダ</x:v>
      </x:c>
      <x:c r="E288" s="82" t="str">
        <x:v>Soudal–Quick-Step</x:v>
      </x:c>
      <x:c r="F288" s="82" t="str">
        <x:v>TT・ルーラー型</x:v>
      </x:c>
      <x:c r="G288" s="85" t="str">
        <x:v>クラシック型</x:v>
      </x:c>
      <x:c r="H288" s="85" t="n">
        <x:v>61</x:v>
      </x:c>
      <x:c r="I288" s="91" t="n">
        <x:v>80</x:v>
      </x:c>
      <x:c r="J288" s="91" t="str">
        <x:v>平坦アシスト / TT牽引 / ブレイクアウェイキラー / トラブル復帰牽引</x:v>
      </x:c>
      <x:c r="K288" s="91" t="str">
        <x:v>巡航力 / 悪路耐性</x:v>
      </x:c>
      <x:c r="L288" s="88" t="n">
        <x:v>3900</x:v>
      </x:c>
      <x:c r="M288" s="91" t="str">
        <x:v>現役確認済</x:v>
      </x:c>
      <x:c r="N288" s="91" t="str">
        <x:v>https://en.wikipedia.org/wiki/Special:Search?search=Dylan%20van%20Baarle%20cyclist</x:v>
      </x:c>
    </x:row>
    <x:row r="289" ht="22" customHeight="1">
      <x:c r="A289" s="82" t="n">
        <x:v>285</x:v>
      </x:c>
      <x:c r="B289" s="82" t="str">
        <x:v>Edoardo Affini</x:v>
      </x:c>
      <x:c r="C289" s="82" t="str"/>
      <x:c r="D289" s="82" t="str">
        <x:v>イタリア</x:v>
      </x:c>
      <x:c r="E289" s="82" t="str">
        <x:v>Visma–Lease a Bike</x:v>
      </x:c>
      <x:c r="F289" s="82" t="str">
        <x:v>TT・ルーラー型</x:v>
      </x:c>
      <x:c r="G289" s="85" t="str">
        <x:v>総合型</x:v>
      </x:c>
      <x:c r="H289" s="85" t="n">
        <x:v>61</x:v>
      </x:c>
      <x:c r="I289" s="91" t="n">
        <x:v>80</x:v>
      </x:c>
      <x:c r="J289" s="91" t="str">
        <x:v>ロードキャプテン / TTスペシャリスト / 平坦アシスト / 平坦ペースメーカー / 集団コントローラー / ブレイクアウェイキラー / トラブル復帰牽引</x:v>
      </x:c>
      <x:c r="K289" s="91" t="str">
        <x:v>巡航力 / 総合安定</x:v>
      </x:c>
      <x:c r="L289" s="88" t="n">
        <x:v>3650</x:v>
      </x:c>
      <x:c r="M289" s="91" t="str">
        <x:v>現役確認済</x:v>
      </x:c>
      <x:c r="N289" s="91" t="str">
        <x:v>https://en.wikipedia.org/wiki/Special:Search?search=Edoardo%20Affini%20cyclist</x:v>
      </x:c>
    </x:row>
    <x:row r="290" ht="22" customHeight="1">
      <x:c r="A290" s="82" t="n">
        <x:v>286</x:v>
      </x:c>
      <x:c r="B290" s="82" t="str">
        <x:v>Nils Politt</x:v>
      </x:c>
      <x:c r="C290" s="82" t="str"/>
      <x:c r="D290" s="82" t="str">
        <x:v>ドイツ</x:v>
      </x:c>
      <x:c r="E290" s="82" t="str">
        <x:v>UAE Team Emirates XRG</x:v>
      </x:c>
      <x:c r="F290" s="82" t="str">
        <x:v>TT・ルーラー型</x:v>
      </x:c>
      <x:c r="G290" s="85" t="str">
        <x:v>クラシック型</x:v>
      </x:c>
      <x:c r="H290" s="85" t="n">
        <x:v>61</x:v>
      </x:c>
      <x:c r="I290" s="91" t="n">
        <x:v>78</x:v>
      </x:c>
      <x:c r="J290" s="91" t="str">
        <x:v>平坦アシスト / TT牽引 / 石畳護衛 / 横風要員 / 横風分断</x:v>
      </x:c>
      <x:c r="K290" s="91" t="str">
        <x:v>巡航力 / 悪路耐性</x:v>
      </x:c>
      <x:c r="L290" s="88" t="n">
        <x:v>3200</x:v>
      </x:c>
      <x:c r="M290" s="91" t="str">
        <x:v>現役確認済</x:v>
      </x:c>
      <x:c r="N290" s="91" t="str">
        <x:v>https://en.wikipedia.org/wiki/Special:Search?search=Nils%20Politt%20cyclist</x:v>
      </x:c>
    </x:row>
    <x:row r="291" ht="22" customHeight="1">
      <x:c r="A291" s="82" t="n">
        <x:v>287</x:v>
      </x:c>
      <x:c r="B291" s="82" t="str">
        <x:v>Magnus Sheffield</x:v>
      </x:c>
      <x:c r="C291" s="82" t="str"/>
      <x:c r="D291" s="82" t="str">
        <x:v>アメリカ</x:v>
      </x:c>
      <x:c r="E291" s="82" t="str">
        <x:v>Netcompany INEOS Cycling Team</x:v>
      </x:c>
      <x:c r="F291" s="82" t="str">
        <x:v>TT・ルーラー型</x:v>
      </x:c>
      <x:c r="G291" s="85" t="str">
        <x:v>総合型</x:v>
      </x:c>
      <x:c r="H291" s="85" t="n">
        <x:v>61</x:v>
      </x:c>
      <x:c r="I291" s="91" t="n">
        <x:v>79</x:v>
      </x:c>
      <x:c r="J291" s="91" t="str">
        <x:v>ロードキャプテン / 平坦アシスト / 平坦ペースメーカー / TT牽引 / 集団コントローラー</x:v>
      </x:c>
      <x:c r="K291" s="91" t="str">
        <x:v>巡航力 / 総合安定</x:v>
      </x:c>
      <x:c r="L291" s="88" t="n">
        <x:v>3150</x:v>
      </x:c>
      <x:c r="M291" s="91" t="str">
        <x:v>現役確認済</x:v>
      </x:c>
      <x:c r="N291" s="91" t="str">
        <x:v>https://en.wikipedia.org/wiki/Special:Search?search=Magnus%20Sheffield%20cyclist</x:v>
      </x:c>
    </x:row>
    <x:row r="292" ht="22" customHeight="1">
      <x:c r="A292" s="82" t="n">
        <x:v>288</x:v>
      </x:c>
      <x:c r="B292" s="82" t="str">
        <x:v>Christophe Laporte</x:v>
      </x:c>
      <x:c r="C292" s="82" t="str"/>
      <x:c r="D292" s="82" t="str">
        <x:v>フランス</x:v>
      </x:c>
      <x:c r="E292" s="82" t="str">
        <x:v>Visma–Lease a Bike</x:v>
      </x:c>
      <x:c r="F292" s="82" t="str">
        <x:v>スプリンター</x:v>
      </x:c>
      <x:c r="G292" s="85" t="str">
        <x:v>TT・ルーラー型</x:v>
      </x:c>
      <x:c r="H292" s="85" t="n">
        <x:v>61</x:v>
      </x:c>
      <x:c r="I292" s="91" t="n">
        <x:v>74</x:v>
      </x:c>
      <x:c r="J292" s="91" t="str">
        <x:v>リードアウト / 最終発射台 / スプリントトレイン</x:v>
      </x:c>
      <x:c r="K292" s="91" t="str">
        <x:v>最高速 / TT適性</x:v>
      </x:c>
      <x:c r="L292" s="88" t="n">
        <x:v>3150</x:v>
      </x:c>
      <x:c r="M292" s="91" t="str">
        <x:v>現役確認済</x:v>
      </x:c>
      <x:c r="N292" s="91" t="str">
        <x:v>https://en.wikipedia.org/wiki/Special:Search?search=Christophe%20Laporte%20cyclist</x:v>
      </x:c>
    </x:row>
    <x:row r="293" ht="22" customHeight="1">
      <x:c r="A293" s="82" t="n">
        <x:v>289</x:v>
      </x:c>
      <x:c r="B293" s="82" t="str">
        <x:v>Marc Soler</x:v>
      </x:c>
      <x:c r="C293" s="82" t="str"/>
      <x:c r="D293" s="82" t="str">
        <x:v>スペイン</x:v>
      </x:c>
      <x:c r="E293" s="82" t="str">
        <x:v>UAE Team Emirates XRG</x:v>
      </x:c>
      <x:c r="F293" s="82" t="str">
        <x:v>クライマー</x:v>
      </x:c>
      <x:c r="G293" s="85" t="str">
        <x:v>総合型</x:v>
      </x:c>
      <x:c r="H293" s="85" t="n">
        <x:v>61</x:v>
      </x:c>
      <x:c r="I293" s="91" t="n">
        <x:v>76</x:v>
      </x:c>
      <x:c r="J293" s="91" t="str">
        <x:v>山岳賞ハンター / 山岳アシスト / 集団コントローラー</x:v>
      </x:c>
      <x:c r="K293" s="91" t="str">
        <x:v>山岳耐久 / 総合安定</x:v>
      </x:c>
      <x:c r="L293" s="88" t="n">
        <x:v>3100</x:v>
      </x:c>
      <x:c r="M293" s="91" t="str">
        <x:v>現役確認済</x:v>
      </x:c>
      <x:c r="N293" s="91" t="str">
        <x:v>https://en.wikipedia.org/wiki/Special:Search?search=Marc%20Soler%20cyclist</x:v>
      </x:c>
    </x:row>
    <x:row r="294" ht="22" customHeight="1">
      <x:c r="A294" s="82" t="n">
        <x:v>290</x:v>
      </x:c>
      <x:c r="B294" s="82" t="str">
        <x:v>Edward Theuns</x:v>
      </x:c>
      <x:c r="C294" s="82" t="str"/>
      <x:c r="D294" s="82" t="str">
        <x:v>ベルギー</x:v>
      </x:c>
      <x:c r="E294" s="82" t="str">
        <x:v>Lidl–Trek</x:v>
      </x:c>
      <x:c r="F294" s="82" t="str">
        <x:v>スプリンター</x:v>
      </x:c>
      <x:c r="G294" s="85" t="str">
        <x:v>TT・ルーラー型</x:v>
      </x:c>
      <x:c r="H294" s="85" t="n">
        <x:v>61</x:v>
      </x:c>
      <x:c r="I294" s="91" t="n">
        <x:v>75</x:v>
      </x:c>
      <x:c r="J294" s="91" t="str">
        <x:v>リードアウト / 最終発射台 / スプリントトレイン</x:v>
      </x:c>
      <x:c r="K294" s="91" t="str">
        <x:v>最高速 / TT適性</x:v>
      </x:c>
      <x:c r="L294" s="88" t="n">
        <x:v>3000</x:v>
      </x:c>
      <x:c r="M294" s="91" t="str">
        <x:v>現役確認済</x:v>
      </x:c>
      <x:c r="N294" s="91" t="str">
        <x:v>https://en.wikipedia.org/wiki/Special:Search?search=Edward%20Theuns%20cyclist</x:v>
      </x:c>
    </x:row>
    <x:row r="295" ht="22" customHeight="1">
      <x:c r="A295" s="82" t="n">
        <x:v>291</x:v>
      </x:c>
      <x:c r="B295" s="82" t="str">
        <x:v>Bert Van Lerberghe</x:v>
      </x:c>
      <x:c r="C295" s="82" t="str"/>
      <x:c r="D295" s="82" t="str">
        <x:v>ベルギー</x:v>
      </x:c>
      <x:c r="E295" s="82" t="str">
        <x:v>Soudal–Quick-Step</x:v>
      </x:c>
      <x:c r="F295" s="82" t="str">
        <x:v>スプリンター</x:v>
      </x:c>
      <x:c r="G295" s="85" t="str">
        <x:v>TT・ルーラー型</x:v>
      </x:c>
      <x:c r="H295" s="85" t="n">
        <x:v>61</x:v>
      </x:c>
      <x:c r="I295" s="91" t="n">
        <x:v>75</x:v>
      </x:c>
      <x:c r="J295" s="91" t="str">
        <x:v>リードアウト / 最終発射台 / スプリントトレイン / 集団コントローラー</x:v>
      </x:c>
      <x:c r="K295" s="91" t="str">
        <x:v>最高速 / TT適性</x:v>
      </x:c>
      <x:c r="L295" s="88" t="n">
        <x:v>2950</x:v>
      </x:c>
      <x:c r="M295" s="91" t="str">
        <x:v>現役確認済</x:v>
      </x:c>
      <x:c r="N295" s="91" t="str">
        <x:v>https://en.wikipedia.org/wiki/Special:Search?search=Bert%20Van%20Lerberghe%20cyclist</x:v>
      </x:c>
    </x:row>
    <x:row r="296" ht="22" customHeight="1">
      <x:c r="A296" s="82" t="n">
        <x:v>292</x:v>
      </x:c>
      <x:c r="B296" s="82" t="str">
        <x:v>Nikias Arndt</x:v>
      </x:c>
      <x:c r="C296" s="82" t="str"/>
      <x:c r="D296" s="82" t="str">
        <x:v>ドイツ</x:v>
      </x:c>
      <x:c r="E296" s="82" t="str">
        <x:v>Team Bahrain Victorious</x:v>
      </x:c>
      <x:c r="F296" s="82" t="str">
        <x:v>スプリンター</x:v>
      </x:c>
      <x:c r="G296" s="85" t="str">
        <x:v>TT・ルーラー型</x:v>
      </x:c>
      <x:c r="H296" s="85" t="n">
        <x:v>61</x:v>
      </x:c>
      <x:c r="I296" s="91" t="n">
        <x:v>73</x:v>
      </x:c>
      <x:c r="J296" s="91" t="str">
        <x:v>リードアウト / 最終発射台 / スプリントトレイン / 集団コントローラー</x:v>
      </x:c>
      <x:c r="K296" s="91" t="str">
        <x:v>最高速 / TT適性</x:v>
      </x:c>
      <x:c r="L296" s="88" t="n">
        <x:v>2850</x:v>
      </x:c>
      <x:c r="M296" s="91" t="str">
        <x:v>現役確認済</x:v>
      </x:c>
      <x:c r="N296" s="91" t="str">
        <x:v>https://en.wikipedia.org/wiki/Special:Search?search=Nikias%20Arndt%20cyclist</x:v>
      </x:c>
    </x:row>
    <x:row r="297" ht="22" customHeight="1">
      <x:c r="A297" s="82" t="n">
        <x:v>293</x:v>
      </x:c>
      <x:c r="B297" s="82" t="str">
        <x:v>Yves Lampaert</x:v>
      </x:c>
      <x:c r="C297" s="82" t="str"/>
      <x:c r="D297" s="82" t="str">
        <x:v>ベルギー</x:v>
      </x:c>
      <x:c r="E297" s="82" t="str">
        <x:v>Soudal–Quick-Step</x:v>
      </x:c>
      <x:c r="F297" s="82" t="str">
        <x:v>TT・ルーラー型</x:v>
      </x:c>
      <x:c r="G297" s="85" t="str">
        <x:v>クラシック型</x:v>
      </x:c>
      <x:c r="H297" s="85" t="n">
        <x:v>60</x:v>
      </x:c>
      <x:c r="I297" s="91" t="n">
        <x:v>78</x:v>
      </x:c>
      <x:c r="J297" s="91" t="str">
        <x:v>平坦アシスト / TT牽引 / 石畳護衛 / 横風要員</x:v>
      </x:c>
      <x:c r="K297" s="91" t="str">
        <x:v>巡航力 / 悪路耐性</x:v>
      </x:c>
      <x:c r="L297" s="88" t="n">
        <x:v>3050</x:v>
      </x:c>
      <x:c r="M297" s="91" t="str">
        <x:v>現役確認済</x:v>
      </x:c>
      <x:c r="N297" s="91" t="str">
        <x:v>https://en.wikipedia.org/wiki/Special:Search?search=Yves%20Lampaert%20cyclist</x:v>
      </x:c>
    </x:row>
    <x:row r="298" ht="22" customHeight="1">
      <x:c r="A298" s="82" t="n">
        <x:v>294</x:v>
      </x:c>
      <x:c r="B298" s="82" t="str">
        <x:v>Jan Tratnik</x:v>
      </x:c>
      <x:c r="C298" s="82" t="str"/>
      <x:c r="D298" s="82" t="str">
        <x:v>スロベニア</x:v>
      </x:c>
      <x:c r="E298" s="82" t="str">
        <x:v>Red Bull–Bora–Hansgrohe</x:v>
      </x:c>
      <x:c r="F298" s="82" t="str">
        <x:v>TT・ルーラー型</x:v>
      </x:c>
      <x:c r="G298" s="85" t="str">
        <x:v>総合型</x:v>
      </x:c>
      <x:c r="H298" s="85" t="n">
        <x:v>60</x:v>
      </x:c>
      <x:c r="I298" s="91" t="n">
        <x:v>79</x:v>
      </x:c>
      <x:c r="J298" s="91" t="str">
        <x:v>ロードキャプテン / 平坦アシスト / 平坦ペースメーカー / TT牽引 / 集団コントローラー</x:v>
      </x:c>
      <x:c r="K298" s="91" t="str">
        <x:v>巡航力 / 総合安定 / 逃げ屋</x:v>
      </x:c>
      <x:c r="L298" s="88" t="n">
        <x:v>3050</x:v>
      </x:c>
      <x:c r="M298" s="91" t="str">
        <x:v>現役確認済</x:v>
      </x:c>
      <x:c r="N298" s="91" t="str">
        <x:v>https://en.wikipedia.org/wiki/Special:Search?search=Jan%20Tratnik%20cyclist</x:v>
      </x:c>
    </x:row>
    <x:row r="299" ht="22" customHeight="1">
      <x:c r="A299" s="82" t="n">
        <x:v>295</x:v>
      </x:c>
      <x:c r="B299" s="82" t="str">
        <x:v>Mikel Landa</x:v>
      </x:c>
      <x:c r="C299" s="82" t="str"/>
      <x:c r="D299" s="82" t="str">
        <x:v>スペイン</x:v>
      </x:c>
      <x:c r="E299" s="82" t="str">
        <x:v>Soudal–Quick-Step</x:v>
      </x:c>
      <x:c r="F299" s="82" t="str">
        <x:v>クライマー</x:v>
      </x:c>
      <x:c r="G299" s="85" t="str">
        <x:v>総合型</x:v>
      </x:c>
      <x:c r="H299" s="85" t="n">
        <x:v>60</x:v>
      </x:c>
      <x:c r="I299" s="91" t="n">
        <x:v>75</x:v>
      </x:c>
      <x:c r="J299" s="91" t="str">
        <x:v>山岳賞ハンター / 山岳アシスト / 山岳ペースメーカー / 集団コントローラー / サテライトライダー</x:v>
      </x:c>
      <x:c r="K299" s="91" t="str">
        <x:v>山岳耐久 / 総合安定</x:v>
      </x:c>
      <x:c r="L299" s="88" t="n">
        <x:v>2950</x:v>
      </x:c>
      <x:c r="M299" s="91" t="str">
        <x:v>現役確認済</x:v>
      </x:c>
      <x:c r="N299" s="91" t="str">
        <x:v>https://en.wikipedia.org/wiki/Special:Search?search=Mikel%20Landa%20cyclist</x:v>
      </x:c>
    </x:row>
    <x:row r="300" ht="22" customHeight="1">
      <x:c r="A300" s="82" t="n">
        <x:v>296</x:v>
      </x:c>
      <x:c r="B300" s="82" t="str">
        <x:v>Jasper De Buyst</x:v>
      </x:c>
      <x:c r="C300" s="82" t="str"/>
      <x:c r="D300" s="82" t="str">
        <x:v>ベルギー</x:v>
      </x:c>
      <x:c r="E300" s="82" t="str">
        <x:v>Lotto–Intermarché</x:v>
      </x:c>
      <x:c r="F300" s="82" t="str">
        <x:v>スプリンター</x:v>
      </x:c>
      <x:c r="G300" s="85" t="str">
        <x:v>TT・ルーラー型</x:v>
      </x:c>
      <x:c r="H300" s="85" t="n">
        <x:v>60</x:v>
      </x:c>
      <x:c r="I300" s="91" t="n">
        <x:v>72</x:v>
      </x:c>
      <x:c r="J300" s="91" t="str">
        <x:v>リードアウト / 最終発射台 / スプリントトレイン / 集団コントローラー</x:v>
      </x:c>
      <x:c r="K300" s="91" t="str">
        <x:v>最高速 / TT適性</x:v>
      </x:c>
      <x:c r="L300" s="88" t="n">
        <x:v>2800</x:v>
      </x:c>
      <x:c r="M300" s="91" t="str">
        <x:v>現役確認済</x:v>
      </x:c>
      <x:c r="N300" s="91" t="str">
        <x:v>https://en.wikipedia.org/wiki/Special:Search?search=Jasper%20De%20Buyst%20cyclist</x:v>
      </x:c>
    </x:row>
    <x:row r="301" ht="22" customHeight="1">
      <x:c r="A301" s="82" t="n">
        <x:v>297</x:v>
      </x:c>
      <x:c r="B301" s="82" t="str">
        <x:v>Mikkel Bjerg</x:v>
      </x:c>
      <x:c r="C301" s="82" t="str"/>
      <x:c r="D301" s="82" t="str">
        <x:v>デンマーク</x:v>
      </x:c>
      <x:c r="E301" s="82" t="str">
        <x:v>UAE Team Emirates XRG</x:v>
      </x:c>
      <x:c r="F301" s="82" t="str">
        <x:v>TT・ルーラー型</x:v>
      </x:c>
      <x:c r="G301" s="85" t="str">
        <x:v>クラシック型</x:v>
      </x:c>
      <x:c r="H301" s="85" t="n">
        <x:v>59</x:v>
      </x:c>
      <x:c r="I301" s="91" t="n">
        <x:v>77</x:v>
      </x:c>
      <x:c r="J301" s="91" t="str">
        <x:v>平坦アシスト / TT牽引 / 集団コントローラー / 横風分断</x:v>
      </x:c>
      <x:c r="K301" s="91" t="str">
        <x:v>巡航力 / 悪路耐性</x:v>
      </x:c>
      <x:c r="L301" s="88" t="n">
        <x:v>2850</x:v>
      </x:c>
      <x:c r="M301" s="91" t="str">
        <x:v>現役確認済</x:v>
      </x:c>
      <x:c r="N301" s="91" t="str">
        <x:v>https://en.wikipedia.org/wiki/Special:Search?search=Mikkel%20Bjerg%20cyclist</x:v>
      </x:c>
    </x:row>
    <x:row r="302" ht="22" customHeight="1">
      <x:c r="A302" s="82" t="n">
        <x:v>298</x:v>
      </x:c>
      <x:c r="B302" s="82" t="str">
        <x:v>Luke Durbridge</x:v>
      </x:c>
      <x:c r="C302" s="82" t="str"/>
      <x:c r="D302" s="82" t="str">
        <x:v>オーストラリア</x:v>
      </x:c>
      <x:c r="E302" s="82" t="str">
        <x:v>Team Jayco–AlUla</x:v>
      </x:c>
      <x:c r="F302" s="82" t="str">
        <x:v>TT・ルーラー型</x:v>
      </x:c>
      <x:c r="G302" s="85" t="str">
        <x:v>クラシック型</x:v>
      </x:c>
      <x:c r="H302" s="85" t="n">
        <x:v>58</x:v>
      </x:c>
      <x:c r="I302" s="91" t="n">
        <x:v>79</x:v>
      </x:c>
      <x:c r="J302" s="91" t="str">
        <x:v>平坦アシスト / 平坦ペースメーカー / TT牽引 / 集団コントローラー / トラブル復帰牽引</x:v>
      </x:c>
      <x:c r="K302" s="91" t="str">
        <x:v>巡航力 / 悪路耐性</x:v>
      </x:c>
      <x:c r="L302" s="88" t="n">
        <x:v>2900</x:v>
      </x:c>
      <x:c r="M302" s="91" t="str">
        <x:v>現役確認済</x:v>
      </x:c>
      <x:c r="N302" s="91" t="str">
        <x:v>https://en.wikipedia.org/wiki/Special:Search?search=Luke%20Durbridge%20cyclist</x:v>
      </x:c>
    </x:row>
    <x:row r="303" ht="22" customHeight="1">
      <x:c r="A303" s="82" t="n">
        <x:v>299</x:v>
      </x:c>
      <x:c r="B303" s="82" t="str">
        <x:v>Vegard Stake Laengen</x:v>
      </x:c>
      <x:c r="C303" s="82" t="str"/>
      <x:c r="D303" s="82" t="str">
        <x:v>ノルウェー</x:v>
      </x:c>
      <x:c r="E303" s="82" t="str">
        <x:v>UAE Team Emirates XRG</x:v>
      </x:c>
      <x:c r="F303" s="82" t="str">
        <x:v>TT・ルーラー型</x:v>
      </x:c>
      <x:c r="G303" s="85" t="str">
        <x:v>クラシック型</x:v>
      </x:c>
      <x:c r="H303" s="85" t="n">
        <x:v>58</x:v>
      </x:c>
      <x:c r="I303" s="91" t="n">
        <x:v>78</x:v>
      </x:c>
      <x:c r="J303" s="91" t="str">
        <x:v>平坦アシスト / TT牽引 / 集団コントローラー / トラブル復帰牽引</x:v>
      </x:c>
      <x:c r="K303" s="91" t="str">
        <x:v>巡航力 / 悪路耐性</x:v>
      </x:c>
      <x:c r="L303" s="88" t="n">
        <x:v>2850</x:v>
      </x:c>
      <x:c r="M303" s="91" t="str">
        <x:v>現役確認済</x:v>
      </x:c>
      <x:c r="N303" s="91" t="str">
        <x:v>https://en.wikipedia.org/wiki/Special:Search?search=Vegard%20Stake%20Laengen%20cyclist</x:v>
      </x:c>
    </x:row>
    <x:row r="304" ht="22" customHeight="1">
      <x:c r="A304" s="83" t="n">
        <x:v>300</x:v>
      </x:c>
      <x:c r="B304" s="83" t="str">
        <x:v>Kasper Asgreen</x:v>
      </x:c>
      <x:c r="C304" s="83" t="str"/>
      <x:c r="D304" s="83" t="str">
        <x:v>デンマーク</x:v>
      </x:c>
      <x:c r="E304" s="83" t="str">
        <x:v>EF Education–EasyPost</x:v>
      </x:c>
      <x:c r="F304" s="83" t="str">
        <x:v>TT・ルーラー型</x:v>
      </x:c>
      <x:c r="G304" s="86" t="str">
        <x:v>クラシック型</x:v>
      </x:c>
      <x:c r="H304" s="86" t="n">
        <x:v>57</x:v>
      </x:c>
      <x:c r="I304" s="92" t="n">
        <x:v>79</x:v>
      </x:c>
      <x:c r="J304" s="92" t="str">
        <x:v>平坦アシスト / TT牽引 / ブレイクアウェイキラー / トラブル復帰牽引</x:v>
      </x:c>
      <x:c r="K304" s="92" t="str">
        <x:v>巡航力 / 悪路耐性</x:v>
      </x:c>
      <x:c r="L304" s="89" t="n">
        <x:v>2850</x:v>
      </x:c>
      <x:c r="M304" s="92" t="str">
        <x:v>現役確認済</x:v>
      </x:c>
      <x:c r="N304" s="92" t="str">
        <x:v>https://en.wikipedia.org/wiki/Special:Search?search=Kasper%20Asgreen%20cyclist</x:v>
      </x:c>
    </x:row>
  </x:sheetData>
  <x:mergeCells>
    <x:mergeCell ref="A1:N1"/>
    <x:mergeCell ref="A2:N2"/>
  </x:mergeCells>
  <x:conditionalFormatting sqref="G5:H304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L5:L304">
    <x:cfRule type="cellIs" dxfId="0" priority="2" operator="equal">
      <x:formula>15000</x:formula>
    </x:cfRule>
  </x:conditionalFormatting>
  <x:dataValidations count="1">
    <x:dataValidation type="list" sqref="E5:F304">
      <x:formula1>"総合型,スプリンター,クライマー,パンチャー,クラシック型,TT・ルーラー型"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97f3a9b53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4" hidden="0" customWidth="1"/>
    <x:col min="4" max="4" width="11" hidden="0" customWidth="1"/>
    <x:col min="5" max="5" width="17" hidden="0" customWidth="1"/>
    <x:col min="6" max="6" width="17" hidden="0" customWidth="1"/>
    <x:col min="7" max="7" width="12" hidden="0" customWidth="1"/>
    <x:col min="8" max="8" width="14" hidden="0" customWidth="1"/>
    <x:col min="9" max="9" width="30" hidden="0" customWidth="1"/>
    <x:col min="10" max="10" width="13" hidden="0" customWidth="1"/>
    <x:col min="11" max="11" width="64" hidden="0" customWidth="1"/>
  </x:cols>
  <x:sheetData>
    <x:row r="1" ht="34" customHeight="1">
      <x:c r="A1" s="3" t="str">
        <x:v>後日登場候補 — 歴史・クラシック選手 11名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6" t="str">
        <x:v>初期300名には含めず、後日登場させる別枠。主脚質・副脚質・適性タグの構造は本編と共通です。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国・地域</x:v>
      </x:c>
      <x:c r="D4" s="20" t="str">
        <x:v>時代区分</x:v>
      </x:c>
      <x:c r="E4" s="20" t="str">
        <x:v>主脚質</x:v>
      </x:c>
      <x:c r="F4" s="20" t="str">
        <x:v>副脚質</x:v>
      </x:c>
      <x:c r="G4" s="20" t="str">
        <x:v>エース適性</x:v>
      </x:c>
      <x:c r="H4" s="20" t="str">
        <x:v>アシスト適性</x:v>
      </x:c>
      <x:c r="I4" s="20" t="str">
        <x:v>適性タグ</x:v>
      </x:c>
      <x:c r="J4" s="20" t="str">
        <x:v>仮Credit</x:v>
      </x:c>
      <x:c r="K4" s="16" t="str">
        <x:v>人物確認URL</x:v>
      </x:c>
    </x:row>
    <x:row r="5" ht="34" customHeight="1">
      <x:c r="A5" s="78" t="n">
        <x:v>1</x:v>
      </x:c>
      <x:c r="B5" s="78" t="str">
        <x:v>Eddy Merckx</x:v>
      </x:c>
      <x:c r="C5" s="78" t="str">
        <x:v>ベルギー</x:v>
      </x:c>
      <x:c r="D5" s="78" t="str">
        <x:v>クラシック</x:v>
      </x:c>
      <x:c r="E5" s="78" t="str">
        <x:v>総合型</x:v>
      </x:c>
      <x:c r="F5" s="78" t="str">
        <x:v>クライマー</x:v>
      </x:c>
      <x:c r="G5" s="93" t="n">
        <x:v>96</x:v>
      </x:c>
      <x:c r="H5" s="93" t="n">
        <x:v>66</x:v>
      </x:c>
      <x:c r="I5" s="99" t="str">
        <x:v>日別回復 / 登坂力</x:v>
      </x:c>
      <x:c r="J5" s="100" t="n">
        <x:v>12000</x:v>
      </x:c>
      <x:c r="K5" s="99" t="str">
        <x:v>https://en.wikipedia.org/wiki/Special:Search?search=Eddy%20Merckx%20cyclist</x:v>
      </x:c>
    </x:row>
    <x:row r="6" ht="34" customHeight="1">
      <x:c r="A6" s="79" t="n">
        <x:v>2</x:v>
      </x:c>
      <x:c r="B6" s="79" t="str">
        <x:v>Bernard Hinault</x:v>
      </x:c>
      <x:c r="C6" s="79" t="str">
        <x:v>フランス</x:v>
      </x:c>
      <x:c r="D6" s="79" t="str">
        <x:v>クラシック</x:v>
      </x:c>
      <x:c r="E6" s="79" t="str">
        <x:v>総合型</x:v>
      </x:c>
      <x:c r="F6" s="79" t="str">
        <x:v>クライマー</x:v>
      </x:c>
      <x:c r="G6" s="94" t="n">
        <x:v>95</x:v>
      </x:c>
      <x:c r="H6" s="94" t="n">
        <x:v>67</x:v>
      </x:c>
      <x:c r="I6" s="101" t="str">
        <x:v>日別回復 / 登坂力</x:v>
      </x:c>
      <x:c r="J6" s="102" t="n">
        <x:v>11600</x:v>
      </x:c>
      <x:c r="K6" s="101" t="str">
        <x:v>https://en.wikipedia.org/wiki/Special:Search?search=Bernard%20Hinault%20cyclist</x:v>
      </x:c>
    </x:row>
    <x:row r="7" ht="34" customHeight="1">
      <x:c r="A7" s="79" t="n">
        <x:v>3</x:v>
      </x:c>
      <x:c r="B7" s="79" t="str">
        <x:v>Fausto Coppi</x:v>
      </x:c>
      <x:c r="C7" s="79" t="str">
        <x:v>イタリア</x:v>
      </x:c>
      <x:c r="D7" s="79" t="str">
        <x:v>歴史</x:v>
      </x:c>
      <x:c r="E7" s="79" t="str">
        <x:v>総合型</x:v>
      </x:c>
      <x:c r="F7" s="79" t="str">
        <x:v>クライマー</x:v>
      </x:c>
      <x:c r="G7" s="94" t="n">
        <x:v>94</x:v>
      </x:c>
      <x:c r="H7" s="94" t="n">
        <x:v>68</x:v>
      </x:c>
      <x:c r="I7" s="101" t="str">
        <x:v>日別回復 / 登坂力</x:v>
      </x:c>
      <x:c r="J7" s="102" t="n">
        <x:v>11500</x:v>
      </x:c>
      <x:c r="K7" s="101" t="str">
        <x:v>https://en.wikipedia.org/wiki/Special:Search?search=Fausto%20Coppi%20cyclist</x:v>
      </x:c>
    </x:row>
    <x:row r="8" ht="34" customHeight="1">
      <x:c r="A8" s="79" t="n">
        <x:v>4</x:v>
      </x:c>
      <x:c r="B8" s="79" t="str">
        <x:v>Jacques Anquetil</x:v>
      </x:c>
      <x:c r="C8" s="79" t="str">
        <x:v>フランス</x:v>
      </x:c>
      <x:c r="D8" s="79" t="str">
        <x:v>歴史</x:v>
      </x:c>
      <x:c r="E8" s="79" t="str">
        <x:v>総合型</x:v>
      </x:c>
      <x:c r="F8" s="79" t="str">
        <x:v>クライマー</x:v>
      </x:c>
      <x:c r="G8" s="94" t="n">
        <x:v>97</x:v>
      </x:c>
      <x:c r="H8" s="94" t="n">
        <x:v>69</x:v>
      </x:c>
      <x:c r="I8" s="101" t="str">
        <x:v>日別回復 / 登坂力</x:v>
      </x:c>
      <x:c r="J8" s="102" t="n">
        <x:v>11000</x:v>
      </x:c>
      <x:c r="K8" s="101" t="str">
        <x:v>https://en.wikipedia.org/wiki/Special:Search?search=Jacques%20Anquetil%20cyclist</x:v>
      </x:c>
    </x:row>
    <x:row r="9" ht="34" customHeight="1">
      <x:c r="A9" s="79" t="n">
        <x:v>5</x:v>
      </x:c>
      <x:c r="B9" s="79" t="str">
        <x:v>Gino Bartali</x:v>
      </x:c>
      <x:c r="C9" s="79" t="str">
        <x:v>イタリア</x:v>
      </x:c>
      <x:c r="D9" s="79" t="str">
        <x:v>歴史</x:v>
      </x:c>
      <x:c r="E9" s="79" t="str">
        <x:v>総合型</x:v>
      </x:c>
      <x:c r="F9" s="79" t="str">
        <x:v>クライマー</x:v>
      </x:c>
      <x:c r="G9" s="94" t="n">
        <x:v>96</x:v>
      </x:c>
      <x:c r="H9" s="94" t="n">
        <x:v>65</x:v>
      </x:c>
      <x:c r="I9" s="101" t="str">
        <x:v>日別回復 / 登坂力</x:v>
      </x:c>
      <x:c r="J9" s="102" t="n">
        <x:v>10000</x:v>
      </x:c>
      <x:c r="K9" s="101" t="str">
        <x:v>https://en.wikipedia.org/wiki/Special:Search?search=Gino%20Bartali%20cyclist</x:v>
      </x:c>
    </x:row>
    <x:row r="10" ht="34" customHeight="1">
      <x:c r="A10" s="79" t="n">
        <x:v>6</x:v>
      </x:c>
      <x:c r="B10" s="79" t="str">
        <x:v>Felice Gimondi</x:v>
      </x:c>
      <x:c r="C10" s="79" t="str">
        <x:v>イタリア</x:v>
      </x:c>
      <x:c r="D10" s="79" t="str">
        <x:v>クラシック</x:v>
      </x:c>
      <x:c r="E10" s="79" t="str">
        <x:v>総合型</x:v>
      </x:c>
      <x:c r="F10" s="79" t="str">
        <x:v>クライマー</x:v>
      </x:c>
      <x:c r="G10" s="94" t="n">
        <x:v>95</x:v>
      </x:c>
      <x:c r="H10" s="94" t="n">
        <x:v>66</x:v>
      </x:c>
      <x:c r="I10" s="101" t="str">
        <x:v>日別回復 / 登坂力</x:v>
      </x:c>
      <x:c r="J10" s="102" t="n">
        <x:v>9800</x:v>
      </x:c>
      <x:c r="K10" s="101" t="str">
        <x:v>https://en.wikipedia.org/wiki/Special:Search?search=Felice%20Gimondi%20cyclist</x:v>
      </x:c>
    </x:row>
    <x:row r="11" ht="34" customHeight="1">
      <x:c r="A11" s="79" t="n">
        <x:v>7</x:v>
      </x:c>
      <x:c r="B11" s="79" t="str">
        <x:v>Federico Bahamontes</x:v>
      </x:c>
      <x:c r="C11" s="79" t="str">
        <x:v>スペイン</x:v>
      </x:c>
      <x:c r="D11" s="79" t="str">
        <x:v>歴史</x:v>
      </x:c>
      <x:c r="E11" s="79" t="str">
        <x:v>クライマー</x:v>
      </x:c>
      <x:c r="F11" s="79" t="str">
        <x:v>パンチャー</x:v>
      </x:c>
      <x:c r="G11" s="94" t="n">
        <x:v>94</x:v>
      </x:c>
      <x:c r="H11" s="94" t="n">
        <x:v>67</x:v>
      </x:c>
      <x:c r="I11" s="101" t="str">
        <x:v>山岳耐久 / 反復加速</x:v>
      </x:c>
      <x:c r="J11" s="102" t="n">
        <x:v>8800</x:v>
      </x:c>
      <x:c r="K11" s="101" t="str">
        <x:v>https://en.wikipedia.org/wiki/Special:Search?search=Federico%20Bahamontes%20cyclist</x:v>
      </x:c>
    </x:row>
    <x:row r="12" ht="34" customHeight="1">
      <x:c r="A12" s="79" t="n">
        <x:v>8</x:v>
      </x:c>
      <x:c r="B12" s="79" t="str">
        <x:v>Luis Herrera</x:v>
      </x:c>
      <x:c r="C12" s="79" t="str">
        <x:v>コロンビア</x:v>
      </x:c>
      <x:c r="D12" s="79" t="str">
        <x:v>クラシック</x:v>
      </x:c>
      <x:c r="E12" s="79" t="str">
        <x:v>クライマー</x:v>
      </x:c>
      <x:c r="F12" s="79" t="str">
        <x:v>パンチャー</x:v>
      </x:c>
      <x:c r="G12" s="94" t="n">
        <x:v>97</x:v>
      </x:c>
      <x:c r="H12" s="94" t="n">
        <x:v>68</x:v>
      </x:c>
      <x:c r="I12" s="101" t="str">
        <x:v>山岳耐久 / 反復加速</x:v>
      </x:c>
      <x:c r="J12" s="102" t="n">
        <x:v>8200</x:v>
      </x:c>
      <x:c r="K12" s="101" t="str">
        <x:v>https://en.wikipedia.org/wiki/Special:Search?search=Luis%20Herrera%20cyclist</x:v>
      </x:c>
    </x:row>
    <x:row r="13" ht="34" customHeight="1">
      <x:c r="A13" s="79" t="n">
        <x:v>9</x:v>
      </x:c>
      <x:c r="B13" s="79" t="str">
        <x:v>Charly Gaul</x:v>
      </x:c>
      <x:c r="C13" s="79" t="str">
        <x:v>ルクセンブルク</x:v>
      </x:c>
      <x:c r="D13" s="79" t="str">
        <x:v>歴史</x:v>
      </x:c>
      <x:c r="E13" s="79" t="str">
        <x:v>クライマー</x:v>
      </x:c>
      <x:c r="F13" s="79" t="str">
        <x:v>パンチャー</x:v>
      </x:c>
      <x:c r="G13" s="94" t="n">
        <x:v>96</x:v>
      </x:c>
      <x:c r="H13" s="94" t="n">
        <x:v>69</x:v>
      </x:c>
      <x:c r="I13" s="101" t="str">
        <x:v>山岳耐久 / 反復加速</x:v>
      </x:c>
      <x:c r="J13" s="102" t="n">
        <x:v>9000</x:v>
      </x:c>
      <x:c r="K13" s="101" t="str">
        <x:v>https://en.wikipedia.org/wiki/Special:Search?search=Charly%20Gaul%20cyclist</x:v>
      </x:c>
    </x:row>
    <x:row r="14" ht="34" customHeight="1">
      <x:c r="A14" s="79" t="n">
        <x:v>10</x:v>
      </x:c>
      <x:c r="B14" s="79" t="str">
        <x:v>Lucien Van Impe</x:v>
      </x:c>
      <x:c r="C14" s="79" t="str">
        <x:v>ベルギー</x:v>
      </x:c>
      <x:c r="D14" s="79" t="str">
        <x:v>クラシック</x:v>
      </x:c>
      <x:c r="E14" s="79" t="str">
        <x:v>クライマー</x:v>
      </x:c>
      <x:c r="F14" s="79" t="str">
        <x:v>パンチャー</x:v>
      </x:c>
      <x:c r="G14" s="94" t="n">
        <x:v>95</x:v>
      </x:c>
      <x:c r="H14" s="94" t="n">
        <x:v>65</x:v>
      </x:c>
      <x:c r="I14" s="101" t="str">
        <x:v>山岳耐久 / 反復加速</x:v>
      </x:c>
      <x:c r="J14" s="102" t="n">
        <x:v>8500</x:v>
      </x:c>
      <x:c r="K14" s="101" t="str">
        <x:v>https://en.wikipedia.org/wiki/Special:Search?search=Lucien%20Van%20Impe%20cyclist</x:v>
      </x:c>
    </x:row>
    <x:row r="15" ht="34" customHeight="1">
      <x:c r="A15" s="80" t="n">
        <x:v>11</x:v>
      </x:c>
      <x:c r="B15" s="80" t="str">
        <x:v>Roger De Vlaeminck</x:v>
      </x:c>
      <x:c r="C15" s="80" t="str">
        <x:v>ベルギー</x:v>
      </x:c>
      <x:c r="D15" s="80" t="str">
        <x:v>クラシック</x:v>
      </x:c>
      <x:c r="E15" s="80" t="str">
        <x:v>クラシック型</x:v>
      </x:c>
      <x:c r="F15" s="80" t="str">
        <x:v>パンチャー</x:v>
      </x:c>
      <x:c r="G15" s="95" t="n">
        <x:v>94</x:v>
      </x:c>
      <x:c r="H15" s="95" t="n">
        <x:v>66</x:v>
      </x:c>
      <x:c r="I15" s="103" t="str">
        <x:v>バイクコントロール / 反復加速</x:v>
      </x:c>
      <x:c r="J15" s="104" t="n">
        <x:v>10000</x:v>
      </x:c>
      <x:c r="K15" s="103" t="str">
        <x:v>https://en.wikipedia.org/wiki/Special:Search?search=Roger%20De%20Vlaeminck%20cyclist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fe35c5fe7154b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8" hidden="0" customWidth="1"/>
    <x:col min="4" max="4" width="12" hidden="0" customWidth="1"/>
    <x:col min="5" max="5" width="16" hidden="0" customWidth="1"/>
    <x:col min="6" max="6" width="14" hidden="0" customWidth="1"/>
    <x:col min="7" max="7" width="16" hidden="0" customWidth="1"/>
    <x:col min="8" max="8" width="10" hidden="0" customWidth="1"/>
  </x:cols>
  <x:sheetData>
    <x:row r="1" ht="34" customHeight="1">
      <x:c r="A1" s="3" t="str">
        <x:v>五大モニュメント勝利数 — 全300名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★表示用の元数値。春の4大会は2026年終了、イル・ロンバルディアは2025年終了時点。</x:v>
      </x:c>
      <x:c r="B2" s="6"/>
      <x:c r="C2" s="6"/>
      <x:c r="D2" s="6"/>
      <x:c r="E2" s="6"/>
      <x:c r="F2" s="6"/>
      <x:c r="G2" s="6"/>
      <x:c r="H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ミラノ〜サンレモ</x:v>
      </x:c>
      <x:c r="D4" s="20" t="str">
        <x:v>ロンド</x:v>
      </x:c>
      <x:c r="E4" s="20" t="str">
        <x:v>パリ〜ルーベ</x:v>
      </x:c>
      <x:c r="F4" s="20" t="str">
        <x:v>リエージュ</x:v>
      </x:c>
      <x:c r="G4" s="20" t="str">
        <x:v>ロンバルディア</x:v>
      </x:c>
      <x:c r="H4" s="16" t="str">
        <x:v>合計</x:v>
      </x:c>
    </x:row>
    <x:row r="5" ht="22" customHeight="1">
      <x:c r="A5" s="84" t="n">
        <x:v>1</x:v>
      </x:c>
      <x:c r="B5" s="81" t="str">
        <x:v>Jan Ullrich</x:v>
      </x:c>
      <x:c r="C5" s="84" t="n">
        <x:v>0</x:v>
      </x:c>
      <x:c r="D5" s="84" t="n">
        <x:v>0</x:v>
      </x:c>
      <x:c r="E5" s="84" t="n">
        <x:v>0</x:v>
      </x:c>
      <x:c r="F5" s="84" t="n">
        <x:v>0</x:v>
      </x:c>
      <x:c r="G5" s="84" t="n">
        <x:v>0</x:v>
      </x:c>
      <x:c r="H5" s="84" t="n">
        <x:v>0</x:v>
      </x:c>
    </x:row>
    <x:row r="6" ht="22" customHeight="1">
      <x:c r="A6" s="85" t="n">
        <x:v>2</x:v>
      </x:c>
      <x:c r="B6" s="82" t="str">
        <x:v>Primoz Roglic</x:v>
      </x:c>
      <x:c r="C6" s="85" t="n">
        <x:v>0</x:v>
      </x:c>
      <x:c r="D6" s="85" t="n">
        <x:v>0</x:v>
      </x:c>
      <x:c r="E6" s="85" t="n">
        <x:v>0</x:v>
      </x:c>
      <x:c r="F6" s="85" t="n">
        <x:v>1</x:v>
      </x:c>
      <x:c r="G6" s="85" t="n">
        <x:v>0</x:v>
      </x:c>
      <x:c r="H6" s="85" t="n">
        <x:v>1</x:v>
      </x:c>
    </x:row>
    <x:row r="7" ht="22" customHeight="1">
      <x:c r="A7" s="85" t="n">
        <x:v>3</x:v>
      </x:c>
      <x:c r="B7" s="82" t="str">
        <x:v>Miguel Indurain</x:v>
      </x:c>
      <x:c r="C7" s="85" t="n">
        <x:v>0</x:v>
      </x:c>
      <x:c r="D7" s="85" t="n">
        <x:v>0</x:v>
      </x:c>
      <x:c r="E7" s="85" t="n">
        <x:v>0</x:v>
      </x:c>
      <x:c r="F7" s="85" t="n">
        <x:v>0</x:v>
      </x:c>
      <x:c r="G7" s="85" t="n">
        <x:v>0</x:v>
      </x:c>
      <x:c r="H7" s="85" t="n">
        <x:v>0</x:v>
      </x:c>
    </x:row>
    <x:row r="8" ht="22" customHeight="1">
      <x:c r="A8" s="85" t="n">
        <x:v>4</x:v>
      </x:c>
      <x:c r="B8" s="82" t="str">
        <x:v>Egan Bernal</x:v>
      </x:c>
      <x:c r="C8" s="85" t="n">
        <x:v>0</x:v>
      </x:c>
      <x:c r="D8" s="85" t="n">
        <x:v>0</x:v>
      </x:c>
      <x:c r="E8" s="85" t="n">
        <x:v>0</x:v>
      </x:c>
      <x:c r="F8" s="85" t="n">
        <x:v>0</x:v>
      </x:c>
      <x:c r="G8" s="85" t="n">
        <x:v>0</x:v>
      </x:c>
      <x:c r="H8" s="85" t="n">
        <x:v>0</x:v>
      </x:c>
    </x:row>
    <x:row r="9" ht="22" customHeight="1">
      <x:c r="A9" s="85" t="n">
        <x:v>5</x:v>
      </x:c>
      <x:c r="B9" s="82" t="str">
        <x:v>Remco Evenepoel</x:v>
      </x:c>
      <x:c r="C9" s="85" t="n">
        <x:v>0</x:v>
      </x:c>
      <x:c r="D9" s="85" t="n">
        <x:v>0</x:v>
      </x:c>
      <x:c r="E9" s="85" t="n">
        <x:v>0</x:v>
      </x:c>
      <x:c r="F9" s="85" t="n">
        <x:v>2</x:v>
      </x:c>
      <x:c r="G9" s="85" t="n">
        <x:v>0</x:v>
      </x:c>
      <x:c r="H9" s="85" t="n">
        <x:v>2</x:v>
      </x:c>
    </x:row>
    <x:row r="10" ht="22" customHeight="1">
      <x:c r="A10" s="85" t="n">
        <x:v>6</x:v>
      </x:c>
      <x:c r="B10" s="82" t="str">
        <x:v>Alberto Contador</x:v>
      </x:c>
      <x:c r="C10" s="85" t="n">
        <x:v>0</x:v>
      </x:c>
      <x:c r="D10" s="85" t="n">
        <x:v>0</x:v>
      </x:c>
      <x:c r="E10" s="85" t="n">
        <x:v>0</x:v>
      </x:c>
      <x:c r="F10" s="85" t="n">
        <x:v>0</x:v>
      </x:c>
      <x:c r="G10" s="85" t="n">
        <x:v>0</x:v>
      </x:c>
      <x:c r="H10" s="85" t="n">
        <x:v>0</x:v>
      </x:c>
    </x:row>
    <x:row r="11" ht="22" customHeight="1">
      <x:c r="A11" s="85" t="n">
        <x:v>7</x:v>
      </x:c>
      <x:c r="B11" s="82" t="str">
        <x:v>Chris Froome</x:v>
      </x:c>
      <x:c r="C11" s="85" t="n">
        <x:v>0</x:v>
      </x:c>
      <x:c r="D11" s="85" t="n">
        <x:v>0</x:v>
      </x:c>
      <x:c r="E11" s="85" t="n">
        <x:v>0</x:v>
      </x:c>
      <x:c r="F11" s="85" t="n">
        <x:v>0</x:v>
      </x:c>
      <x:c r="G11" s="85" t="n">
        <x:v>0</x:v>
      </x:c>
      <x:c r="H11" s="85" t="n">
        <x:v>0</x:v>
      </x:c>
    </x:row>
    <x:row r="12" ht="22" customHeight="1">
      <x:c r="A12" s="85" t="n">
        <x:v>8</x:v>
      </x:c>
      <x:c r="B12" s="82" t="str">
        <x:v>Vincenzo Nibali</x:v>
      </x:c>
      <x:c r="C12" s="85" t="n">
        <x:v>1</x:v>
      </x:c>
      <x:c r="D12" s="85" t="n">
        <x:v>0</x:v>
      </x:c>
      <x:c r="E12" s="85" t="n">
        <x:v>0</x:v>
      </x:c>
      <x:c r="F12" s="85" t="n">
        <x:v>0</x:v>
      </x:c>
      <x:c r="G12" s="85" t="n">
        <x:v>2</x:v>
      </x:c>
      <x:c r="H12" s="85" t="n">
        <x:v>3</x:v>
      </x:c>
    </x:row>
    <x:row r="13" ht="22" customHeight="1">
      <x:c r="A13" s="85" t="n">
        <x:v>9</x:v>
      </x:c>
      <x:c r="B13" s="82" t="str">
        <x:v>Tadej Pogacar</x:v>
      </x:c>
      <x:c r="C13" s="85" t="n">
        <x:v>1</x:v>
      </x:c>
      <x:c r="D13" s="85" t="n">
        <x:v>3</x:v>
      </x:c>
      <x:c r="E13" s="85" t="n">
        <x:v>0</x:v>
      </x:c>
      <x:c r="F13" s="85" t="n">
        <x:v>4</x:v>
      </x:c>
      <x:c r="G13" s="85" t="n">
        <x:v>5</x:v>
      </x:c>
      <x:c r="H13" s="85" t="n">
        <x:v>13</x:v>
      </x:c>
    </x:row>
    <x:row r="14" ht="22" customHeight="1">
      <x:c r="A14" s="85" t="n">
        <x:v>10</x:v>
      </x:c>
      <x:c r="B14" s="82" t="str">
        <x:v>Jonas Vingegaard</x:v>
      </x:c>
      <x:c r="C14" s="85" t="n">
        <x:v>0</x:v>
      </x:c>
      <x:c r="D14" s="85" t="n">
        <x:v>0</x:v>
      </x:c>
      <x:c r="E14" s="85" t="n">
        <x:v>0</x:v>
      </x:c>
      <x:c r="F14" s="85" t="n">
        <x:v>0</x:v>
      </x:c>
      <x:c r="G14" s="85" t="n">
        <x:v>0</x:v>
      </x:c>
      <x:c r="H14" s="85" t="n">
        <x:v>0</x:v>
      </x:c>
    </x:row>
    <x:row r="15" ht="22" customHeight="1">
      <x:c r="A15" s="85" t="n">
        <x:v>11</x:v>
      </x:c>
      <x:c r="B15" s="82" t="str">
        <x:v>Mark Cavendish</x:v>
      </x:c>
      <x:c r="C15" s="85" t="n">
        <x:v>1</x:v>
      </x:c>
      <x:c r="D15" s="85" t="n">
        <x:v>0</x:v>
      </x:c>
      <x:c r="E15" s="85" t="n">
        <x:v>0</x:v>
      </x:c>
      <x:c r="F15" s="85" t="n">
        <x:v>0</x:v>
      </x:c>
      <x:c r="G15" s="85" t="n">
        <x:v>0</x:v>
      </x:c>
      <x:c r="H15" s="85" t="n">
        <x:v>1</x:v>
      </x:c>
    </x:row>
    <x:row r="16" ht="22" customHeight="1">
      <x:c r="A16" s="85" t="n">
        <x:v>12</x:v>
      </x:c>
      <x:c r="B16" s="82" t="str">
        <x:v>Mario Cipollini</x:v>
      </x:c>
      <x:c r="C16" s="85" t="n">
        <x:v>1</x:v>
      </x:c>
      <x:c r="D16" s="85" t="n">
        <x:v>0</x:v>
      </x:c>
      <x:c r="E16" s="85" t="n">
        <x:v>0</x:v>
      </x:c>
      <x:c r="F16" s="85" t="n">
        <x:v>0</x:v>
      </x:c>
      <x:c r="G16" s="85" t="n">
        <x:v>0</x:v>
      </x:c>
      <x:c r="H16" s="85" t="n">
        <x:v>1</x:v>
      </x:c>
    </x:row>
    <x:row r="17" ht="22" customHeight="1">
      <x:c r="A17" s="85" t="n">
        <x:v>13</x:v>
      </x:c>
      <x:c r="B17" s="82" t="str">
        <x:v>Alessandro Petacchi</x:v>
      </x:c>
      <x:c r="C17" s="85" t="n">
        <x:v>1</x:v>
      </x:c>
      <x:c r="D17" s="85" t="n">
        <x:v>0</x:v>
      </x:c>
      <x:c r="E17" s="85" t="n">
        <x:v>0</x:v>
      </x:c>
      <x:c r="F17" s="85" t="n">
        <x:v>0</x:v>
      </x:c>
      <x:c r="G17" s="85" t="n">
        <x:v>0</x:v>
      </x:c>
      <x:c r="H17" s="85" t="n">
        <x:v>1</x:v>
      </x:c>
    </x:row>
    <x:row r="18" ht="22" customHeight="1">
      <x:c r="A18" s="85" t="n">
        <x:v>14</x:v>
      </x:c>
      <x:c r="B18" s="82" t="str">
        <x:v>Andre Greipel</x:v>
      </x:c>
      <x:c r="C18" s="85" t="n">
        <x:v>0</x:v>
      </x:c>
      <x:c r="D18" s="85" t="n">
        <x:v>0</x:v>
      </x:c>
      <x:c r="E18" s="85" t="n">
        <x:v>0</x:v>
      </x:c>
      <x:c r="F18" s="85" t="n">
        <x:v>0</x:v>
      </x:c>
      <x:c r="G18" s="85" t="n">
        <x:v>0</x:v>
      </x:c>
      <x:c r="H18" s="85" t="n">
        <x:v>0</x:v>
      </x:c>
    </x:row>
    <x:row r="19" ht="22" customHeight="1">
      <x:c r="A19" s="85" t="n">
        <x:v>15</x:v>
      </x:c>
      <x:c r="B19" s="82" t="str">
        <x:v>Marcel Kittel</x:v>
      </x:c>
      <x:c r="C19" s="85" t="n">
        <x:v>0</x:v>
      </x:c>
      <x:c r="D19" s="85" t="n">
        <x:v>0</x:v>
      </x:c>
      <x:c r="E19" s="85" t="n">
        <x:v>0</x:v>
      </x:c>
      <x:c r="F19" s="85" t="n">
        <x:v>0</x:v>
      </x:c>
      <x:c r="G19" s="85" t="n">
        <x:v>0</x:v>
      </x:c>
      <x:c r="H19" s="85" t="n">
        <x:v>0</x:v>
      </x:c>
    </x:row>
    <x:row r="20" ht="22" customHeight="1">
      <x:c r="A20" s="85" t="n">
        <x:v>16</x:v>
      </x:c>
      <x:c r="B20" s="82" t="str">
        <x:v>Robbie McEwen</x:v>
      </x:c>
      <x:c r="C20" s="85" t="n">
        <x:v>0</x:v>
      </x:c>
      <x:c r="D20" s="85" t="n">
        <x:v>0</x:v>
      </x:c>
      <x:c r="E20" s="85" t="n">
        <x:v>0</x:v>
      </x:c>
      <x:c r="F20" s="85" t="n">
        <x:v>0</x:v>
      </x:c>
      <x:c r="G20" s="85" t="n">
        <x:v>0</x:v>
      </x:c>
      <x:c r="H20" s="85" t="n">
        <x:v>0</x:v>
      </x:c>
    </x:row>
    <x:row r="21" ht="22" customHeight="1">
      <x:c r="A21" s="85" t="n">
        <x:v>17</x:v>
      </x:c>
      <x:c r="B21" s="82" t="str">
        <x:v>Marco Pantani</x:v>
      </x:c>
      <x:c r="C21" s="85" t="n">
        <x:v>0</x:v>
      </x:c>
      <x:c r="D21" s="85" t="n">
        <x:v>0</x:v>
      </x:c>
      <x:c r="E21" s="85" t="n">
        <x:v>0</x:v>
      </x:c>
      <x:c r="F21" s="85" t="n">
        <x:v>0</x:v>
      </x:c>
      <x:c r="G21" s="85" t="n">
        <x:v>0</x:v>
      </x:c>
      <x:c r="H21" s="85" t="n">
        <x:v>0</x:v>
      </x:c>
    </x:row>
    <x:row r="22" ht="22" customHeight="1">
      <x:c r="A22" s="85" t="n">
        <x:v>18</x:v>
      </x:c>
      <x:c r="B22" s="82" t="str">
        <x:v>Nairo Quintana</x:v>
      </x:c>
      <x:c r="C22" s="85" t="n">
        <x:v>0</x:v>
      </x:c>
      <x:c r="D22" s="85" t="n">
        <x:v>0</x:v>
      </x:c>
      <x:c r="E22" s="85" t="n">
        <x:v>0</x:v>
      </x:c>
      <x:c r="F22" s="85" t="n">
        <x:v>0</x:v>
      </x:c>
      <x:c r="G22" s="85" t="n">
        <x:v>0</x:v>
      </x:c>
      <x:c r="H22" s="85" t="n">
        <x:v>0</x:v>
      </x:c>
    </x:row>
    <x:row r="23" ht="22" customHeight="1">
      <x:c r="A23" s="85" t="n">
        <x:v>19</x:v>
      </x:c>
      <x:c r="B23" s="82" t="str">
        <x:v>Andy Schleck</x:v>
      </x:c>
      <x:c r="C23" s="85" t="n">
        <x:v>0</x:v>
      </x:c>
      <x:c r="D23" s="85" t="n">
        <x:v>0</x:v>
      </x:c>
      <x:c r="E23" s="85" t="n">
        <x:v>0</x:v>
      </x:c>
      <x:c r="F23" s="85" t="n">
        <x:v>1</x:v>
      </x:c>
      <x:c r="G23" s="85" t="n">
        <x:v>0</x:v>
      </x:c>
      <x:c r="H23" s="85" t="n">
        <x:v>1</x:v>
      </x:c>
    </x:row>
    <x:row r="24" ht="22" customHeight="1">
      <x:c r="A24" s="85" t="n">
        <x:v>20</x:v>
      </x:c>
      <x:c r="B24" s="82" t="str">
        <x:v>Thibaut Pinot</x:v>
      </x:c>
      <x:c r="C24" s="85" t="n">
        <x:v>0</x:v>
      </x:c>
      <x:c r="D24" s="85" t="n">
        <x:v>0</x:v>
      </x:c>
      <x:c r="E24" s="85" t="n">
        <x:v>0</x:v>
      </x:c>
      <x:c r="F24" s="85" t="n">
        <x:v>0</x:v>
      </x:c>
      <x:c r="G24" s="85" t="n">
        <x:v>1</x:v>
      </x:c>
      <x:c r="H24" s="85" t="n">
        <x:v>1</x:v>
      </x:c>
    </x:row>
    <x:row r="25" ht="22" customHeight="1">
      <x:c r="A25" s="85" t="n">
        <x:v>21</x:v>
      </x:c>
      <x:c r="B25" s="82" t="str">
        <x:v>Romain Bardet</x:v>
      </x:c>
      <x:c r="C25" s="85" t="n">
        <x:v>0</x:v>
      </x:c>
      <x:c r="D25" s="85" t="n">
        <x:v>0</x:v>
      </x:c>
      <x:c r="E25" s="85" t="n">
        <x:v>0</x:v>
      </x:c>
      <x:c r="F25" s="85" t="n">
        <x:v>0</x:v>
      </x:c>
      <x:c r="G25" s="85" t="n">
        <x:v>0</x:v>
      </x:c>
      <x:c r="H25" s="85" t="n">
        <x:v>0</x:v>
      </x:c>
    </x:row>
    <x:row r="26" ht="22" customHeight="1">
      <x:c r="A26" s="85" t="n">
        <x:v>22</x:v>
      </x:c>
      <x:c r="B26" s="82" t="str">
        <x:v>Carlos Sastre</x:v>
      </x:c>
      <x:c r="C26" s="85" t="n">
        <x:v>0</x:v>
      </x:c>
      <x:c r="D26" s="85" t="n">
        <x:v>0</x:v>
      </x:c>
      <x:c r="E26" s="85" t="n">
        <x:v>0</x:v>
      </x:c>
      <x:c r="F26" s="85" t="n">
        <x:v>0</x:v>
      </x:c>
      <x:c r="G26" s="85" t="n">
        <x:v>0</x:v>
      </x:c>
      <x:c r="H26" s="85" t="n">
        <x:v>0</x:v>
      </x:c>
    </x:row>
    <x:row r="27" ht="22" customHeight="1">
      <x:c r="A27" s="85" t="n">
        <x:v>23</x:v>
      </x:c>
      <x:c r="B27" s="82" t="str">
        <x:v>Cadel Evans</x:v>
      </x:c>
      <x:c r="C27" s="85" t="n">
        <x:v>0</x:v>
      </x:c>
      <x:c r="D27" s="85" t="n">
        <x:v>0</x:v>
      </x:c>
      <x:c r="E27" s="85" t="n">
        <x:v>0</x:v>
      </x:c>
      <x:c r="F27" s="85" t="n">
        <x:v>0</x:v>
      </x:c>
      <x:c r="G27" s="85" t="n">
        <x:v>0</x:v>
      </x:c>
      <x:c r="H27" s="85" t="n">
        <x:v>0</x:v>
      </x:c>
    </x:row>
    <x:row r="28" ht="22" customHeight="1">
      <x:c r="A28" s="85" t="n">
        <x:v>24</x:v>
      </x:c>
      <x:c r="B28" s="82" t="str">
        <x:v>Joaquim Rodriguez</x:v>
      </x:c>
      <x:c r="C28" s="85" t="n">
        <x:v>0</x:v>
      </x:c>
      <x:c r="D28" s="85" t="n">
        <x:v>0</x:v>
      </x:c>
      <x:c r="E28" s="85" t="n">
        <x:v>0</x:v>
      </x:c>
      <x:c r="F28" s="85" t="n">
        <x:v>0</x:v>
      </x:c>
      <x:c r="G28" s="85" t="n">
        <x:v>2</x:v>
      </x:c>
      <x:c r="H28" s="85" t="n">
        <x:v>2</x:v>
      </x:c>
    </x:row>
    <x:row r="29" ht="22" customHeight="1">
      <x:c r="A29" s="85" t="n">
        <x:v>25</x:v>
      </x:c>
      <x:c r="B29" s="82" t="str">
        <x:v>Philippe Gilbert</x:v>
      </x:c>
      <x:c r="C29" s="85" t="n">
        <x:v>0</x:v>
      </x:c>
      <x:c r="D29" s="85" t="n">
        <x:v>1</x:v>
      </x:c>
      <x:c r="E29" s="85" t="n">
        <x:v>1</x:v>
      </x:c>
      <x:c r="F29" s="85" t="n">
        <x:v>1</x:v>
      </x:c>
      <x:c r="G29" s="85" t="n">
        <x:v>2</x:v>
      </x:c>
      <x:c r="H29" s="85" t="n">
        <x:v>5</x:v>
      </x:c>
    </x:row>
    <x:row r="30" ht="22" customHeight="1">
      <x:c r="A30" s="85" t="n">
        <x:v>26</x:v>
      </x:c>
      <x:c r="B30" s="82" t="str">
        <x:v>Alejandro Valverde</x:v>
      </x:c>
      <x:c r="C30" s="85" t="n">
        <x:v>0</x:v>
      </x:c>
      <x:c r="D30" s="85" t="n">
        <x:v>0</x:v>
      </x:c>
      <x:c r="E30" s="85" t="n">
        <x:v>0</x:v>
      </x:c>
      <x:c r="F30" s="85" t="n">
        <x:v>4</x:v>
      </x:c>
      <x:c r="G30" s="85" t="n">
        <x:v>0</x:v>
      </x:c>
      <x:c r="H30" s="85" t="n">
        <x:v>4</x:v>
      </x:c>
    </x:row>
    <x:row r="31" ht="22" customHeight="1">
      <x:c r="A31" s="85" t="n">
        <x:v>27</x:v>
      </x:c>
      <x:c r="B31" s="82" t="str">
        <x:v>Paolo Bettini</x:v>
      </x:c>
      <x:c r="C31" s="85" t="n">
        <x:v>1</x:v>
      </x:c>
      <x:c r="D31" s="85" t="n">
        <x:v>0</x:v>
      </x:c>
      <x:c r="E31" s="85" t="n">
        <x:v>0</x:v>
      </x:c>
      <x:c r="F31" s="85" t="n">
        <x:v>2</x:v>
      </x:c>
      <x:c r="G31" s="85" t="n">
        <x:v>2</x:v>
      </x:c>
      <x:c r="H31" s="85" t="n">
        <x:v>5</x:v>
      </x:c>
    </x:row>
    <x:row r="32" ht="22" customHeight="1">
      <x:c r="A32" s="85" t="n">
        <x:v>28</x:v>
      </x:c>
      <x:c r="B32" s="82" t="str">
        <x:v>Julian Alaphilippe</x:v>
      </x:c>
      <x:c r="C32" s="85" t="n">
        <x:v>1</x:v>
      </x:c>
      <x:c r="D32" s="85" t="n">
        <x:v>0</x:v>
      </x:c>
      <x:c r="E32" s="85" t="n">
        <x:v>0</x:v>
      </x:c>
      <x:c r="F32" s="85" t="n">
        <x:v>0</x:v>
      </x:c>
      <x:c r="G32" s="85" t="n">
        <x:v>0</x:v>
      </x:c>
      <x:c r="H32" s="85" t="n">
        <x:v>1</x:v>
      </x:c>
    </x:row>
    <x:row r="33" ht="22" customHeight="1">
      <x:c r="A33" s="85" t="n">
        <x:v>29</x:v>
      </x:c>
      <x:c r="B33" s="82" t="str">
        <x:v>Michele Bartoli</x:v>
      </x:c>
      <x:c r="C33" s="85" t="n">
        <x:v>0</x:v>
      </x:c>
      <x:c r="D33" s="85" t="n">
        <x:v>1</x:v>
      </x:c>
      <x:c r="E33" s="85" t="n">
        <x:v>0</x:v>
      </x:c>
      <x:c r="F33" s="85" t="n">
        <x:v>2</x:v>
      </x:c>
      <x:c r="G33" s="85" t="n">
        <x:v>2</x:v>
      </x:c>
      <x:c r="H33" s="85" t="n">
        <x:v>5</x:v>
      </x:c>
    </x:row>
    <x:row r="34" ht="22" customHeight="1">
      <x:c r="A34" s="85" t="n">
        <x:v>30</x:v>
      </x:c>
      <x:c r="B34" s="82" t="str">
        <x:v>Davide Rebellin</x:v>
      </x:c>
      <x:c r="C34" s="85" t="n">
        <x:v>0</x:v>
      </x:c>
      <x:c r="D34" s="85" t="n">
        <x:v>0</x:v>
      </x:c>
      <x:c r="E34" s="85" t="n">
        <x:v>0</x:v>
      </x:c>
      <x:c r="F34" s="85" t="n">
        <x:v>1</x:v>
      </x:c>
      <x:c r="G34" s="85" t="n">
        <x:v>0</x:v>
      </x:c>
      <x:c r="H34" s="85" t="n">
        <x:v>1</x:v>
      </x:c>
    </x:row>
    <x:row r="35" ht="22" customHeight="1">
      <x:c r="A35" s="85" t="n">
        <x:v>31</x:v>
      </x:c>
      <x:c r="B35" s="82" t="str">
        <x:v>Maurizio Fondriest</x:v>
      </x:c>
      <x:c r="C35" s="85" t="n">
        <x:v>1</x:v>
      </x:c>
      <x:c r="D35" s="85" t="n">
        <x:v>0</x:v>
      </x:c>
      <x:c r="E35" s="85" t="n">
        <x:v>0</x:v>
      </x:c>
      <x:c r="F35" s="85" t="n">
        <x:v>0</x:v>
      </x:c>
      <x:c r="G35" s="85" t="n">
        <x:v>0</x:v>
      </x:c>
      <x:c r="H35" s="85" t="n">
        <x:v>1</x:v>
      </x:c>
    </x:row>
    <x:row r="36" ht="22" customHeight="1">
      <x:c r="A36" s="85" t="n">
        <x:v>32</x:v>
      </x:c>
      <x:c r="B36" s="82" t="str">
        <x:v>Simon Gerrans</x:v>
      </x:c>
      <x:c r="C36" s="85" t="n">
        <x:v>1</x:v>
      </x:c>
      <x:c r="D36" s="85" t="n">
        <x:v>0</x:v>
      </x:c>
      <x:c r="E36" s="85" t="n">
        <x:v>0</x:v>
      </x:c>
      <x:c r="F36" s="85" t="n">
        <x:v>1</x:v>
      </x:c>
      <x:c r="G36" s="85" t="n">
        <x:v>0</x:v>
      </x:c>
      <x:c r="H36" s="85" t="n">
        <x:v>2</x:v>
      </x:c>
    </x:row>
    <x:row r="37" ht="22" customHeight="1">
      <x:c r="A37" s="85" t="n">
        <x:v>33</x:v>
      </x:c>
      <x:c r="B37" s="82" t="str">
        <x:v>Erik Zabel</x:v>
      </x:c>
      <x:c r="C37" s="85" t="n">
        <x:v>4</x:v>
      </x:c>
      <x:c r="D37" s="85" t="n">
        <x:v>0</x:v>
      </x:c>
      <x:c r="E37" s="85" t="n">
        <x:v>0</x:v>
      </x:c>
      <x:c r="F37" s="85" t="n">
        <x:v>0</x:v>
      </x:c>
      <x:c r="G37" s="85" t="n">
        <x:v>0</x:v>
      </x:c>
      <x:c r="H37" s="85" t="n">
        <x:v>4</x:v>
      </x:c>
    </x:row>
    <x:row r="38" ht="22" customHeight="1">
      <x:c r="A38" s="85" t="n">
        <x:v>34</x:v>
      </x:c>
      <x:c r="B38" s="82" t="str">
        <x:v>Peter Sagan</x:v>
      </x:c>
      <x:c r="C38" s="85" t="n">
        <x:v>0</x:v>
      </x:c>
      <x:c r="D38" s="85" t="n">
        <x:v>1</x:v>
      </x:c>
      <x:c r="E38" s="85" t="n">
        <x:v>1</x:v>
      </x:c>
      <x:c r="F38" s="85" t="n">
        <x:v>0</x:v>
      </x:c>
      <x:c r="G38" s="85" t="n">
        <x:v>0</x:v>
      </x:c>
      <x:c r="H38" s="85" t="n">
        <x:v>2</x:v>
      </x:c>
    </x:row>
    <x:row r="39" ht="22" customHeight="1">
      <x:c r="A39" s="85" t="n">
        <x:v>35</x:v>
      </x:c>
      <x:c r="B39" s="82" t="str">
        <x:v>Johan Museeuw</x:v>
      </x:c>
      <x:c r="C39" s="85" t="n">
        <x:v>0</x:v>
      </x:c>
      <x:c r="D39" s="85" t="n">
        <x:v>3</x:v>
      </x:c>
      <x:c r="E39" s="85" t="n">
        <x:v>3</x:v>
      </x:c>
      <x:c r="F39" s="85" t="n">
        <x:v>0</x:v>
      </x:c>
      <x:c r="G39" s="85" t="n">
        <x:v>0</x:v>
      </x:c>
      <x:c r="H39" s="85" t="n">
        <x:v>6</x:v>
      </x:c>
    </x:row>
    <x:row r="40" ht="22" customHeight="1">
      <x:c r="A40" s="85" t="n">
        <x:v>36</x:v>
      </x:c>
      <x:c r="B40" s="82" t="str">
        <x:v>Tom Boonen</x:v>
      </x:c>
      <x:c r="C40" s="85" t="n">
        <x:v>0</x:v>
      </x:c>
      <x:c r="D40" s="85" t="n">
        <x:v>3</x:v>
      </x:c>
      <x:c r="E40" s="85" t="n">
        <x:v>4</x:v>
      </x:c>
      <x:c r="F40" s="85" t="n">
        <x:v>0</x:v>
      </x:c>
      <x:c r="G40" s="85" t="n">
        <x:v>0</x:v>
      </x:c>
      <x:c r="H40" s="85" t="n">
        <x:v>7</x:v>
      </x:c>
    </x:row>
    <x:row r="41" ht="22" customHeight="1">
      <x:c r="A41" s="85" t="n">
        <x:v>37</x:v>
      </x:c>
      <x:c r="B41" s="82" t="str">
        <x:v>John Degenkolb</x:v>
      </x:c>
      <x:c r="C41" s="85" t="n">
        <x:v>1</x:v>
      </x:c>
      <x:c r="D41" s="85" t="n">
        <x:v>0</x:v>
      </x:c>
      <x:c r="E41" s="85" t="n">
        <x:v>1</x:v>
      </x:c>
      <x:c r="F41" s="85" t="n">
        <x:v>0</x:v>
      </x:c>
      <x:c r="G41" s="85" t="n">
        <x:v>0</x:v>
      </x:c>
      <x:c r="H41" s="85" t="n">
        <x:v>2</x:v>
      </x:c>
    </x:row>
    <x:row r="42" ht="22" customHeight="1">
      <x:c r="A42" s="85" t="n">
        <x:v>38</x:v>
      </x:c>
      <x:c r="B42" s="82" t="str">
        <x:v>Mathieu van der Poel</x:v>
      </x:c>
      <x:c r="C42" s="85" t="n">
        <x:v>2</x:v>
      </x:c>
      <x:c r="D42" s="85" t="n">
        <x:v>3</x:v>
      </x:c>
      <x:c r="E42" s="85" t="n">
        <x:v>3</x:v>
      </x:c>
      <x:c r="F42" s="85" t="n">
        <x:v>0</x:v>
      </x:c>
      <x:c r="G42" s="85" t="n">
        <x:v>0</x:v>
      </x:c>
      <x:c r="H42" s="85" t="n">
        <x:v>8</x:v>
      </x:c>
    </x:row>
    <x:row r="43" ht="22" customHeight="1">
      <x:c r="A43" s="85" t="n">
        <x:v>39</x:v>
      </x:c>
      <x:c r="B43" s="82" t="str">
        <x:v>Fabian Cancellara</x:v>
      </x:c>
      <x:c r="C43" s="85" t="n">
        <x:v>1</x:v>
      </x:c>
      <x:c r="D43" s="85" t="n">
        <x:v>3</x:v>
      </x:c>
      <x:c r="E43" s="85" t="n">
        <x:v>3</x:v>
      </x:c>
      <x:c r="F43" s="85" t="n">
        <x:v>0</x:v>
      </x:c>
      <x:c r="G43" s="85" t="n">
        <x:v>0</x:v>
      </x:c>
      <x:c r="H43" s="85" t="n">
        <x:v>7</x:v>
      </x:c>
    </x:row>
    <x:row r="44" ht="22" customHeight="1">
      <x:c r="A44" s="85" t="n">
        <x:v>40</x:v>
      </x:c>
      <x:c r="B44" s="82" t="str">
        <x:v>Laurent Jalabert</x:v>
      </x:c>
      <x:c r="C44" s="85" t="n">
        <x:v>1</x:v>
      </x:c>
      <x:c r="D44" s="85" t="n">
        <x:v>0</x:v>
      </x:c>
      <x:c r="E44" s="85" t="n">
        <x:v>0</x:v>
      </x:c>
      <x:c r="F44" s="85" t="n">
        <x:v>0</x:v>
      </x:c>
      <x:c r="G44" s="85" t="n">
        <x:v>1</x:v>
      </x:c>
      <x:c r="H44" s="85" t="n">
        <x:v>2</x:v>
      </x:c>
    </x:row>
    <x:row r="45" ht="22" customHeight="1">
      <x:c r="A45" s="85" t="n">
        <x:v>41</x:v>
      </x:c>
      <x:c r="B45" s="82" t="str">
        <x:v>Bradley Wiggins</x:v>
      </x:c>
      <x:c r="C45" s="85" t="n">
        <x:v>0</x:v>
      </x:c>
      <x:c r="D45" s="85" t="n">
        <x:v>0</x:v>
      </x:c>
      <x:c r="E45" s="85" t="n">
        <x:v>0</x:v>
      </x:c>
      <x:c r="F45" s="85" t="n">
        <x:v>0</x:v>
      </x:c>
      <x:c r="G45" s="85" t="n">
        <x:v>0</x:v>
      </x:c>
      <x:c r="H45" s="85" t="n">
        <x:v>0</x:v>
      </x:c>
    </x:row>
    <x:row r="46" ht="22" customHeight="1">
      <x:c r="A46" s="85" t="n">
        <x:v>42</x:v>
      </x:c>
      <x:c r="B46" s="82" t="str">
        <x:v>Tony Martin</x:v>
      </x:c>
      <x:c r="C46" s="85" t="n">
        <x:v>0</x:v>
      </x:c>
      <x:c r="D46" s="85" t="n">
        <x:v>0</x:v>
      </x:c>
      <x:c r="E46" s="85" t="n">
        <x:v>0</x:v>
      </x:c>
      <x:c r="F46" s="85" t="n">
        <x:v>0</x:v>
      </x:c>
      <x:c r="G46" s="85" t="n">
        <x:v>0</x:v>
      </x:c>
      <x:c r="H46" s="85" t="n">
        <x:v>0</x:v>
      </x:c>
    </x:row>
    <x:row r="47" ht="22" customHeight="1">
      <x:c r="A47" s="85" t="n">
        <x:v>43</x:v>
      </x:c>
      <x:c r="B47" s="82" t="str">
        <x:v>Filippo Ganna</x:v>
      </x:c>
      <x:c r="C47" s="85" t="n">
        <x:v>0</x:v>
      </x:c>
      <x:c r="D47" s="85" t="n">
        <x:v>0</x:v>
      </x:c>
      <x:c r="E47" s="85" t="n">
        <x:v>0</x:v>
      </x:c>
      <x:c r="F47" s="85" t="n">
        <x:v>0</x:v>
      </x:c>
      <x:c r="G47" s="85" t="n">
        <x:v>0</x:v>
      </x:c>
      <x:c r="H47" s="85" t="n">
        <x:v>0</x:v>
      </x:c>
    </x:row>
    <x:row r="48" ht="22" customHeight="1">
      <x:c r="A48" s="85" t="n">
        <x:v>44</x:v>
      </x:c>
      <x:c r="B48" s="82" t="str">
        <x:v>Chris Boardman</x:v>
      </x:c>
      <x:c r="C48" s="85" t="n">
        <x:v>0</x:v>
      </x:c>
      <x:c r="D48" s="85" t="n">
        <x:v>0</x:v>
      </x:c>
      <x:c r="E48" s="85" t="n">
        <x:v>0</x:v>
      </x:c>
      <x:c r="F48" s="85" t="n">
        <x:v>0</x:v>
      </x:c>
      <x:c r="G48" s="85" t="n">
        <x:v>0</x:v>
      </x:c>
      <x:c r="H48" s="85" t="n">
        <x:v>0</x:v>
      </x:c>
    </x:row>
    <x:row r="49" ht="22" customHeight="1">
      <x:c r="A49" s="85" t="n">
        <x:v>45</x:v>
      </x:c>
      <x:c r="B49" s="82" t="str">
        <x:v>Rohan Dennis</x:v>
      </x:c>
      <x:c r="C49" s="85" t="n">
        <x:v>0</x:v>
      </x:c>
      <x:c r="D49" s="85" t="n">
        <x:v>0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</x:row>
    <x:row r="50" ht="22" customHeight="1">
      <x:c r="A50" s="85" t="n">
        <x:v>46</x:v>
      </x:c>
      <x:c r="B50" s="82" t="str">
        <x:v>Luis Leon Sanchez</x:v>
      </x:c>
      <x:c r="C50" s="85" t="n">
        <x:v>0</x:v>
      </x:c>
      <x:c r="D50" s="85" t="n">
        <x:v>0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</x:row>
    <x:row r="51" ht="22" customHeight="1">
      <x:c r="A51" s="85" t="n">
        <x:v>47</x:v>
      </x:c>
      <x:c r="B51" s="82" t="str">
        <x:v>Richard Virenque</x:v>
      </x:c>
      <x:c r="C51" s="85" t="n">
        <x:v>0</x:v>
      </x:c>
      <x:c r="D51" s="85" t="n">
        <x:v>0</x:v>
      </x:c>
      <x:c r="E51" s="85" t="n">
        <x:v>0</x:v>
      </x:c>
      <x:c r="F51" s="85" t="n">
        <x:v>0</x:v>
      </x:c>
      <x:c r="G51" s="85" t="n">
        <x:v>0</x:v>
      </x:c>
      <x:c r="H51" s="85" t="n">
        <x:v>0</x:v>
      </x:c>
    </x:row>
    <x:row r="52" ht="22" customHeight="1">
      <x:c r="A52" s="85" t="n">
        <x:v>48</x:v>
      </x:c>
      <x:c r="B52" s="82" t="str">
        <x:v>Thomas De Gendt</x:v>
      </x:c>
      <x:c r="C52" s="85" t="n">
        <x:v>0</x:v>
      </x:c>
      <x:c r="D52" s="85" t="n">
        <x:v>0</x:v>
      </x:c>
      <x:c r="E52" s="85" t="n">
        <x:v>0</x:v>
      </x:c>
      <x:c r="F52" s="85" t="n">
        <x:v>0</x:v>
      </x:c>
      <x:c r="G52" s="85" t="n">
        <x:v>0</x:v>
      </x:c>
      <x:c r="H52" s="85" t="n">
        <x:v>0</x:v>
      </x:c>
    </x:row>
    <x:row r="53" ht="22" customHeight="1">
      <x:c r="A53" s="85" t="n">
        <x:v>49</x:v>
      </x:c>
      <x:c r="B53" s="82" t="str">
        <x:v>Claudio Chiappucci</x:v>
      </x:c>
      <x:c r="C53" s="85" t="n">
        <x:v>1</x:v>
      </x:c>
      <x:c r="D53" s="85" t="n">
        <x:v>0</x:v>
      </x:c>
      <x:c r="E53" s="85" t="n">
        <x:v>0</x:v>
      </x:c>
      <x:c r="F53" s="85" t="n">
        <x:v>0</x:v>
      </x:c>
      <x:c r="G53" s="85" t="n">
        <x:v>0</x:v>
      </x:c>
      <x:c r="H53" s="85" t="n">
        <x:v>1</x:v>
      </x:c>
    </x:row>
    <x:row r="54" ht="22" customHeight="1">
      <x:c r="A54" s="85" t="n">
        <x:v>50</x:v>
      </x:c>
      <x:c r="B54" s="82" t="str">
        <x:v>Richard Carapaz</x:v>
      </x:c>
      <x:c r="C54" s="85" t="n">
        <x:v>0</x:v>
      </x:c>
      <x:c r="D54" s="85" t="n">
        <x:v>0</x:v>
      </x:c>
      <x:c r="E54" s="85" t="n">
        <x:v>0</x:v>
      </x:c>
      <x:c r="F54" s="85" t="n">
        <x:v>0</x:v>
      </x:c>
      <x:c r="G54" s="85" t="n">
        <x:v>0</x:v>
      </x:c>
      <x:c r="H54" s="85" t="n">
        <x:v>0</x:v>
      </x:c>
    </x:row>
    <x:row r="55" ht="22" customHeight="1">
      <x:c r="A55" s="85" t="n">
        <x:v>51</x:v>
      </x:c>
      <x:c r="B55" s="82" t="str">
        <x:v>Sepp Kuss</x:v>
      </x:c>
      <x:c r="C55" s="85" t="n">
        <x:v>0</x:v>
      </x:c>
      <x:c r="D55" s="85" t="n">
        <x:v>0</x:v>
      </x:c>
      <x:c r="E55" s="85" t="n">
        <x:v>0</x:v>
      </x:c>
      <x:c r="F55" s="85" t="n">
        <x:v>0</x:v>
      </x:c>
      <x:c r="G55" s="85" t="n">
        <x:v>0</x:v>
      </x:c>
      <x:c r="H55" s="85" t="n">
        <x:v>0</x:v>
      </x:c>
    </x:row>
    <x:row r="56" ht="22" customHeight="1">
      <x:c r="A56" s="85" t="n">
        <x:v>52</x:v>
      </x:c>
      <x:c r="B56" s="82" t="str">
        <x:v>Wout Poels</x:v>
      </x:c>
      <x:c r="C56" s="85" t="n">
        <x:v>0</x:v>
      </x:c>
      <x:c r="D56" s="85" t="n">
        <x:v>0</x:v>
      </x:c>
      <x:c r="E56" s="85" t="n">
        <x:v>0</x:v>
      </x:c>
      <x:c r="F56" s="85" t="n">
        <x:v>1</x:v>
      </x:c>
      <x:c r="G56" s="85" t="n">
        <x:v>0</x:v>
      </x:c>
      <x:c r="H56" s="85" t="n">
        <x:v>1</x:v>
      </x:c>
    </x:row>
    <x:row r="57" ht="22" customHeight="1">
      <x:c r="A57" s="85" t="n">
        <x:v>53</x:v>
      </x:c>
      <x:c r="B57" s="82" t="str">
        <x:v>Michal Kwiatkowski</x:v>
      </x:c>
      <x:c r="C57" s="85" t="n">
        <x:v>1</x:v>
      </x:c>
      <x:c r="D57" s="85" t="n">
        <x:v>0</x:v>
      </x:c>
      <x:c r="E57" s="85" t="n">
        <x:v>0</x:v>
      </x:c>
      <x:c r="F57" s="85" t="n">
        <x:v>0</x:v>
      </x:c>
      <x:c r="G57" s="85" t="n">
        <x:v>0</x:v>
      </x:c>
      <x:c r="H57" s="85" t="n">
        <x:v>1</x:v>
      </x:c>
    </x:row>
    <x:row r="58" ht="22" customHeight="1">
      <x:c r="A58" s="85" t="n">
        <x:v>54</x:v>
      </x:c>
      <x:c r="B58" s="82" t="str">
        <x:v>Richie Porte</x:v>
      </x:c>
      <x:c r="C58" s="85" t="n">
        <x:v>0</x:v>
      </x:c>
      <x:c r="D58" s="85" t="n">
        <x:v>0</x:v>
      </x:c>
      <x:c r="E58" s="85" t="n">
        <x:v>0</x:v>
      </x:c>
      <x:c r="F58" s="85" t="n">
        <x:v>0</x:v>
      </x:c>
      <x:c r="G58" s="85" t="n">
        <x:v>0</x:v>
      </x:c>
      <x:c r="H58" s="85" t="n">
        <x:v>0</x:v>
      </x:c>
    </x:row>
    <x:row r="59" ht="22" customHeight="1">
      <x:c r="A59" s="85" t="n">
        <x:v>55</x:v>
      </x:c>
      <x:c r="B59" s="82" t="str">
        <x:v>Mikel Nieve</x:v>
      </x:c>
      <x:c r="C59" s="85" t="n">
        <x:v>0</x:v>
      </x:c>
      <x:c r="D59" s="85" t="n">
        <x:v>0</x:v>
      </x:c>
      <x:c r="E59" s="85" t="n">
        <x:v>0</x:v>
      </x:c>
      <x:c r="F59" s="85" t="n">
        <x:v>0</x:v>
      </x:c>
      <x:c r="G59" s="85" t="n">
        <x:v>0</x:v>
      </x:c>
      <x:c r="H59" s="85" t="n">
        <x:v>0</x:v>
      </x:c>
    </x:row>
    <x:row r="60" ht="22" customHeight="1">
      <x:c r="A60" s="85" t="n">
        <x:v>56</x:v>
      </x:c>
      <x:c r="B60" s="82" t="str">
        <x:v>Andrey Amador</x:v>
      </x:c>
      <x:c r="C60" s="85" t="n">
        <x:v>0</x:v>
      </x:c>
      <x:c r="D60" s="85" t="n">
        <x:v>0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</x:row>
    <x:row r="61" ht="22" customHeight="1">
      <x:c r="A61" s="85" t="n">
        <x:v>57</x:v>
      </x:c>
      <x:c r="B61" s="82" t="str">
        <x:v>Winner Anacona</x:v>
      </x:c>
      <x:c r="C61" s="85" t="n">
        <x:v>0</x:v>
      </x:c>
      <x:c r="D61" s="85" t="n">
        <x:v>0</x:v>
      </x:c>
      <x:c r="E61" s="85" t="n">
        <x:v>0</x:v>
      </x:c>
      <x:c r="F61" s="85" t="n">
        <x:v>0</x:v>
      </x:c>
      <x:c r="G61" s="85" t="n">
        <x:v>0</x:v>
      </x:c>
      <x:c r="H61" s="85" t="n">
        <x:v>0</x:v>
      </x:c>
    </x:row>
    <x:row r="62" ht="22" customHeight="1">
      <x:c r="A62" s="85" t="n">
        <x:v>58</x:v>
      </x:c>
      <x:c r="B62" s="82" t="str">
        <x:v>Robert Gesink</x:v>
      </x:c>
      <x:c r="C62" s="85" t="n">
        <x:v>0</x:v>
      </x:c>
      <x:c r="D62" s="85" t="n">
        <x:v>0</x:v>
      </x:c>
      <x:c r="E62" s="85" t="n">
        <x:v>0</x:v>
      </x:c>
      <x:c r="F62" s="85" t="n">
        <x:v>0</x:v>
      </x:c>
      <x:c r="G62" s="85" t="n">
        <x:v>0</x:v>
      </x:c>
      <x:c r="H62" s="85" t="n">
        <x:v>0</x:v>
      </x:c>
    </x:row>
    <x:row r="63" ht="22" customHeight="1">
      <x:c r="A63" s="85" t="n">
        <x:v>59</x:v>
      </x:c>
      <x:c r="B63" s="82" t="str">
        <x:v>Laurens De Plus</x:v>
      </x:c>
      <x:c r="C63" s="85" t="n">
        <x:v>0</x:v>
      </x:c>
      <x:c r="D63" s="85" t="n">
        <x:v>0</x:v>
      </x:c>
      <x:c r="E63" s="85" t="n">
        <x:v>0</x:v>
      </x:c>
      <x:c r="F63" s="85" t="n">
        <x:v>0</x:v>
      </x:c>
      <x:c r="G63" s="85" t="n">
        <x:v>0</x:v>
      </x:c>
      <x:c r="H63" s="85" t="n">
        <x:v>0</x:v>
      </x:c>
    </x:row>
    <x:row r="64" ht="22" customHeight="1">
      <x:c r="A64" s="85" t="n">
        <x:v>60</x:v>
      </x:c>
      <x:c r="B64" s="82" t="str">
        <x:v>Wilco Kelderman</x:v>
      </x:c>
      <x:c r="C64" s="85" t="n">
        <x:v>0</x:v>
      </x:c>
      <x:c r="D64" s="85" t="n">
        <x:v>0</x:v>
      </x:c>
      <x:c r="E64" s="85" t="n">
        <x:v>0</x:v>
      </x:c>
      <x:c r="F64" s="85" t="n">
        <x:v>0</x:v>
      </x:c>
      <x:c r="G64" s="85" t="n">
        <x:v>0</x:v>
      </x:c>
      <x:c r="H64" s="85" t="n">
        <x:v>0</x:v>
      </x:c>
    </x:row>
    <x:row r="65" ht="22" customHeight="1">
      <x:c r="A65" s="85" t="n">
        <x:v>61</x:v>
      </x:c>
      <x:c r="B65" s="82" t="str">
        <x:v>Tao Geoghegan Hart</x:v>
      </x:c>
      <x:c r="C65" s="85" t="n">
        <x:v>0</x:v>
      </x:c>
      <x:c r="D65" s="85" t="n">
        <x:v>0</x:v>
      </x:c>
      <x:c r="E65" s="85" t="n">
        <x:v>0</x:v>
      </x:c>
      <x:c r="F65" s="85" t="n">
        <x:v>0</x:v>
      </x:c>
      <x:c r="G65" s="85" t="n">
        <x:v>0</x:v>
      </x:c>
      <x:c r="H65" s="85" t="n">
        <x:v>0</x:v>
      </x:c>
    </x:row>
    <x:row r="66" ht="22" customHeight="1">
      <x:c r="A66" s="85" t="n">
        <x:v>62</x:v>
      </x:c>
      <x:c r="B66" s="82" t="str">
        <x:v>Jose Luis Rubiera</x:v>
      </x:c>
      <x:c r="C66" s="85" t="n">
        <x:v>0</x:v>
      </x:c>
      <x:c r="D66" s="85" t="n">
        <x:v>0</x:v>
      </x:c>
      <x:c r="E66" s="85" t="n">
        <x:v>0</x:v>
      </x:c>
      <x:c r="F66" s="85" t="n">
        <x:v>0</x:v>
      </x:c>
      <x:c r="G66" s="85" t="n">
        <x:v>0</x:v>
      </x:c>
      <x:c r="H66" s="85" t="n">
        <x:v>0</x:v>
      </x:c>
    </x:row>
    <x:row r="67" ht="22" customHeight="1">
      <x:c r="A67" s="85" t="n">
        <x:v>63</x:v>
      </x:c>
      <x:c r="B67" s="82" t="str">
        <x:v>Daniel Navarro</x:v>
      </x:c>
      <x:c r="C67" s="85" t="n">
        <x:v>0</x:v>
      </x:c>
      <x:c r="D67" s="85" t="n">
        <x:v>0</x:v>
      </x:c>
      <x:c r="E67" s="85" t="n">
        <x:v>0</x:v>
      </x:c>
      <x:c r="F67" s="85" t="n">
        <x:v>0</x:v>
      </x:c>
      <x:c r="G67" s="85" t="n">
        <x:v>0</x:v>
      </x:c>
      <x:c r="H67" s="85" t="n">
        <x:v>0</x:v>
      </x:c>
    </x:row>
    <x:row r="68" ht="22" customHeight="1">
      <x:c r="A68" s="85" t="n">
        <x:v>64</x:v>
      </x:c>
      <x:c r="B68" s="82" t="str">
        <x:v>Sergio Henao</x:v>
      </x:c>
      <x:c r="C68" s="85" t="n">
        <x:v>0</x:v>
      </x:c>
      <x:c r="D68" s="85" t="n">
        <x:v>0</x:v>
      </x:c>
      <x:c r="E68" s="85" t="n">
        <x:v>0</x:v>
      </x:c>
      <x:c r="F68" s="85" t="n">
        <x:v>0</x:v>
      </x:c>
      <x:c r="G68" s="85" t="n">
        <x:v>0</x:v>
      </x:c>
      <x:c r="H68" s="85" t="n">
        <x:v>0</x:v>
      </x:c>
    </x:row>
    <x:row r="69" ht="22" customHeight="1">
      <x:c r="A69" s="85" t="n">
        <x:v>65</x:v>
      </x:c>
      <x:c r="B69" s="82" t="str">
        <x:v>Tanel Kangert</x:v>
      </x:c>
      <x:c r="C69" s="85" t="n">
        <x:v>0</x:v>
      </x:c>
      <x:c r="D69" s="85" t="n">
        <x:v>0</x:v>
      </x:c>
      <x:c r="E69" s="85" t="n">
        <x:v>0</x:v>
      </x:c>
      <x:c r="F69" s="85" t="n">
        <x:v>0</x:v>
      </x:c>
      <x:c r="G69" s="85" t="n">
        <x:v>0</x:v>
      </x:c>
      <x:c r="H69" s="85" t="n">
        <x:v>0</x:v>
      </x:c>
    </x:row>
    <x:row r="70" ht="22" customHeight="1">
      <x:c r="A70" s="85" t="n">
        <x:v>66</x:v>
      </x:c>
      <x:c r="B70" s="82" t="str">
        <x:v>Mikel Landa</x:v>
      </x:c>
      <x:c r="C70" s="85" t="n">
        <x:v>0</x:v>
      </x:c>
      <x:c r="D70" s="85" t="n">
        <x:v>0</x:v>
      </x:c>
      <x:c r="E70" s="85" t="n">
        <x:v>0</x:v>
      </x:c>
      <x:c r="F70" s="85" t="n">
        <x:v>0</x:v>
      </x:c>
      <x:c r="G70" s="85" t="n">
        <x:v>0</x:v>
      </x:c>
      <x:c r="H70" s="85" t="n">
        <x:v>0</x:v>
      </x:c>
    </x:row>
    <x:row r="71" ht="22" customHeight="1">
      <x:c r="A71" s="85" t="n">
        <x:v>67</x:v>
      </x:c>
      <x:c r="B71" s="82" t="str">
        <x:v>Adam Yates</x:v>
      </x:c>
      <x:c r="C71" s="85" t="n">
        <x:v>0</x:v>
      </x:c>
      <x:c r="D71" s="85" t="n">
        <x:v>0</x:v>
      </x:c>
      <x:c r="E71" s="85" t="n">
        <x:v>0</x:v>
      </x:c>
      <x:c r="F71" s="85" t="n">
        <x:v>0</x:v>
      </x:c>
      <x:c r="G71" s="85" t="n">
        <x:v>0</x:v>
      </x:c>
      <x:c r="H71" s="85" t="n">
        <x:v>0</x:v>
      </x:c>
    </x:row>
    <x:row r="72" ht="22" customHeight="1">
      <x:c r="A72" s="85" t="n">
        <x:v>68</x:v>
      </x:c>
      <x:c r="B72" s="82" t="str">
        <x:v>Rafal Majka</x:v>
      </x:c>
      <x:c r="C72" s="85" t="n">
        <x:v>0</x:v>
      </x:c>
      <x:c r="D72" s="85" t="n">
        <x:v>0</x:v>
      </x:c>
      <x:c r="E72" s="85" t="n">
        <x:v>0</x:v>
      </x:c>
      <x:c r="F72" s="85" t="n">
        <x:v>0</x:v>
      </x:c>
      <x:c r="G72" s="85" t="n">
        <x:v>0</x:v>
      </x:c>
      <x:c r="H72" s="85" t="n">
        <x:v>0</x:v>
      </x:c>
    </x:row>
    <x:row r="73" ht="22" customHeight="1">
      <x:c r="A73" s="85" t="n">
        <x:v>69</x:v>
      </x:c>
      <x:c r="B73" s="82" t="str">
        <x:v>Carlos Verona</x:v>
      </x:c>
      <x:c r="C73" s="85" t="n">
        <x:v>0</x:v>
      </x:c>
      <x:c r="D73" s="85" t="n">
        <x:v>0</x:v>
      </x:c>
      <x:c r="E73" s="85" t="n">
        <x:v>0</x:v>
      </x:c>
      <x:c r="F73" s="85" t="n">
        <x:v>0</x:v>
      </x:c>
      <x:c r="G73" s="85" t="n">
        <x:v>0</x:v>
      </x:c>
      <x:c r="H73" s="85" t="n">
        <x:v>0</x:v>
      </x:c>
    </x:row>
    <x:row r="74" ht="22" customHeight="1">
      <x:c r="A74" s="85" t="n">
        <x:v>70</x:v>
      </x:c>
      <x:c r="B74" s="82" t="str">
        <x:v>Marc Soler</x:v>
      </x:c>
      <x:c r="C74" s="85" t="n">
        <x:v>0</x:v>
      </x:c>
      <x:c r="D74" s="85" t="n">
        <x:v>0</x:v>
      </x:c>
      <x:c r="E74" s="85" t="n">
        <x:v>0</x:v>
      </x:c>
      <x:c r="F74" s="85" t="n">
        <x:v>0</x:v>
      </x:c>
      <x:c r="G74" s="85" t="n">
        <x:v>0</x:v>
      </x:c>
      <x:c r="H74" s="85" t="n">
        <x:v>0</x:v>
      </x:c>
    </x:row>
    <x:row r="75" ht="22" customHeight="1">
      <x:c r="A75" s="85" t="n">
        <x:v>71</x:v>
      </x:c>
      <x:c r="B75" s="82" t="str">
        <x:v>Brandon McNulty</x:v>
      </x:c>
      <x:c r="C75" s="85" t="n">
        <x:v>0</x:v>
      </x:c>
      <x:c r="D75" s="85" t="n">
        <x:v>0</x:v>
      </x:c>
      <x:c r="E75" s="85" t="n">
        <x:v>0</x:v>
      </x:c>
      <x:c r="F75" s="85" t="n">
        <x:v>0</x:v>
      </x:c>
      <x:c r="G75" s="85" t="n">
        <x:v>0</x:v>
      </x:c>
      <x:c r="H75" s="85" t="n">
        <x:v>0</x:v>
      </x:c>
    </x:row>
    <x:row r="76" ht="22" customHeight="1">
      <x:c r="A76" s="85" t="n">
        <x:v>72</x:v>
      </x:c>
      <x:c r="B76" s="82" t="str">
        <x:v>Pavel Sivakov</x:v>
      </x:c>
      <x:c r="C76" s="85" t="n">
        <x:v>0</x:v>
      </x:c>
      <x:c r="D76" s="85" t="n">
        <x:v>0</x:v>
      </x:c>
      <x:c r="E76" s="85" t="n">
        <x:v>0</x:v>
      </x:c>
      <x:c r="F76" s="85" t="n">
        <x:v>0</x:v>
      </x:c>
      <x:c r="G76" s="85" t="n">
        <x:v>0</x:v>
      </x:c>
      <x:c r="H76" s="85" t="n">
        <x:v>0</x:v>
      </x:c>
    </x:row>
    <x:row r="77" ht="22" customHeight="1">
      <x:c r="A77" s="85" t="n">
        <x:v>73</x:v>
      </x:c>
      <x:c r="B77" s="82" t="str">
        <x:v>Thymen Arensman</x:v>
      </x:c>
      <x:c r="C77" s="85" t="n">
        <x:v>0</x:v>
      </x:c>
      <x:c r="D77" s="85" t="n">
        <x:v>0</x:v>
      </x:c>
      <x:c r="E77" s="85" t="n">
        <x:v>0</x:v>
      </x:c>
      <x:c r="F77" s="85" t="n">
        <x:v>0</x:v>
      </x:c>
      <x:c r="G77" s="85" t="n">
        <x:v>0</x:v>
      </x:c>
      <x:c r="H77" s="85" t="n">
        <x:v>0</x:v>
      </x:c>
    </x:row>
    <x:row r="78" ht="22" customHeight="1">
      <x:c r="A78" s="85" t="n">
        <x:v>74</x:v>
      </x:c>
      <x:c r="B78" s="82" t="str">
        <x:v>Ben O'Connor</x:v>
      </x:c>
      <x:c r="C78" s="85" t="n">
        <x:v>0</x:v>
      </x:c>
      <x:c r="D78" s="85" t="n">
        <x:v>0</x:v>
      </x:c>
      <x:c r="E78" s="85" t="n">
        <x:v>0</x:v>
      </x:c>
      <x:c r="F78" s="85" t="n">
        <x:v>0</x:v>
      </x:c>
      <x:c r="G78" s="85" t="n">
        <x:v>0</x:v>
      </x:c>
      <x:c r="H78" s="85" t="n">
        <x:v>0</x:v>
      </x:c>
    </x:row>
    <x:row r="79" ht="22" customHeight="1">
      <x:c r="A79" s="85" t="n">
        <x:v>75</x:v>
      </x:c>
      <x:c r="B79" s="82" t="str">
        <x:v>Santiago Buitrago</x:v>
      </x:c>
      <x:c r="C79" s="85" t="n">
        <x:v>0</x:v>
      </x:c>
      <x:c r="D79" s="85" t="n">
        <x:v>0</x:v>
      </x:c>
      <x:c r="E79" s="85" t="n">
        <x:v>0</x:v>
      </x:c>
      <x:c r="F79" s="85" t="n">
        <x:v>0</x:v>
      </x:c>
      <x:c r="G79" s="85" t="n">
        <x:v>0</x:v>
      </x:c>
      <x:c r="H79" s="85" t="n">
        <x:v>0</x:v>
      </x:c>
    </x:row>
    <x:row r="80" ht="22" customHeight="1">
      <x:c r="A80" s="85" t="n">
        <x:v>76</x:v>
      </x:c>
      <x:c r="B80" s="82" t="str">
        <x:v>Damiano Caruso</x:v>
      </x:c>
      <x:c r="C80" s="85" t="n">
        <x:v>0</x:v>
      </x:c>
      <x:c r="D80" s="85" t="n">
        <x:v>0</x:v>
      </x:c>
      <x:c r="E80" s="85" t="n">
        <x:v>0</x:v>
      </x:c>
      <x:c r="F80" s="85" t="n">
        <x:v>0</x:v>
      </x:c>
      <x:c r="G80" s="85" t="n">
        <x:v>0</x:v>
      </x:c>
      <x:c r="H80" s="85" t="n">
        <x:v>0</x:v>
      </x:c>
    </x:row>
    <x:row r="81" ht="22" customHeight="1">
      <x:c r="A81" s="85" t="n">
        <x:v>77</x:v>
      </x:c>
      <x:c r="B81" s="82" t="str">
        <x:v>Domenico Pozzovivo</x:v>
      </x:c>
      <x:c r="C81" s="85" t="n">
        <x:v>0</x:v>
      </x:c>
      <x:c r="D81" s="85" t="n">
        <x:v>0</x:v>
      </x:c>
      <x:c r="E81" s="85" t="n">
        <x:v>0</x:v>
      </x:c>
      <x:c r="F81" s="85" t="n">
        <x:v>0</x:v>
      </x:c>
      <x:c r="G81" s="85" t="n">
        <x:v>0</x:v>
      </x:c>
      <x:c r="H81" s="85" t="n">
        <x:v>0</x:v>
      </x:c>
    </x:row>
    <x:row r="82" ht="22" customHeight="1">
      <x:c r="A82" s="85" t="n">
        <x:v>78</x:v>
      </x:c>
      <x:c r="B82" s="82" t="str">
        <x:v>Roman Kreuziger</x:v>
      </x:c>
      <x:c r="C82" s="85" t="n">
        <x:v>0</x:v>
      </x:c>
      <x:c r="D82" s="85" t="n">
        <x:v>0</x:v>
      </x:c>
      <x:c r="E82" s="85" t="n">
        <x:v>0</x:v>
      </x:c>
      <x:c r="F82" s="85" t="n">
        <x:v>0</x:v>
      </x:c>
      <x:c r="G82" s="85" t="n">
        <x:v>0</x:v>
      </x:c>
      <x:c r="H82" s="85" t="n">
        <x:v>0</x:v>
      </x:c>
    </x:row>
    <x:row r="83" ht="22" customHeight="1">
      <x:c r="A83" s="85" t="n">
        <x:v>79</x:v>
      </x:c>
      <x:c r="B83" s="82" t="str">
        <x:v>Haimar Zubeldia</x:v>
      </x:c>
      <x:c r="C83" s="85" t="n">
        <x:v>0</x:v>
      </x:c>
      <x:c r="D83" s="85" t="n">
        <x:v>0</x:v>
      </x:c>
      <x:c r="E83" s="85" t="n">
        <x:v>0</x:v>
      </x:c>
      <x:c r="F83" s="85" t="n">
        <x:v>0</x:v>
      </x:c>
      <x:c r="G83" s="85" t="n">
        <x:v>0</x:v>
      </x:c>
      <x:c r="H83" s="85" t="n">
        <x:v>0</x:v>
      </x:c>
    </x:row>
    <x:row r="84" ht="22" customHeight="1">
      <x:c r="A84" s="85" t="n">
        <x:v>80</x:v>
      </x:c>
      <x:c r="B84" s="82" t="str">
        <x:v>Igor Anton</x:v>
      </x:c>
      <x:c r="C84" s="85" t="n">
        <x:v>0</x:v>
      </x:c>
      <x:c r="D84" s="85" t="n">
        <x:v>0</x:v>
      </x:c>
      <x:c r="E84" s="85" t="n">
        <x:v>0</x:v>
      </x:c>
      <x:c r="F84" s="85" t="n">
        <x:v>0</x:v>
      </x:c>
      <x:c r="G84" s="85" t="n">
        <x:v>0</x:v>
      </x:c>
      <x:c r="H84" s="85" t="n">
        <x:v>0</x:v>
      </x:c>
    </x:row>
    <x:row r="85" ht="22" customHeight="1">
      <x:c r="A85" s="85" t="n">
        <x:v>81</x:v>
      </x:c>
      <x:c r="B85" s="82" t="str">
        <x:v>Pierre Rolland</x:v>
      </x:c>
      <x:c r="C85" s="85" t="n">
        <x:v>0</x:v>
      </x:c>
      <x:c r="D85" s="85" t="n">
        <x:v>0</x:v>
      </x:c>
      <x:c r="E85" s="85" t="n">
        <x:v>0</x:v>
      </x:c>
      <x:c r="F85" s="85" t="n">
        <x:v>0</x:v>
      </x:c>
      <x:c r="G85" s="85" t="n">
        <x:v>0</x:v>
      </x:c>
      <x:c r="H85" s="85" t="n">
        <x:v>0</x:v>
      </x:c>
    </x:row>
    <x:row r="86" ht="22" customHeight="1">
      <x:c r="A86" s="85" t="n">
        <x:v>82</x:v>
      </x:c>
      <x:c r="B86" s="82" t="str">
        <x:v>Rein Taaramae</x:v>
      </x:c>
      <x:c r="C86" s="85" t="n">
        <x:v>0</x:v>
      </x:c>
      <x:c r="D86" s="85" t="n">
        <x:v>0</x:v>
      </x:c>
      <x:c r="E86" s="85" t="n">
        <x:v>0</x:v>
      </x:c>
      <x:c r="F86" s="85" t="n">
        <x:v>0</x:v>
      </x:c>
      <x:c r="G86" s="85" t="n">
        <x:v>0</x:v>
      </x:c>
      <x:c r="H86" s="85" t="n">
        <x:v>0</x:v>
      </x:c>
    </x:row>
    <x:row r="87" ht="22" customHeight="1">
      <x:c r="A87" s="85" t="n">
        <x:v>83</x:v>
      </x:c>
      <x:c r="B87" s="82" t="str">
        <x:v>Tim Declercq</x:v>
      </x:c>
      <x:c r="C87" s="85" t="n">
        <x:v>0</x:v>
      </x:c>
      <x:c r="D87" s="85" t="n">
        <x:v>0</x:v>
      </x:c>
      <x:c r="E87" s="85" t="n">
        <x:v>0</x:v>
      </x:c>
      <x:c r="F87" s="85" t="n">
        <x:v>0</x:v>
      </x:c>
      <x:c r="G87" s="85" t="n">
        <x:v>0</x:v>
      </x:c>
      <x:c r="H87" s="85" t="n">
        <x:v>0</x:v>
      </x:c>
    </x:row>
    <x:row r="88" ht="22" customHeight="1">
      <x:c r="A88" s="85" t="n">
        <x:v>84</x:v>
      </x:c>
      <x:c r="B88" s="82" t="str">
        <x:v>Nils Politt</x:v>
      </x:c>
      <x:c r="C88" s="85" t="n">
        <x:v>0</x:v>
      </x:c>
      <x:c r="D88" s="85" t="n">
        <x:v>0</x:v>
      </x:c>
      <x:c r="E88" s="85" t="n">
        <x:v>0</x:v>
      </x:c>
      <x:c r="F88" s="85" t="n">
        <x:v>0</x:v>
      </x:c>
      <x:c r="G88" s="85" t="n">
        <x:v>0</x:v>
      </x:c>
      <x:c r="H88" s="85" t="n">
        <x:v>0</x:v>
      </x:c>
    </x:row>
    <x:row r="89" ht="22" customHeight="1">
      <x:c r="A89" s="85" t="n">
        <x:v>85</x:v>
      </x:c>
      <x:c r="B89" s="82" t="str">
        <x:v>Luke Durbridge</x:v>
      </x:c>
      <x:c r="C89" s="85" t="n">
        <x:v>0</x:v>
      </x:c>
      <x:c r="D89" s="85" t="n">
        <x:v>0</x:v>
      </x:c>
      <x:c r="E89" s="85" t="n">
        <x:v>0</x:v>
      </x:c>
      <x:c r="F89" s="85" t="n">
        <x:v>0</x:v>
      </x:c>
      <x:c r="G89" s="85" t="n">
        <x:v>0</x:v>
      </x:c>
      <x:c r="H89" s="85" t="n">
        <x:v>0</x:v>
      </x:c>
    </x:row>
    <x:row r="90" ht="22" customHeight="1">
      <x:c r="A90" s="85" t="n">
        <x:v>86</x:v>
      </x:c>
      <x:c r="B90" s="82" t="str">
        <x:v>Mads Pedersen</x:v>
      </x:c>
      <x:c r="C90" s="85" t="n">
        <x:v>0</x:v>
      </x:c>
      <x:c r="D90" s="85" t="n">
        <x:v>0</x:v>
      </x:c>
      <x:c r="E90" s="85" t="n">
        <x:v>0</x:v>
      </x:c>
      <x:c r="F90" s="85" t="n">
        <x:v>0</x:v>
      </x:c>
      <x:c r="G90" s="85" t="n">
        <x:v>0</x:v>
      </x:c>
      <x:c r="H90" s="85" t="n">
        <x:v>0</x:v>
      </x:c>
    </x:row>
    <x:row r="91" ht="22" customHeight="1">
      <x:c r="A91" s="85" t="n">
        <x:v>87</x:v>
      </x:c>
      <x:c r="B91" s="82" t="str">
        <x:v>Michael Hepburn</x:v>
      </x:c>
      <x:c r="C91" s="85" t="n">
        <x:v>0</x:v>
      </x:c>
      <x:c r="D91" s="85" t="n">
        <x:v>0</x:v>
      </x:c>
      <x:c r="E91" s="85" t="n">
        <x:v>0</x:v>
      </x:c>
      <x:c r="F91" s="85" t="n">
        <x:v>0</x:v>
      </x:c>
      <x:c r="G91" s="85" t="n">
        <x:v>0</x:v>
      </x:c>
      <x:c r="H91" s="85" t="n">
        <x:v>0</x:v>
      </x:c>
    </x:row>
    <x:row r="92" ht="22" customHeight="1">
      <x:c r="A92" s="85" t="n">
        <x:v>88</x:v>
      </x:c>
      <x:c r="B92" s="82" t="str">
        <x:v>Viatcheslav Ekimov</x:v>
      </x:c>
      <x:c r="C92" s="85" t="n">
        <x:v>0</x:v>
      </x:c>
      <x:c r="D92" s="85" t="n">
        <x:v>0</x:v>
      </x:c>
      <x:c r="E92" s="85" t="n">
        <x:v>0</x:v>
      </x:c>
      <x:c r="F92" s="85" t="n">
        <x:v>0</x:v>
      </x:c>
      <x:c r="G92" s="85" t="n">
        <x:v>0</x:v>
      </x:c>
      <x:c r="H92" s="85" t="n">
        <x:v>0</x:v>
      </x:c>
    </x:row>
    <x:row r="93" ht="22" customHeight="1">
      <x:c r="A93" s="85" t="n">
        <x:v>89</x:v>
      </x:c>
      <x:c r="B93" s="82" t="str">
        <x:v>Jasper Philipsen</x:v>
      </x:c>
      <x:c r="C93" s="85" t="n">
        <x:v>1</x:v>
      </x:c>
      <x:c r="D93" s="85" t="n">
        <x:v>0</x:v>
      </x:c>
      <x:c r="E93" s="85" t="n">
        <x:v>0</x:v>
      </x:c>
      <x:c r="F93" s="85" t="n">
        <x:v>0</x:v>
      </x:c>
      <x:c r="G93" s="85" t="n">
        <x:v>0</x:v>
      </x:c>
      <x:c r="H93" s="85" t="n">
        <x:v>1</x:v>
      </x:c>
    </x:row>
    <x:row r="94" ht="22" customHeight="1">
      <x:c r="A94" s="85" t="n">
        <x:v>90</x:v>
      </x:c>
      <x:c r="B94" s="82" t="str">
        <x:v>Matteo Tosatto</x:v>
      </x:c>
      <x:c r="C94" s="85" t="n">
        <x:v>0</x:v>
      </x:c>
      <x:c r="D94" s="85" t="n">
        <x:v>0</x:v>
      </x:c>
      <x:c r="E94" s="85" t="n">
        <x:v>0</x:v>
      </x:c>
      <x:c r="F94" s="85" t="n">
        <x:v>0</x:v>
      </x:c>
      <x:c r="G94" s="85" t="n">
        <x:v>0</x:v>
      </x:c>
      <x:c r="H94" s="85" t="n">
        <x:v>0</x:v>
      </x:c>
    </x:row>
    <x:row r="95" ht="22" customHeight="1">
      <x:c r="A95" s="85" t="n">
        <x:v>91</x:v>
      </x:c>
      <x:c r="B95" s="82" t="str">
        <x:v>Nathan Van Hooydonck</x:v>
      </x:c>
      <x:c r="C95" s="85" t="n">
        <x:v>0</x:v>
      </x:c>
      <x:c r="D95" s="85" t="n">
        <x:v>0</x:v>
      </x:c>
      <x:c r="E95" s="85" t="n">
        <x:v>0</x:v>
      </x:c>
      <x:c r="F95" s="85" t="n">
        <x:v>0</x:v>
      </x:c>
      <x:c r="G95" s="85" t="n">
        <x:v>0</x:v>
      </x:c>
      <x:c r="H95" s="85" t="n">
        <x:v>0</x:v>
      </x:c>
    </x:row>
    <x:row r="96" ht="22" customHeight="1">
      <x:c r="A96" s="85" t="n">
        <x:v>92</x:v>
      </x:c>
      <x:c r="B96" s="82" t="str">
        <x:v>Dylan van Baarle</x:v>
      </x:c>
      <x:c r="C96" s="85" t="n">
        <x:v>0</x:v>
      </x:c>
      <x:c r="D96" s="85" t="n">
        <x:v>0</x:v>
      </x:c>
      <x:c r="E96" s="85" t="n">
        <x:v>0</x:v>
      </x:c>
      <x:c r="F96" s="85" t="n">
        <x:v>0</x:v>
      </x:c>
      <x:c r="G96" s="85" t="n">
        <x:v>0</x:v>
      </x:c>
      <x:c r="H96" s="85" t="n">
        <x:v>0</x:v>
      </x:c>
    </x:row>
    <x:row r="97" ht="22" customHeight="1">
      <x:c r="A97" s="85" t="n">
        <x:v>93</x:v>
      </x:c>
      <x:c r="B97" s="82" t="str">
        <x:v>Stefan Kung</x:v>
      </x:c>
      <x:c r="C97" s="85" t="n">
        <x:v>0</x:v>
      </x:c>
      <x:c r="D97" s="85" t="n">
        <x:v>0</x:v>
      </x:c>
      <x:c r="E97" s="85" t="n">
        <x:v>0</x:v>
      </x:c>
      <x:c r="F97" s="85" t="n">
        <x:v>0</x:v>
      </x:c>
      <x:c r="G97" s="85" t="n">
        <x:v>0</x:v>
      </x:c>
      <x:c r="H97" s="85" t="n">
        <x:v>0</x:v>
      </x:c>
    </x:row>
    <x:row r="98" ht="22" customHeight="1">
      <x:c r="A98" s="85" t="n">
        <x:v>94</x:v>
      </x:c>
      <x:c r="B98" s="82" t="str">
        <x:v>Yves Lampaert</x:v>
      </x:c>
      <x:c r="C98" s="85" t="n">
        <x:v>0</x:v>
      </x:c>
      <x:c r="D98" s="85" t="n">
        <x:v>0</x:v>
      </x:c>
      <x:c r="E98" s="85" t="n">
        <x:v>0</x:v>
      </x:c>
      <x:c r="F98" s="85" t="n">
        <x:v>0</x:v>
      </x:c>
      <x:c r="G98" s="85" t="n">
        <x:v>0</x:v>
      </x:c>
      <x:c r="H98" s="85" t="n">
        <x:v>0</x:v>
      </x:c>
    </x:row>
    <x:row r="99" ht="22" customHeight="1">
      <x:c r="A99" s="85" t="n">
        <x:v>95</x:v>
      </x:c>
      <x:c r="B99" s="82" t="str">
        <x:v>Kasper Asgreen</x:v>
      </x:c>
      <x:c r="C99" s="85" t="n">
        <x:v>0</x:v>
      </x:c>
      <x:c r="D99" s="85" t="n">
        <x:v>1</x:v>
      </x:c>
      <x:c r="E99" s="85" t="n">
        <x:v>0</x:v>
      </x:c>
      <x:c r="F99" s="85" t="n">
        <x:v>0</x:v>
      </x:c>
      <x:c r="G99" s="85" t="n">
        <x:v>0</x:v>
      </x:c>
      <x:c r="H99" s="85" t="n">
        <x:v>1</x:v>
      </x:c>
    </x:row>
    <x:row r="100" ht="22" customHeight="1">
      <x:c r="A100" s="85" t="n">
        <x:v>96</x:v>
      </x:c>
      <x:c r="B100" s="82" t="str">
        <x:v>Matteo Trentin</x:v>
      </x:c>
      <x:c r="C100" s="85" t="n">
        <x:v>0</x:v>
      </x:c>
      <x:c r="D100" s="85" t="n">
        <x:v>0</x:v>
      </x:c>
      <x:c r="E100" s="85" t="n">
        <x:v>0</x:v>
      </x:c>
      <x:c r="F100" s="85" t="n">
        <x:v>0</x:v>
      </x:c>
      <x:c r="G100" s="85" t="n">
        <x:v>0</x:v>
      </x:c>
      <x:c r="H100" s="85" t="n">
        <x:v>0</x:v>
      </x:c>
    </x:row>
    <x:row r="101" ht="22" customHeight="1">
      <x:c r="A101" s="85" t="n">
        <x:v>97</x:v>
      </x:c>
      <x:c r="B101" s="82" t="str">
        <x:v>Marcus Burghardt</x:v>
      </x:c>
      <x:c r="C101" s="85" t="n">
        <x:v>0</x:v>
      </x:c>
      <x:c r="D101" s="85" t="n">
        <x:v>0</x:v>
      </x:c>
      <x:c r="E101" s="85" t="n">
        <x:v>0</x:v>
      </x:c>
      <x:c r="F101" s="85" t="n">
        <x:v>0</x:v>
      </x:c>
      <x:c r="G101" s="85" t="n">
        <x:v>0</x:v>
      </x:c>
      <x:c r="H101" s="85" t="n">
        <x:v>0</x:v>
      </x:c>
    </x:row>
    <x:row r="102" ht="22" customHeight="1">
      <x:c r="A102" s="85" t="n">
        <x:v>98</x:v>
      </x:c>
      <x:c r="B102" s="82" t="str">
        <x:v>Ian Stannard</x:v>
      </x:c>
      <x:c r="C102" s="85" t="n">
        <x:v>0</x:v>
      </x:c>
      <x:c r="D102" s="85" t="n">
        <x:v>0</x:v>
      </x:c>
      <x:c r="E102" s="85" t="n">
        <x:v>0</x:v>
      </x:c>
      <x:c r="F102" s="85" t="n">
        <x:v>0</x:v>
      </x:c>
      <x:c r="G102" s="85" t="n">
        <x:v>0</x:v>
      </x:c>
      <x:c r="H102" s="85" t="n">
        <x:v>0</x:v>
      </x:c>
    </x:row>
    <x:row r="103" ht="22" customHeight="1">
      <x:c r="A103" s="85" t="n">
        <x:v>99</x:v>
      </x:c>
      <x:c r="B103" s="82" t="str">
        <x:v>Eros Poli</x:v>
      </x:c>
      <x:c r="C103" s="85" t="n">
        <x:v>0</x:v>
      </x:c>
      <x:c r="D103" s="85" t="n">
        <x:v>0</x:v>
      </x:c>
      <x:c r="E103" s="85" t="n">
        <x:v>0</x:v>
      </x:c>
      <x:c r="F103" s="85" t="n">
        <x:v>0</x:v>
      </x:c>
      <x:c r="G103" s="85" t="n">
        <x:v>0</x:v>
      </x:c>
      <x:c r="H103" s="85" t="n">
        <x:v>0</x:v>
      </x:c>
    </x:row>
    <x:row r="104" ht="22" customHeight="1">
      <x:c r="A104" s="85" t="n">
        <x:v>100</x:v>
      </x:c>
      <x:c r="B104" s="82" t="str">
        <x:v>Jens Voigt</x:v>
      </x:c>
      <x:c r="C104" s="85" t="n">
        <x:v>0</x:v>
      </x:c>
      <x:c r="D104" s="85" t="n">
        <x:v>0</x:v>
      </x:c>
      <x:c r="E104" s="85" t="n">
        <x:v>0</x:v>
      </x:c>
      <x:c r="F104" s="85" t="n">
        <x:v>0</x:v>
      </x:c>
      <x:c r="G104" s="85" t="n">
        <x:v>0</x:v>
      </x:c>
      <x:c r="H104" s="85" t="n">
        <x:v>0</x:v>
      </x:c>
    </x:row>
    <x:row r="105" ht="22" customHeight="1">
      <x:c r="A105" s="85" t="n">
        <x:v>101</x:v>
      </x:c>
      <x:c r="B105" s="82" t="str">
        <x:v>Stuart O'Grady</x:v>
      </x:c>
      <x:c r="C105" s="85" t="n">
        <x:v>0</x:v>
      </x:c>
      <x:c r="D105" s="85" t="n">
        <x:v>0</x:v>
      </x:c>
      <x:c r="E105" s="85" t="n">
        <x:v>1</x:v>
      </x:c>
      <x:c r="F105" s="85" t="n">
        <x:v>0</x:v>
      </x:c>
      <x:c r="G105" s="85" t="n">
        <x:v>0</x:v>
      </x:c>
      <x:c r="H105" s="85" t="n">
        <x:v>1</x:v>
      </x:c>
    </x:row>
    <x:row r="106" ht="22" customHeight="1">
      <x:c r="A106" s="85" t="n">
        <x:v>102</x:v>
      </x:c>
      <x:c r="B106" s="82" t="str">
        <x:v>Jack Bauer</x:v>
      </x:c>
      <x:c r="C106" s="85" t="n">
        <x:v>0</x:v>
      </x:c>
      <x:c r="D106" s="85" t="n">
        <x:v>0</x:v>
      </x:c>
      <x:c r="E106" s="85" t="n">
        <x:v>0</x:v>
      </x:c>
      <x:c r="F106" s="85" t="n">
        <x:v>0</x:v>
      </x:c>
      <x:c r="G106" s="85" t="n">
        <x:v>0</x:v>
      </x:c>
      <x:c r="H106" s="85" t="n">
        <x:v>0</x:v>
      </x:c>
    </x:row>
    <x:row r="107" ht="22" customHeight="1">
      <x:c r="A107" s="85" t="n">
        <x:v>103</x:v>
      </x:c>
      <x:c r="B107" s="82" t="str">
        <x:v>Salvatore Puccio</x:v>
      </x:c>
      <x:c r="C107" s="85" t="n">
        <x:v>0</x:v>
      </x:c>
      <x:c r="D107" s="85" t="n">
        <x:v>0</x:v>
      </x:c>
      <x:c r="E107" s="85" t="n">
        <x:v>0</x:v>
      </x:c>
      <x:c r="F107" s="85" t="n">
        <x:v>0</x:v>
      </x:c>
      <x:c r="G107" s="85" t="n">
        <x:v>0</x:v>
      </x:c>
      <x:c r="H107" s="85" t="n">
        <x:v>0</x:v>
      </x:c>
    </x:row>
    <x:row r="108" ht="22" customHeight="1">
      <x:c r="A108" s="85" t="n">
        <x:v>104</x:v>
      </x:c>
      <x:c r="B108" s="82" t="str">
        <x:v>Biniam Girmay</x:v>
      </x:c>
      <x:c r="C108" s="85" t="n">
        <x:v>0</x:v>
      </x:c>
      <x:c r="D108" s="85" t="n">
        <x:v>0</x:v>
      </x:c>
      <x:c r="E108" s="85" t="n">
        <x:v>0</x:v>
      </x:c>
      <x:c r="F108" s="85" t="n">
        <x:v>0</x:v>
      </x:c>
      <x:c r="G108" s="85" t="n">
        <x:v>0</x:v>
      </x:c>
      <x:c r="H108" s="85" t="n">
        <x:v>0</x:v>
      </x:c>
    </x:row>
    <x:row r="109" ht="22" customHeight="1">
      <x:c r="A109" s="85" t="n">
        <x:v>105</x:v>
      </x:c>
      <x:c r="B109" s="82" t="str">
        <x:v>Tom Pidcock</x:v>
      </x:c>
      <x:c r="C109" s="85" t="n">
        <x:v>0</x:v>
      </x:c>
      <x:c r="D109" s="85" t="n">
        <x:v>0</x:v>
      </x:c>
      <x:c r="E109" s="85" t="n">
        <x:v>0</x:v>
      </x:c>
      <x:c r="F109" s="85" t="n">
        <x:v>0</x:v>
      </x:c>
      <x:c r="G109" s="85" t="n">
        <x:v>0</x:v>
      </x:c>
      <x:c r="H109" s="85" t="n">
        <x:v>0</x:v>
      </x:c>
    </x:row>
    <x:row r="110" ht="22" customHeight="1">
      <x:c r="A110" s="85" t="n">
        <x:v>106</x:v>
      </x:c>
      <x:c r="B110" s="82" t="str">
        <x:v>Joao Almeida</x:v>
      </x:c>
      <x:c r="C110" s="85" t="n">
        <x:v>0</x:v>
      </x:c>
      <x:c r="D110" s="85" t="n">
        <x:v>0</x:v>
      </x:c>
      <x:c r="E110" s="85" t="n">
        <x:v>0</x:v>
      </x:c>
      <x:c r="F110" s="85" t="n">
        <x:v>0</x:v>
      </x:c>
      <x:c r="G110" s="85" t="n">
        <x:v>0</x:v>
      </x:c>
      <x:c r="H110" s="85" t="n">
        <x:v>0</x:v>
      </x:c>
    </x:row>
    <x:row r="111" ht="22" customHeight="1">
      <x:c r="A111" s="85" t="n">
        <x:v>107</x:v>
      </x:c>
      <x:c r="B111" s="82" t="str">
        <x:v>Maciej Bodnar</x:v>
      </x:c>
      <x:c r="C111" s="85" t="n">
        <x:v>0</x:v>
      </x:c>
      <x:c r="D111" s="85" t="n">
        <x:v>0</x:v>
      </x:c>
      <x:c r="E111" s="85" t="n">
        <x:v>0</x:v>
      </x:c>
      <x:c r="F111" s="85" t="n">
        <x:v>0</x:v>
      </x:c>
      <x:c r="G111" s="85" t="n">
        <x:v>0</x:v>
      </x:c>
      <x:c r="H111" s="85" t="n">
        <x:v>0</x:v>
      </x:c>
    </x:row>
    <x:row r="112" ht="22" customHeight="1">
      <x:c r="A112" s="85" t="n">
        <x:v>108</x:v>
      </x:c>
      <x:c r="B112" s="82" t="str">
        <x:v>Jos van Emden</x:v>
      </x:c>
      <x:c r="C112" s="85" t="n">
        <x:v>0</x:v>
      </x:c>
      <x:c r="D112" s="85" t="n">
        <x:v>0</x:v>
      </x:c>
      <x:c r="E112" s="85" t="n">
        <x:v>0</x:v>
      </x:c>
      <x:c r="F112" s="85" t="n">
        <x:v>0</x:v>
      </x:c>
      <x:c r="G112" s="85" t="n">
        <x:v>0</x:v>
      </x:c>
      <x:c r="H112" s="85" t="n">
        <x:v>0</x:v>
      </x:c>
    </x:row>
    <x:row r="113" ht="22" customHeight="1">
      <x:c r="A113" s="85" t="n">
        <x:v>109</x:v>
      </x:c>
      <x:c r="B113" s="82" t="str">
        <x:v>Maarten Tjallingii</x:v>
      </x:c>
      <x:c r="C113" s="85" t="n">
        <x:v>0</x:v>
      </x:c>
      <x:c r="D113" s="85" t="n">
        <x:v>0</x:v>
      </x:c>
      <x:c r="E113" s="85" t="n">
        <x:v>0</x:v>
      </x:c>
      <x:c r="F113" s="85" t="n">
        <x:v>0</x:v>
      </x:c>
      <x:c r="G113" s="85" t="n">
        <x:v>0</x:v>
      </x:c>
      <x:c r="H113" s="85" t="n">
        <x:v>0</x:v>
      </x:c>
    </x:row>
    <x:row r="114" ht="22" customHeight="1">
      <x:c r="A114" s="85" t="n">
        <x:v>110</x:v>
      </x:c>
      <x:c r="B114" s="82" t="str">
        <x:v>Lars Bak</x:v>
      </x:c>
      <x:c r="C114" s="85" t="n">
        <x:v>0</x:v>
      </x:c>
      <x:c r="D114" s="85" t="n">
        <x:v>0</x:v>
      </x:c>
      <x:c r="E114" s="85" t="n">
        <x:v>0</x:v>
      </x:c>
      <x:c r="F114" s="85" t="n">
        <x:v>0</x:v>
      </x:c>
      <x:c r="G114" s="85" t="n">
        <x:v>0</x:v>
      </x:c>
      <x:c r="H114" s="85" t="n">
        <x:v>0</x:v>
      </x:c>
    </x:row>
    <x:row r="115" ht="22" customHeight="1">
      <x:c r="A115" s="85" t="n">
        <x:v>111</x:v>
      </x:c>
      <x:c r="B115" s="82" t="str">
        <x:v>Juan Ayuso</x:v>
      </x:c>
      <x:c r="C115" s="85" t="n">
        <x:v>0</x:v>
      </x:c>
      <x:c r="D115" s="85" t="n">
        <x:v>0</x:v>
      </x:c>
      <x:c r="E115" s="85" t="n">
        <x:v>0</x:v>
      </x:c>
      <x:c r="F115" s="85" t="n">
        <x:v>0</x:v>
      </x:c>
      <x:c r="G115" s="85" t="n">
        <x:v>0</x:v>
      </x:c>
      <x:c r="H115" s="85" t="n">
        <x:v>0</x:v>
      </x:c>
    </x:row>
    <x:row r="116" ht="22" customHeight="1">
      <x:c r="A116" s="85" t="n">
        <x:v>112</x:v>
      </x:c>
      <x:c r="B116" s="82" t="str">
        <x:v>Dries Devenyns</x:v>
      </x:c>
      <x:c r="C116" s="85" t="n">
        <x:v>0</x:v>
      </x:c>
      <x:c r="D116" s="85" t="n">
        <x:v>0</x:v>
      </x:c>
      <x:c r="E116" s="85" t="n">
        <x:v>0</x:v>
      </x:c>
      <x:c r="F116" s="85" t="n">
        <x:v>0</x:v>
      </x:c>
      <x:c r="G116" s="85" t="n">
        <x:v>0</x:v>
      </x:c>
      <x:c r="H116" s="85" t="n">
        <x:v>0</x:v>
      </x:c>
    </x:row>
    <x:row r="117" ht="22" customHeight="1">
      <x:c r="A117" s="85" t="n">
        <x:v>113</x:v>
      </x:c>
      <x:c r="B117" s="82" t="str">
        <x:v>Vegard Stake Laengen</x:v>
      </x:c>
      <x:c r="C117" s="85" t="n">
        <x:v>0</x:v>
      </x:c>
      <x:c r="D117" s="85" t="n">
        <x:v>0</x:v>
      </x:c>
      <x:c r="E117" s="85" t="n">
        <x:v>0</x:v>
      </x:c>
      <x:c r="F117" s="85" t="n">
        <x:v>0</x:v>
      </x:c>
      <x:c r="G117" s="85" t="n">
        <x:v>0</x:v>
      </x:c>
      <x:c r="H117" s="85" t="n">
        <x:v>0</x:v>
      </x:c>
    </x:row>
    <x:row r="118" ht="22" customHeight="1">
      <x:c r="A118" s="85" t="n">
        <x:v>114</x:v>
      </x:c>
      <x:c r="B118" s="82" t="str">
        <x:v>Mikkel Bjerg</x:v>
      </x:c>
      <x:c r="C118" s="85" t="n">
        <x:v>0</x:v>
      </x:c>
      <x:c r="D118" s="85" t="n">
        <x:v>0</x:v>
      </x:c>
      <x:c r="E118" s="85" t="n">
        <x:v>0</x:v>
      </x:c>
      <x:c r="F118" s="85" t="n">
        <x:v>0</x:v>
      </x:c>
      <x:c r="G118" s="85" t="n">
        <x:v>0</x:v>
      </x:c>
      <x:c r="H118" s="85" t="n">
        <x:v>0</x:v>
      </x:c>
    </x:row>
    <x:row r="119" ht="22" customHeight="1">
      <x:c r="A119" s="85" t="n">
        <x:v>115</x:v>
      </x:c>
      <x:c r="B119" s="82" t="str">
        <x:v>Luke Rowe</x:v>
      </x:c>
      <x:c r="C119" s="85" t="n">
        <x:v>0</x:v>
      </x:c>
      <x:c r="D119" s="85" t="n">
        <x:v>0</x:v>
      </x:c>
      <x:c r="E119" s="85" t="n">
        <x:v>0</x:v>
      </x:c>
      <x:c r="F119" s="85" t="n">
        <x:v>0</x:v>
      </x:c>
      <x:c r="G119" s="85" t="n">
        <x:v>0</x:v>
      </x:c>
      <x:c r="H119" s="85" t="n">
        <x:v>0</x:v>
      </x:c>
    </x:row>
    <x:row r="120" ht="22" customHeight="1">
      <x:c r="A120" s="85" t="n">
        <x:v>116</x:v>
      </x:c>
      <x:c r="B120" s="82" t="str">
        <x:v>Fumiyuki Beppu</x:v>
      </x:c>
      <x:c r="C120" s="85" t="n">
        <x:v>0</x:v>
      </x:c>
      <x:c r="D120" s="85" t="n">
        <x:v>0</x:v>
      </x:c>
      <x:c r="E120" s="85" t="n">
        <x:v>0</x:v>
      </x:c>
      <x:c r="F120" s="85" t="n">
        <x:v>0</x:v>
      </x:c>
      <x:c r="G120" s="85" t="n">
        <x:v>0</x:v>
      </x:c>
      <x:c r="H120" s="85" t="n">
        <x:v>0</x:v>
      </x:c>
    </x:row>
    <x:row r="121" ht="22" customHeight="1">
      <x:c r="A121" s="85" t="n">
        <x:v>117</x:v>
      </x:c>
      <x:c r="B121" s="82" t="str">
        <x:v>Yukiya Arashiro</x:v>
      </x:c>
      <x:c r="C121" s="85" t="n">
        <x:v>0</x:v>
      </x:c>
      <x:c r="D121" s="85" t="n">
        <x:v>0</x:v>
      </x:c>
      <x:c r="E121" s="85" t="n">
        <x:v>0</x:v>
      </x:c>
      <x:c r="F121" s="85" t="n">
        <x:v>0</x:v>
      </x:c>
      <x:c r="G121" s="85" t="n">
        <x:v>0</x:v>
      </x:c>
      <x:c r="H121" s="85" t="n">
        <x:v>0</x:v>
      </x:c>
    </x:row>
    <x:row r="122" ht="22" customHeight="1">
      <x:c r="A122" s="85" t="n">
        <x:v>118</x:v>
      </x:c>
      <x:c r="B122" s="82" t="str">
        <x:v>George Hincapie</x:v>
      </x:c>
      <x:c r="C122" s="85" t="n">
        <x:v>0</x:v>
      </x:c>
      <x:c r="D122" s="85" t="n">
        <x:v>0</x:v>
      </x:c>
      <x:c r="E122" s="85" t="n">
        <x:v>0</x:v>
      </x:c>
      <x:c r="F122" s="85" t="n">
        <x:v>0</x:v>
      </x:c>
      <x:c r="G122" s="85" t="n">
        <x:v>0</x:v>
      </x:c>
      <x:c r="H122" s="85" t="n">
        <x:v>0</x:v>
      </x:c>
    </x:row>
    <x:row r="123" ht="22" customHeight="1">
      <x:c r="A123" s="85" t="n">
        <x:v>119</x:v>
      </x:c>
      <x:c r="B123" s="82" t="str">
        <x:v>Bernhard Eisel</x:v>
      </x:c>
      <x:c r="C123" s="85" t="n">
        <x:v>0</x:v>
      </x:c>
      <x:c r="D123" s="85" t="n">
        <x:v>0</x:v>
      </x:c>
      <x:c r="E123" s="85" t="n">
        <x:v>0</x:v>
      </x:c>
      <x:c r="F123" s="85" t="n">
        <x:v>0</x:v>
      </x:c>
      <x:c r="G123" s="85" t="n">
        <x:v>0</x:v>
      </x:c>
      <x:c r="H123" s="85" t="n">
        <x:v>0</x:v>
      </x:c>
    </x:row>
    <x:row r="124" ht="22" customHeight="1">
      <x:c r="A124" s="85" t="n">
        <x:v>120</x:v>
      </x:c>
      <x:c r="B124" s="82" t="str">
        <x:v>Nicolas Roche</x:v>
      </x:c>
      <x:c r="C124" s="85" t="n">
        <x:v>0</x:v>
      </x:c>
      <x:c r="D124" s="85" t="n">
        <x:v>0</x:v>
      </x:c>
      <x:c r="E124" s="85" t="n">
        <x:v>0</x:v>
      </x:c>
      <x:c r="F124" s="85" t="n">
        <x:v>0</x:v>
      </x:c>
      <x:c r="G124" s="85" t="n">
        <x:v>0</x:v>
      </x:c>
      <x:c r="H124" s="85" t="n">
        <x:v>0</x:v>
      </x:c>
    </x:row>
    <x:row r="125" ht="22" customHeight="1">
      <x:c r="A125" s="85" t="n">
        <x:v>121</x:v>
      </x:c>
      <x:c r="B125" s="82" t="str">
        <x:v>Sylvain Chavanel</x:v>
      </x:c>
      <x:c r="C125" s="85" t="n">
        <x:v>0</x:v>
      </x:c>
      <x:c r="D125" s="85" t="n">
        <x:v>0</x:v>
      </x:c>
      <x:c r="E125" s="85" t="n">
        <x:v>0</x:v>
      </x:c>
      <x:c r="F125" s="85" t="n">
        <x:v>0</x:v>
      </x:c>
      <x:c r="G125" s="85" t="n">
        <x:v>0</x:v>
      </x:c>
      <x:c r="H125" s="85" t="n">
        <x:v>0</x:v>
      </x:c>
    </x:row>
    <x:row r="126" ht="22" customHeight="1">
      <x:c r="A126" s="85" t="n">
        <x:v>122</x:v>
      </x:c>
      <x:c r="B126" s="82" t="str">
        <x:v>Koen de Kort</x:v>
      </x:c>
      <x:c r="C126" s="85" t="n">
        <x:v>0</x:v>
      </x:c>
      <x:c r="D126" s="85" t="n">
        <x:v>0</x:v>
      </x:c>
      <x:c r="E126" s="85" t="n">
        <x:v>0</x:v>
      </x:c>
      <x:c r="F126" s="85" t="n">
        <x:v>0</x:v>
      </x:c>
      <x:c r="G126" s="85" t="n">
        <x:v>0</x:v>
      </x:c>
      <x:c r="H126" s="85" t="n">
        <x:v>0</x:v>
      </x:c>
    </x:row>
    <x:row r="127" ht="22" customHeight="1">
      <x:c r="A127" s="85" t="n">
        <x:v>123</x:v>
      </x:c>
      <x:c r="B127" s="82" t="str">
        <x:v>Daryl Impey</x:v>
      </x:c>
      <x:c r="C127" s="85" t="n">
        <x:v>0</x:v>
      </x:c>
      <x:c r="D127" s="85" t="n">
        <x:v>0</x:v>
      </x:c>
      <x:c r="E127" s="85" t="n">
        <x:v>0</x:v>
      </x:c>
      <x:c r="F127" s="85" t="n">
        <x:v>0</x:v>
      </x:c>
      <x:c r="G127" s="85" t="n">
        <x:v>0</x:v>
      </x:c>
      <x:c r="H127" s="85" t="n">
        <x:v>0</x:v>
      </x:c>
    </x:row>
    <x:row r="128" ht="22" customHeight="1">
      <x:c r="A128" s="85" t="n">
        <x:v>124</x:v>
      </x:c>
      <x:c r="B128" s="82" t="str">
        <x:v>Michael Rogers</x:v>
      </x:c>
      <x:c r="C128" s="85" t="n">
        <x:v>0</x:v>
      </x:c>
      <x:c r="D128" s="85" t="n">
        <x:v>0</x:v>
      </x:c>
      <x:c r="E128" s="85" t="n">
        <x:v>0</x:v>
      </x:c>
      <x:c r="F128" s="85" t="n">
        <x:v>0</x:v>
      </x:c>
      <x:c r="G128" s="85" t="n">
        <x:v>0</x:v>
      </x:c>
      <x:c r="H128" s="85" t="n">
        <x:v>0</x:v>
      </x:c>
    </x:row>
    <x:row r="129" ht="22" customHeight="1">
      <x:c r="A129" s="85" t="n">
        <x:v>125</x:v>
      </x:c>
      <x:c r="B129" s="82" t="str">
        <x:v>Geraint Thomas</x:v>
      </x:c>
      <x:c r="C129" s="85" t="n">
        <x:v>0</x:v>
      </x:c>
      <x:c r="D129" s="85" t="n">
        <x:v>0</x:v>
      </x:c>
      <x:c r="E129" s="85" t="n">
        <x:v>0</x:v>
      </x:c>
      <x:c r="F129" s="85" t="n">
        <x:v>0</x:v>
      </x:c>
      <x:c r="G129" s="85" t="n">
        <x:v>0</x:v>
      </x:c>
      <x:c r="H129" s="85" t="n">
        <x:v>0</x:v>
      </x:c>
    </x:row>
    <x:row r="130" ht="22" customHeight="1">
      <x:c r="A130" s="85" t="n">
        <x:v>126</x:v>
      </x:c>
      <x:c r="B130" s="82" t="str">
        <x:v>Simon Geschke</x:v>
      </x:c>
      <x:c r="C130" s="85" t="n">
        <x:v>0</x:v>
      </x:c>
      <x:c r="D130" s="85" t="n">
        <x:v>0</x:v>
      </x:c>
      <x:c r="E130" s="85" t="n">
        <x:v>0</x:v>
      </x:c>
      <x:c r="F130" s="85" t="n">
        <x:v>0</x:v>
      </x:c>
      <x:c r="G130" s="85" t="n">
        <x:v>0</x:v>
      </x:c>
      <x:c r="H130" s="85" t="n">
        <x:v>0</x:v>
      </x:c>
    </x:row>
    <x:row r="131" ht="22" customHeight="1">
      <x:c r="A131" s="85" t="n">
        <x:v>127</x:v>
      </x:c>
      <x:c r="B131" s="82" t="str">
        <x:v>Mathew Hayman</x:v>
      </x:c>
      <x:c r="C131" s="85" t="n">
        <x:v>0</x:v>
      </x:c>
      <x:c r="D131" s="85" t="n">
        <x:v>0</x:v>
      </x:c>
      <x:c r="E131" s="85" t="n">
        <x:v>1</x:v>
      </x:c>
      <x:c r="F131" s="85" t="n">
        <x:v>0</x:v>
      </x:c>
      <x:c r="G131" s="85" t="n">
        <x:v>0</x:v>
      </x:c>
      <x:c r="H131" s="85" t="n">
        <x:v>1</x:v>
      </x:c>
    </x:row>
    <x:row r="132" ht="22" customHeight="1">
      <x:c r="A132" s="85" t="n">
        <x:v>128</x:v>
      </x:c>
      <x:c r="B132" s="82" t="str">
        <x:v>Bram Tankink</x:v>
      </x:c>
      <x:c r="C132" s="85" t="n">
        <x:v>0</x:v>
      </x:c>
      <x:c r="D132" s="85" t="n">
        <x:v>0</x:v>
      </x:c>
      <x:c r="E132" s="85" t="n">
        <x:v>0</x:v>
      </x:c>
      <x:c r="F132" s="85" t="n">
        <x:v>0</x:v>
      </x:c>
      <x:c r="G132" s="85" t="n">
        <x:v>0</x:v>
      </x:c>
      <x:c r="H132" s="85" t="n">
        <x:v>0</x:v>
      </x:c>
    </x:row>
    <x:row r="133" ht="22" customHeight="1">
      <x:c r="A133" s="85" t="n">
        <x:v>129</x:v>
      </x:c>
      <x:c r="B133" s="82" t="str">
        <x:v>Christian Vande Velde</x:v>
      </x:c>
      <x:c r="C133" s="85" t="n">
        <x:v>0</x:v>
      </x:c>
      <x:c r="D133" s="85" t="n">
        <x:v>0</x:v>
      </x:c>
      <x:c r="E133" s="85" t="n">
        <x:v>0</x:v>
      </x:c>
      <x:c r="F133" s="85" t="n">
        <x:v>0</x:v>
      </x:c>
      <x:c r="G133" s="85" t="n">
        <x:v>0</x:v>
      </x:c>
      <x:c r="H133" s="85" t="n">
        <x:v>0</x:v>
      </x:c>
    </x:row>
    <x:row r="134" ht="22" customHeight="1">
      <x:c r="A134" s="85" t="n">
        <x:v>130</x:v>
      </x:c>
      <x:c r="B134" s="82" t="str">
        <x:v>David Millar</x:v>
      </x:c>
      <x:c r="C134" s="85" t="n">
        <x:v>0</x:v>
      </x:c>
      <x:c r="D134" s="85" t="n">
        <x:v>0</x:v>
      </x:c>
      <x:c r="E134" s="85" t="n">
        <x:v>0</x:v>
      </x:c>
      <x:c r="F134" s="85" t="n">
        <x:v>0</x:v>
      </x:c>
      <x:c r="G134" s="85" t="n">
        <x:v>0</x:v>
      </x:c>
      <x:c r="H134" s="85" t="n">
        <x:v>0</x:v>
      </x:c>
    </x:row>
    <x:row r="135" ht="22" customHeight="1">
      <x:c r="A135" s="85" t="n">
        <x:v>131</x:v>
      </x:c>
      <x:c r="B135" s="82" t="str">
        <x:v>Manuel Quinziato</x:v>
      </x:c>
      <x:c r="C135" s="85" t="n">
        <x:v>0</x:v>
      </x:c>
      <x:c r="D135" s="85" t="n">
        <x:v>0</x:v>
      </x:c>
      <x:c r="E135" s="85" t="n">
        <x:v>0</x:v>
      </x:c>
      <x:c r="F135" s="85" t="n">
        <x:v>0</x:v>
      </x:c>
      <x:c r="G135" s="85" t="n">
        <x:v>0</x:v>
      </x:c>
      <x:c r="H135" s="85" t="n">
        <x:v>0</x:v>
      </x:c>
    </x:row>
    <x:row r="136" ht="22" customHeight="1">
      <x:c r="A136" s="85" t="n">
        <x:v>132</x:v>
      </x:c>
      <x:c r="B136" s="82" t="str">
        <x:v>Luca Paolini</x:v>
      </x:c>
      <x:c r="C136" s="85" t="n">
        <x:v>0</x:v>
      </x:c>
      <x:c r="D136" s="85" t="n">
        <x:v>0</x:v>
      </x:c>
      <x:c r="E136" s="85" t="n">
        <x:v>0</x:v>
      </x:c>
      <x:c r="F136" s="85" t="n">
        <x:v>0</x:v>
      </x:c>
      <x:c r="G136" s="85" t="n">
        <x:v>0</x:v>
      </x:c>
      <x:c r="H136" s="85" t="n">
        <x:v>0</x:v>
      </x:c>
    </x:row>
    <x:row r="137" ht="22" customHeight="1">
      <x:c r="A137" s="85" t="n">
        <x:v>133</x:v>
      </x:c>
      <x:c r="B137" s="82" t="str">
        <x:v>Juan Antonio Flecha</x:v>
      </x:c>
      <x:c r="C137" s="85" t="n">
        <x:v>0</x:v>
      </x:c>
      <x:c r="D137" s="85" t="n">
        <x:v>0</x:v>
      </x:c>
      <x:c r="E137" s="85" t="n">
        <x:v>0</x:v>
      </x:c>
      <x:c r="F137" s="85" t="n">
        <x:v>0</x:v>
      </x:c>
      <x:c r="G137" s="85" t="n">
        <x:v>0</x:v>
      </x:c>
      <x:c r="H137" s="85" t="n">
        <x:v>0</x:v>
      </x:c>
    </x:row>
    <x:row r="138" ht="22" customHeight="1">
      <x:c r="A138" s="85" t="n">
        <x:v>134</x:v>
      </x:c>
      <x:c r="B138" s="82" t="str">
        <x:v>Alessandro Ballan</x:v>
      </x:c>
      <x:c r="C138" s="85" t="n">
        <x:v>0</x:v>
      </x:c>
      <x:c r="D138" s="85" t="n">
        <x:v>1</x:v>
      </x:c>
      <x:c r="E138" s="85" t="n">
        <x:v>0</x:v>
      </x:c>
      <x:c r="F138" s="85" t="n">
        <x:v>0</x:v>
      </x:c>
      <x:c r="G138" s="85" t="n">
        <x:v>0</x:v>
      </x:c>
      <x:c r="H138" s="85" t="n">
        <x:v>1</x:v>
      </x:c>
    </x:row>
    <x:row r="139" ht="22" customHeight="1">
      <x:c r="A139" s="85" t="n">
        <x:v>135</x:v>
      </x:c>
      <x:c r="B139" s="82" t="str">
        <x:v>Gregory Rast</x:v>
      </x:c>
      <x:c r="C139" s="85" t="n">
        <x:v>0</x:v>
      </x:c>
      <x:c r="D139" s="85" t="n">
        <x:v>0</x:v>
      </x:c>
      <x:c r="E139" s="85" t="n">
        <x:v>0</x:v>
      </x:c>
      <x:c r="F139" s="85" t="n">
        <x:v>0</x:v>
      </x:c>
      <x:c r="G139" s="85" t="n">
        <x:v>0</x:v>
      </x:c>
      <x:c r="H139" s="85" t="n">
        <x:v>0</x:v>
      </x:c>
    </x:row>
    <x:row r="140" ht="22" customHeight="1">
      <x:c r="A140" s="85" t="n">
        <x:v>136</x:v>
      </x:c>
      <x:c r="B140" s="82" t="str">
        <x:v>Carlos Rodriguez</x:v>
      </x:c>
      <x:c r="C140" s="85" t="n">
        <x:v>0</x:v>
      </x:c>
      <x:c r="D140" s="85" t="n">
        <x:v>0</x:v>
      </x:c>
      <x:c r="E140" s="85" t="n">
        <x:v>0</x:v>
      </x:c>
      <x:c r="F140" s="85" t="n">
        <x:v>0</x:v>
      </x:c>
      <x:c r="G140" s="85" t="n">
        <x:v>0</x:v>
      </x:c>
      <x:c r="H140" s="85" t="n">
        <x:v>0</x:v>
      </x:c>
    </x:row>
    <x:row r="141" ht="22" customHeight="1">
      <x:c r="A141" s="85" t="n">
        <x:v>137</x:v>
      </x:c>
      <x:c r="B141" s="82" t="str">
        <x:v>Jonathan Milan</x:v>
      </x:c>
      <x:c r="C141" s="85" t="n">
        <x:v>0</x:v>
      </x:c>
      <x:c r="D141" s="85" t="n">
        <x:v>0</x:v>
      </x:c>
      <x:c r="E141" s="85" t="n">
        <x:v>0</x:v>
      </x:c>
      <x:c r="F141" s="85" t="n">
        <x:v>0</x:v>
      </x:c>
      <x:c r="G141" s="85" t="n">
        <x:v>0</x:v>
      </x:c>
      <x:c r="H141" s="85" t="n">
        <x:v>0</x:v>
      </x:c>
    </x:row>
    <x:row r="142" ht="22" customHeight="1">
      <x:c r="A142" s="85" t="n">
        <x:v>138</x:v>
      </x:c>
      <x:c r="B142" s="82" t="str">
        <x:v>Olav Kooij</x:v>
      </x:c>
      <x:c r="C142" s="85" t="n">
        <x:v>0</x:v>
      </x:c>
      <x:c r="D142" s="85" t="n">
        <x:v>0</x:v>
      </x:c>
      <x:c r="E142" s="85" t="n">
        <x:v>0</x:v>
      </x:c>
      <x:c r="F142" s="85" t="n">
        <x:v>0</x:v>
      </x:c>
      <x:c r="G142" s="85" t="n">
        <x:v>0</x:v>
      </x:c>
      <x:c r="H142" s="85" t="n">
        <x:v>0</x:v>
      </x:c>
    </x:row>
    <x:row r="143" ht="22" customHeight="1">
      <x:c r="A143" s="85" t="n">
        <x:v>139</x:v>
      </x:c>
      <x:c r="B143" s="82" t="str">
        <x:v>Mark Renshaw</x:v>
      </x:c>
      <x:c r="C143" s="85" t="n">
        <x:v>0</x:v>
      </x:c>
      <x:c r="D143" s="85" t="n">
        <x:v>0</x:v>
      </x:c>
      <x:c r="E143" s="85" t="n">
        <x:v>0</x:v>
      </x:c>
      <x:c r="F143" s="85" t="n">
        <x:v>0</x:v>
      </x:c>
      <x:c r="G143" s="85" t="n">
        <x:v>0</x:v>
      </x:c>
      <x:c r="H143" s="85" t="n">
        <x:v>0</x:v>
      </x:c>
    </x:row>
    <x:row r="144" ht="22" customHeight="1">
      <x:c r="A144" s="85" t="n">
        <x:v>140</x:v>
      </x:c>
      <x:c r="B144" s="82" t="str">
        <x:v>Michael Morkov</x:v>
      </x:c>
      <x:c r="C144" s="85" t="n">
        <x:v>0</x:v>
      </x:c>
      <x:c r="D144" s="85" t="n">
        <x:v>0</x:v>
      </x:c>
      <x:c r="E144" s="85" t="n">
        <x:v>0</x:v>
      </x:c>
      <x:c r="F144" s="85" t="n">
        <x:v>0</x:v>
      </x:c>
      <x:c r="G144" s="85" t="n">
        <x:v>0</x:v>
      </x:c>
      <x:c r="H144" s="85" t="n">
        <x:v>0</x:v>
      </x:c>
    </x:row>
    <x:row r="145" ht="22" customHeight="1">
      <x:c r="A145" s="85" t="n">
        <x:v>141</x:v>
      </x:c>
      <x:c r="B145" s="82" t="str">
        <x:v>Iljo Keisse</x:v>
      </x:c>
      <x:c r="C145" s="85" t="n">
        <x:v>0</x:v>
      </x:c>
      <x:c r="D145" s="85" t="n">
        <x:v>0</x:v>
      </x:c>
      <x:c r="E145" s="85" t="n">
        <x:v>0</x:v>
      </x:c>
      <x:c r="F145" s="85" t="n">
        <x:v>0</x:v>
      </x:c>
      <x:c r="G145" s="85" t="n">
        <x:v>0</x:v>
      </x:c>
      <x:c r="H145" s="85" t="n">
        <x:v>0</x:v>
      </x:c>
    </x:row>
    <x:row r="146" ht="22" customHeight="1">
      <x:c r="A146" s="85" t="n">
        <x:v>142</x:v>
      </x:c>
      <x:c r="B146" s="82" t="str">
        <x:v>Maximiliano Richeze</x:v>
      </x:c>
      <x:c r="C146" s="85" t="n">
        <x:v>0</x:v>
      </x:c>
      <x:c r="D146" s="85" t="n">
        <x:v>0</x:v>
      </x:c>
      <x:c r="E146" s="85" t="n">
        <x:v>0</x:v>
      </x:c>
      <x:c r="F146" s="85" t="n">
        <x:v>0</x:v>
      </x:c>
      <x:c r="G146" s="85" t="n">
        <x:v>0</x:v>
      </x:c>
      <x:c r="H146" s="85" t="n">
        <x:v>0</x:v>
      </x:c>
    </x:row>
    <x:row r="147" ht="22" customHeight="1">
      <x:c r="A147" s="85" t="n">
        <x:v>143</x:v>
      </x:c>
      <x:c r="B147" s="82" t="str">
        <x:v>Fabio Sabatini</x:v>
      </x:c>
      <x:c r="C147" s="85" t="n">
        <x:v>0</x:v>
      </x:c>
      <x:c r="D147" s="85" t="n">
        <x:v>0</x:v>
      </x:c>
      <x:c r="E147" s="85" t="n">
        <x:v>0</x:v>
      </x:c>
      <x:c r="F147" s="85" t="n">
        <x:v>0</x:v>
      </x:c>
      <x:c r="G147" s="85" t="n">
        <x:v>0</x:v>
      </x:c>
      <x:c r="H147" s="85" t="n">
        <x:v>0</x:v>
      </x:c>
    </x:row>
    <x:row r="148" ht="22" customHeight="1">
      <x:c r="A148" s="85" t="n">
        <x:v>144</x:v>
      </x:c>
      <x:c r="B148" s="82" t="str">
        <x:v>Jacopo Guarnieri</x:v>
      </x:c>
      <x:c r="C148" s="85" t="n">
        <x:v>0</x:v>
      </x:c>
      <x:c r="D148" s="85" t="n">
        <x:v>0</x:v>
      </x:c>
      <x:c r="E148" s="85" t="n">
        <x:v>0</x:v>
      </x:c>
      <x:c r="F148" s="85" t="n">
        <x:v>0</x:v>
      </x:c>
      <x:c r="G148" s="85" t="n">
        <x:v>0</x:v>
      </x:c>
      <x:c r="H148" s="85" t="n">
        <x:v>0</x:v>
      </x:c>
    </x:row>
    <x:row r="149" ht="22" customHeight="1">
      <x:c r="A149" s="85" t="n">
        <x:v>145</x:v>
      </x:c>
      <x:c r="B149" s="82" t="str">
        <x:v>Greg Henderson</x:v>
      </x:c>
      <x:c r="C149" s="85" t="n">
        <x:v>0</x:v>
      </x:c>
      <x:c r="D149" s="85" t="n">
        <x:v>0</x:v>
      </x:c>
      <x:c r="E149" s="85" t="n">
        <x:v>0</x:v>
      </x:c>
      <x:c r="F149" s="85" t="n">
        <x:v>0</x:v>
      </x:c>
      <x:c r="G149" s="85" t="n">
        <x:v>0</x:v>
      </x:c>
      <x:c r="H149" s="85" t="n">
        <x:v>0</x:v>
      </x:c>
    </x:row>
    <x:row r="150" ht="22" customHeight="1">
      <x:c r="A150" s="85" t="n">
        <x:v>146</x:v>
      </x:c>
      <x:c r="B150" s="82" t="str">
        <x:v>Christophe Laporte</x:v>
      </x:c>
      <x:c r="C150" s="85" t="n">
        <x:v>0</x:v>
      </x:c>
      <x:c r="D150" s="85" t="n">
        <x:v>0</x:v>
      </x:c>
      <x:c r="E150" s="85" t="n">
        <x:v>0</x:v>
      </x:c>
      <x:c r="F150" s="85" t="n">
        <x:v>0</x:v>
      </x:c>
      <x:c r="G150" s="85" t="n">
        <x:v>0</x:v>
      </x:c>
      <x:c r="H150" s="85" t="n">
        <x:v>0</x:v>
      </x:c>
    </x:row>
    <x:row r="151" ht="22" customHeight="1">
      <x:c r="A151" s="85" t="n">
        <x:v>147</x:v>
      </x:c>
      <x:c r="B151" s="82" t="str">
        <x:v>Mike Teunissen</x:v>
      </x:c>
      <x:c r="C151" s="85" t="n">
        <x:v>0</x:v>
      </x:c>
      <x:c r="D151" s="85" t="n">
        <x:v>0</x:v>
      </x:c>
      <x:c r="E151" s="85" t="n">
        <x:v>0</x:v>
      </x:c>
      <x:c r="F151" s="85" t="n">
        <x:v>0</x:v>
      </x:c>
      <x:c r="G151" s="85" t="n">
        <x:v>0</x:v>
      </x:c>
      <x:c r="H151" s="85" t="n">
        <x:v>0</x:v>
      </x:c>
    </x:row>
    <x:row r="152" ht="22" customHeight="1">
      <x:c r="A152" s="85" t="n">
        <x:v>148</x:v>
      </x:c>
      <x:c r="B152" s="82" t="str">
        <x:v>Danny van Poppel</x:v>
      </x:c>
      <x:c r="C152" s="85" t="n">
        <x:v>0</x:v>
      </x:c>
      <x:c r="D152" s="85" t="n">
        <x:v>0</x:v>
      </x:c>
      <x:c r="E152" s="85" t="n">
        <x:v>0</x:v>
      </x:c>
      <x:c r="F152" s="85" t="n">
        <x:v>0</x:v>
      </x:c>
      <x:c r="G152" s="85" t="n">
        <x:v>0</x:v>
      </x:c>
      <x:c r="H152" s="85" t="n">
        <x:v>0</x:v>
      </x:c>
    </x:row>
    <x:row r="153" ht="22" customHeight="1">
      <x:c r="A153" s="85" t="n">
        <x:v>149</x:v>
      </x:c>
      <x:c r="B153" s="82" t="str">
        <x:v>Boy van Poppel</x:v>
      </x:c>
      <x:c r="C153" s="85" t="n">
        <x:v>0</x:v>
      </x:c>
      <x:c r="D153" s="85" t="n">
        <x:v>0</x:v>
      </x:c>
      <x:c r="E153" s="85" t="n">
        <x:v>0</x:v>
      </x:c>
      <x:c r="F153" s="85" t="n">
        <x:v>0</x:v>
      </x:c>
      <x:c r="G153" s="85" t="n">
        <x:v>0</x:v>
      </x:c>
      <x:c r="H153" s="85" t="n">
        <x:v>0</x:v>
      </x:c>
    </x:row>
    <x:row r="154" ht="22" customHeight="1">
      <x:c r="A154" s="85" t="n">
        <x:v>150</x:v>
      </x:c>
      <x:c r="B154" s="82" t="str">
        <x:v>Ramon Sinkeldam</x:v>
      </x:c>
      <x:c r="C154" s="85" t="n">
        <x:v>0</x:v>
      </x:c>
      <x:c r="D154" s="85" t="n">
        <x:v>0</x:v>
      </x:c>
      <x:c r="E154" s="85" t="n">
        <x:v>0</x:v>
      </x:c>
      <x:c r="F154" s="85" t="n">
        <x:v>0</x:v>
      </x:c>
      <x:c r="G154" s="85" t="n">
        <x:v>0</x:v>
      </x:c>
      <x:c r="H154" s="85" t="n">
        <x:v>0</x:v>
      </x:c>
    </x:row>
    <x:row r="155" ht="22" customHeight="1">
      <x:c r="A155" s="85" t="n">
        <x:v>151</x:v>
      </x:c>
      <x:c r="B155" s="82" t="str">
        <x:v>Roy Curvers</x:v>
      </x:c>
      <x:c r="C155" s="85" t="n">
        <x:v>0</x:v>
      </x:c>
      <x:c r="D155" s="85" t="n">
        <x:v>0</x:v>
      </x:c>
      <x:c r="E155" s="85" t="n">
        <x:v>0</x:v>
      </x:c>
      <x:c r="F155" s="85" t="n">
        <x:v>0</x:v>
      </x:c>
      <x:c r="G155" s="85" t="n">
        <x:v>0</x:v>
      </x:c>
      <x:c r="H155" s="85" t="n">
        <x:v>0</x:v>
      </x:c>
    </x:row>
    <x:row r="156" ht="22" customHeight="1">
      <x:c r="A156" s="85" t="n">
        <x:v>152</x:v>
      </x:c>
      <x:c r="B156" s="82" t="str">
        <x:v>Nikias Arndt</x:v>
      </x:c>
      <x:c r="C156" s="85" t="n">
        <x:v>0</x:v>
      </x:c>
      <x:c r="D156" s="85" t="n">
        <x:v>0</x:v>
      </x:c>
      <x:c r="E156" s="85" t="n">
        <x:v>0</x:v>
      </x:c>
      <x:c r="F156" s="85" t="n">
        <x:v>0</x:v>
      </x:c>
      <x:c r="G156" s="85" t="n">
        <x:v>0</x:v>
      </x:c>
      <x:c r="H156" s="85" t="n">
        <x:v>0</x:v>
      </x:c>
    </x:row>
    <x:row r="157" ht="22" customHeight="1">
      <x:c r="A157" s="85" t="n">
        <x:v>153</x:v>
      </x:c>
      <x:c r="B157" s="82" t="str">
        <x:v>Roger Kluge</x:v>
      </x:c>
      <x:c r="C157" s="85" t="n">
        <x:v>0</x:v>
      </x:c>
      <x:c r="D157" s="85" t="n">
        <x:v>0</x:v>
      </x:c>
      <x:c r="E157" s="85" t="n">
        <x:v>0</x:v>
      </x:c>
      <x:c r="F157" s="85" t="n">
        <x:v>0</x:v>
      </x:c>
      <x:c r="G157" s="85" t="n">
        <x:v>0</x:v>
      </x:c>
      <x:c r="H157" s="85" t="n">
        <x:v>0</x:v>
      </x:c>
    </x:row>
    <x:row r="158" ht="22" customHeight="1">
      <x:c r="A158" s="85" t="n">
        <x:v>154</x:v>
      </x:c>
      <x:c r="B158" s="82" t="str">
        <x:v>Jasper De Buyst</x:v>
      </x:c>
      <x:c r="C158" s="85" t="n">
        <x:v>0</x:v>
      </x:c>
      <x:c r="D158" s="85" t="n">
        <x:v>0</x:v>
      </x:c>
      <x:c r="E158" s="85" t="n">
        <x:v>0</x:v>
      </x:c>
      <x:c r="F158" s="85" t="n">
        <x:v>0</x:v>
      </x:c>
      <x:c r="G158" s="85" t="n">
        <x:v>0</x:v>
      </x:c>
      <x:c r="H158" s="85" t="n">
        <x:v>0</x:v>
      </x:c>
    </x:row>
    <x:row r="159" ht="22" customHeight="1">
      <x:c r="A159" s="85" t="n">
        <x:v>155</x:v>
      </x:c>
      <x:c r="B159" s="82" t="str">
        <x:v>Luka Mezgec</x:v>
      </x:c>
      <x:c r="C159" s="85" t="n">
        <x:v>0</x:v>
      </x:c>
      <x:c r="D159" s="85" t="n">
        <x:v>0</x:v>
      </x:c>
      <x:c r="E159" s="85" t="n">
        <x:v>0</x:v>
      </x:c>
      <x:c r="F159" s="85" t="n">
        <x:v>0</x:v>
      </x:c>
      <x:c r="G159" s="85" t="n">
        <x:v>0</x:v>
      </x:c>
      <x:c r="H159" s="85" t="n">
        <x:v>0</x:v>
      </x:c>
    </x:row>
    <x:row r="160" ht="22" customHeight="1">
      <x:c r="A160" s="85" t="n">
        <x:v>156</x:v>
      </x:c>
      <x:c r="B160" s="82" t="str">
        <x:v>Edward Theuns</x:v>
      </x:c>
      <x:c r="C160" s="85" t="n">
        <x:v>0</x:v>
      </x:c>
      <x:c r="D160" s="85" t="n">
        <x:v>0</x:v>
      </x:c>
      <x:c r="E160" s="85" t="n">
        <x:v>0</x:v>
      </x:c>
      <x:c r="F160" s="85" t="n">
        <x:v>0</x:v>
      </x:c>
      <x:c r="G160" s="85" t="n">
        <x:v>0</x:v>
      </x:c>
      <x:c r="H160" s="85" t="n">
        <x:v>0</x:v>
      </x:c>
    </x:row>
    <x:row r="161" ht="22" customHeight="1">
      <x:c r="A161" s="85" t="n">
        <x:v>157</x:v>
      </x:c>
      <x:c r="B161" s="82" t="str">
        <x:v>Bert Van Lerberghe</x:v>
      </x:c>
      <x:c r="C161" s="85" t="n">
        <x:v>0</x:v>
      </x:c>
      <x:c r="D161" s="85" t="n">
        <x:v>0</x:v>
      </x:c>
      <x:c r="E161" s="85" t="n">
        <x:v>0</x:v>
      </x:c>
      <x:c r="F161" s="85" t="n">
        <x:v>0</x:v>
      </x:c>
      <x:c r="G161" s="85" t="n">
        <x:v>0</x:v>
      </x:c>
      <x:c r="H161" s="85" t="n">
        <x:v>0</x:v>
      </x:c>
    </x:row>
    <x:row r="162" ht="22" customHeight="1">
      <x:c r="A162" s="85" t="n">
        <x:v>158</x:v>
      </x:c>
      <x:c r="B162" s="82" t="str">
        <x:v>Simone Consonni</x:v>
      </x:c>
      <x:c r="C162" s="85" t="n">
        <x:v>0</x:v>
      </x:c>
      <x:c r="D162" s="85" t="n">
        <x:v>0</x:v>
      </x:c>
      <x:c r="E162" s="85" t="n">
        <x:v>0</x:v>
      </x:c>
      <x:c r="F162" s="85" t="n">
        <x:v>0</x:v>
      </x:c>
      <x:c r="G162" s="85" t="n">
        <x:v>0</x:v>
      </x:c>
      <x:c r="H162" s="85" t="n">
        <x:v>0</x:v>
      </x:c>
    </x:row>
    <x:row r="163" ht="22" customHeight="1">
      <x:c r="A163" s="85" t="n">
        <x:v>159</x:v>
      </x:c>
      <x:c r="B163" s="82" t="str">
        <x:v>Davide Ballerini</x:v>
      </x:c>
      <x:c r="C163" s="85" t="n">
        <x:v>0</x:v>
      </x:c>
      <x:c r="D163" s="85" t="n">
        <x:v>0</x:v>
      </x:c>
      <x:c r="E163" s="85" t="n">
        <x:v>0</x:v>
      </x:c>
      <x:c r="F163" s="85" t="n">
        <x:v>0</x:v>
      </x:c>
      <x:c r="G163" s="85" t="n">
        <x:v>0</x:v>
      </x:c>
      <x:c r="H163" s="85" t="n">
        <x:v>0</x:v>
      </x:c>
    </x:row>
    <x:row r="164" ht="22" customHeight="1">
      <x:c r="A164" s="85" t="n">
        <x:v>160</x:v>
      </x:c>
      <x:c r="B164" s="82" t="str">
        <x:v>Jurgen Roelandts</x:v>
      </x:c>
      <x:c r="C164" s="85" t="n">
        <x:v>0</x:v>
      </x:c>
      <x:c r="D164" s="85" t="n">
        <x:v>0</x:v>
      </x:c>
      <x:c r="E164" s="85" t="n">
        <x:v>0</x:v>
      </x:c>
      <x:c r="F164" s="85" t="n">
        <x:v>0</x:v>
      </x:c>
      <x:c r="G164" s="85" t="n">
        <x:v>0</x:v>
      </x:c>
      <x:c r="H164" s="85" t="n">
        <x:v>0</x:v>
      </x:c>
    </x:row>
    <x:row r="165" ht="22" customHeight="1">
      <x:c r="A165" s="85" t="n">
        <x:v>161</x:v>
      </x:c>
      <x:c r="B165" s="82" t="str">
        <x:v>Gert Steegmans</x:v>
      </x:c>
      <x:c r="C165" s="85" t="n">
        <x:v>0</x:v>
      </x:c>
      <x:c r="D165" s="85" t="n">
        <x:v>0</x:v>
      </x:c>
      <x:c r="E165" s="85" t="n">
        <x:v>0</x:v>
      </x:c>
      <x:c r="F165" s="85" t="n">
        <x:v>0</x:v>
      </x:c>
      <x:c r="G165" s="85" t="n">
        <x:v>0</x:v>
      </x:c>
      <x:c r="H165" s="85" t="n">
        <x:v>0</x:v>
      </x:c>
    </x:row>
    <x:row r="166" ht="22" customHeight="1">
      <x:c r="A166" s="85" t="n">
        <x:v>162</x:v>
      </x:c>
      <x:c r="B166" s="82" t="str">
        <x:v>Matthew Goss</x:v>
      </x:c>
      <x:c r="C166" s="85" t="n">
        <x:v>1</x:v>
      </x:c>
      <x:c r="D166" s="85" t="n">
        <x:v>0</x:v>
      </x:c>
      <x:c r="E166" s="85" t="n">
        <x:v>0</x:v>
      </x:c>
      <x:c r="F166" s="85" t="n">
        <x:v>0</x:v>
      </x:c>
      <x:c r="G166" s="85" t="n">
        <x:v>0</x:v>
      </x:c>
      <x:c r="H166" s="85" t="n">
        <x:v>1</x:v>
      </x:c>
    </x:row>
    <x:row r="167" ht="22" customHeight="1">
      <x:c r="A167" s="85" t="n">
        <x:v>163</x:v>
      </x:c>
      <x:c r="B167" s="82" t="str">
        <x:v>Daniel Oss</x:v>
      </x:c>
      <x:c r="C167" s="85" t="n">
        <x:v>0</x:v>
      </x:c>
      <x:c r="D167" s="85" t="n">
        <x:v>0</x:v>
      </x:c>
      <x:c r="E167" s="85" t="n">
        <x:v>0</x:v>
      </x:c>
      <x:c r="F167" s="85" t="n">
        <x:v>0</x:v>
      </x:c>
      <x:c r="G167" s="85" t="n">
        <x:v>0</x:v>
      </x:c>
      <x:c r="H167" s="85" t="n">
        <x:v>0</x:v>
      </x:c>
    </x:row>
    <x:row r="168" ht="22" customHeight="1">
      <x:c r="A168" s="85" t="n">
        <x:v>164</x:v>
      </x:c>
      <x:c r="B168" s="82" t="str">
        <x:v>Heinrich Haussler</x:v>
      </x:c>
      <x:c r="C168" s="85" t="n">
        <x:v>0</x:v>
      </x:c>
      <x:c r="D168" s="85" t="n">
        <x:v>0</x:v>
      </x:c>
      <x:c r="E168" s="85" t="n">
        <x:v>0</x:v>
      </x:c>
      <x:c r="F168" s="85" t="n">
        <x:v>0</x:v>
      </x:c>
      <x:c r="G168" s="85" t="n">
        <x:v>0</x:v>
      </x:c>
      <x:c r="H168" s="85" t="n">
        <x:v>0</x:v>
      </x:c>
    </x:row>
    <x:row r="169" ht="22" customHeight="1">
      <x:c r="A169" s="85" t="n">
        <x:v>165</x:v>
      </x:c>
      <x:c r="B169" s="82" t="str">
        <x:v>Lars Boom</x:v>
      </x:c>
      <x:c r="C169" s="85" t="n">
        <x:v>0</x:v>
      </x:c>
      <x:c r="D169" s="85" t="n">
        <x:v>0</x:v>
      </x:c>
      <x:c r="E169" s="85" t="n">
        <x:v>0</x:v>
      </x:c>
      <x:c r="F169" s="85" t="n">
        <x:v>0</x:v>
      </x:c>
      <x:c r="G169" s="85" t="n">
        <x:v>0</x:v>
      </x:c>
      <x:c r="H169" s="85" t="n">
        <x:v>0</x:v>
      </x:c>
    </x:row>
    <x:row r="170" ht="22" customHeight="1">
      <x:c r="A170" s="85" t="n">
        <x:v>166</x:v>
      </x:c>
      <x:c r="B170" s="82" t="str">
        <x:v>Sep Vanmarcke</x:v>
      </x:c>
      <x:c r="C170" s="85" t="n">
        <x:v>0</x:v>
      </x:c>
      <x:c r="D170" s="85" t="n">
        <x:v>0</x:v>
      </x:c>
      <x:c r="E170" s="85" t="n">
        <x:v>0</x:v>
      </x:c>
      <x:c r="F170" s="85" t="n">
        <x:v>0</x:v>
      </x:c>
      <x:c r="G170" s="85" t="n">
        <x:v>0</x:v>
      </x:c>
      <x:c r="H170" s="85" t="n">
        <x:v>0</x:v>
      </x:c>
    </x:row>
    <x:row r="171" ht="22" customHeight="1">
      <x:c r="A171" s="85" t="n">
        <x:v>167</x:v>
      </x:c>
      <x:c r="B171" s="82" t="str">
        <x:v>Leif Hoste</x:v>
      </x:c>
      <x:c r="C171" s="85" t="n">
        <x:v>0</x:v>
      </x:c>
      <x:c r="D171" s="85" t="n">
        <x:v>0</x:v>
      </x:c>
      <x:c r="E171" s="85" t="n">
        <x:v>0</x:v>
      </x:c>
      <x:c r="F171" s="85" t="n">
        <x:v>0</x:v>
      </x:c>
      <x:c r="G171" s="85" t="n">
        <x:v>0</x:v>
      </x:c>
      <x:c r="H171" s="85" t="n">
        <x:v>0</x:v>
      </x:c>
    </x:row>
    <x:row r="172" ht="22" customHeight="1">
      <x:c r="A172" s="85" t="n">
        <x:v>168</x:v>
      </x:c>
      <x:c r="B172" s="82" t="str">
        <x:v>Stijn Vandenbergh</x:v>
      </x:c>
      <x:c r="C172" s="85" t="n">
        <x:v>0</x:v>
      </x:c>
      <x:c r="D172" s="85" t="n">
        <x:v>0</x:v>
      </x:c>
      <x:c r="E172" s="85" t="n">
        <x:v>0</x:v>
      </x:c>
      <x:c r="F172" s="85" t="n">
        <x:v>0</x:v>
      </x:c>
      <x:c r="G172" s="85" t="n">
        <x:v>0</x:v>
      </x:c>
      <x:c r="H172" s="85" t="n">
        <x:v>0</x:v>
      </x:c>
    </x:row>
    <x:row r="173" ht="22" customHeight="1">
      <x:c r="A173" s="85" t="n">
        <x:v>169</x:v>
      </x:c>
      <x:c r="B173" s="82" t="str">
        <x:v>Maarten Wynants</x:v>
      </x:c>
      <x:c r="C173" s="85" t="n">
        <x:v>0</x:v>
      </x:c>
      <x:c r="D173" s="85" t="n">
        <x:v>0</x:v>
      </x:c>
      <x:c r="E173" s="85" t="n">
        <x:v>0</x:v>
      </x:c>
      <x:c r="F173" s="85" t="n">
        <x:v>0</x:v>
      </x:c>
      <x:c r="G173" s="85" t="n">
        <x:v>0</x:v>
      </x:c>
      <x:c r="H173" s="85" t="n">
        <x:v>0</x:v>
      </x:c>
    </x:row>
    <x:row r="174" ht="22" customHeight="1">
      <x:c r="A174" s="85" t="n">
        <x:v>170</x:v>
      </x:c>
      <x:c r="B174" s="82" t="str">
        <x:v>Sebastian Langeveld</x:v>
      </x:c>
      <x:c r="C174" s="85" t="n">
        <x:v>0</x:v>
      </x:c>
      <x:c r="D174" s="85" t="n">
        <x:v>0</x:v>
      </x:c>
      <x:c r="E174" s="85" t="n">
        <x:v>0</x:v>
      </x:c>
      <x:c r="F174" s="85" t="n">
        <x:v>0</x:v>
      </x:c>
      <x:c r="G174" s="85" t="n">
        <x:v>0</x:v>
      </x:c>
      <x:c r="H174" s="85" t="n">
        <x:v>0</x:v>
      </x:c>
    </x:row>
    <x:row r="175" ht="22" customHeight="1">
      <x:c r="A175" s="85" t="n">
        <x:v>171</x:v>
      </x:c>
      <x:c r="B175" s="82" t="str">
        <x:v>Marco Haller</x:v>
      </x:c>
      <x:c r="C175" s="85" t="n">
        <x:v>0</x:v>
      </x:c>
      <x:c r="D175" s="85" t="n">
        <x:v>0</x:v>
      </x:c>
      <x:c r="E175" s="85" t="n">
        <x:v>0</x:v>
      </x:c>
      <x:c r="F175" s="85" t="n">
        <x:v>0</x:v>
      </x:c>
      <x:c r="G175" s="85" t="n">
        <x:v>0</x:v>
      </x:c>
      <x:c r="H175" s="85" t="n">
        <x:v>0</x:v>
      </x:c>
    </x:row>
    <x:row r="176" ht="22" customHeight="1">
      <x:c r="A176" s="85" t="n">
        <x:v>172</x:v>
      </x:c>
      <x:c r="B176" s="82" t="str">
        <x:v>Taco van der Hoorn</x:v>
      </x:c>
      <x:c r="C176" s="85" t="n">
        <x:v>0</x:v>
      </x:c>
      <x:c r="D176" s="85" t="n">
        <x:v>0</x:v>
      </x:c>
      <x:c r="E176" s="85" t="n">
        <x:v>0</x:v>
      </x:c>
      <x:c r="F176" s="85" t="n">
        <x:v>0</x:v>
      </x:c>
      <x:c r="G176" s="85" t="n">
        <x:v>0</x:v>
      </x:c>
      <x:c r="H176" s="85" t="n">
        <x:v>0</x:v>
      </x:c>
    </x:row>
    <x:row r="177" ht="22" customHeight="1">
      <x:c r="A177" s="85" t="n">
        <x:v>173</x:v>
      </x:c>
      <x:c r="B177" s="82" t="str">
        <x:v>Amund Grondahl Jansen</x:v>
      </x:c>
      <x:c r="C177" s="85" t="n">
        <x:v>0</x:v>
      </x:c>
      <x:c r="D177" s="85" t="n">
        <x:v>0</x:v>
      </x:c>
      <x:c r="E177" s="85" t="n">
        <x:v>0</x:v>
      </x:c>
      <x:c r="F177" s="85" t="n">
        <x:v>0</x:v>
      </x:c>
      <x:c r="G177" s="85" t="n">
        <x:v>0</x:v>
      </x:c>
      <x:c r="H177" s="85" t="n">
        <x:v>0</x:v>
      </x:c>
    </x:row>
    <x:row r="178" ht="22" customHeight="1">
      <x:c r="A178" s="85" t="n">
        <x:v>174</x:v>
      </x:c>
      <x:c r="B178" s="82" t="str">
        <x:v>Aime De Gendt</x:v>
      </x:c>
      <x:c r="C178" s="85" t="n">
        <x:v>0</x:v>
      </x:c>
      <x:c r="D178" s="85" t="n">
        <x:v>0</x:v>
      </x:c>
      <x:c r="E178" s="85" t="n">
        <x:v>0</x:v>
      </x:c>
      <x:c r="F178" s="85" t="n">
        <x:v>0</x:v>
      </x:c>
      <x:c r="G178" s="85" t="n">
        <x:v>0</x:v>
      </x:c>
      <x:c r="H178" s="85" t="n">
        <x:v>0</x:v>
      </x:c>
    </x:row>
    <x:row r="179" ht="22" customHeight="1">
      <x:c r="A179" s="85" t="n">
        <x:v>175</x:v>
      </x:c>
      <x:c r="B179" s="82" t="str">
        <x:v>Florian Vermeersch</x:v>
      </x:c>
      <x:c r="C179" s="85" t="n">
        <x:v>0</x:v>
      </x:c>
      <x:c r="D179" s="85" t="n">
        <x:v>0</x:v>
      </x:c>
      <x:c r="E179" s="85" t="n">
        <x:v>0</x:v>
      </x:c>
      <x:c r="F179" s="85" t="n">
        <x:v>0</x:v>
      </x:c>
      <x:c r="G179" s="85" t="n">
        <x:v>0</x:v>
      </x:c>
      <x:c r="H179" s="85" t="n">
        <x:v>0</x:v>
      </x:c>
    </x:row>
    <x:row r="180" ht="22" customHeight="1">
      <x:c r="A180" s="85" t="n">
        <x:v>176</x:v>
      </x:c>
      <x:c r="B180" s="82" t="str">
        <x:v>Frederik Frison</x:v>
      </x:c>
      <x:c r="C180" s="85" t="n">
        <x:v>0</x:v>
      </x:c>
      <x:c r="D180" s="85" t="n">
        <x:v>0</x:v>
      </x:c>
      <x:c r="E180" s="85" t="n">
        <x:v>0</x:v>
      </x:c>
      <x:c r="F180" s="85" t="n">
        <x:v>0</x:v>
      </x:c>
      <x:c r="G180" s="85" t="n">
        <x:v>0</x:v>
      </x:c>
      <x:c r="H180" s="85" t="n">
        <x:v>0</x:v>
      </x:c>
    </x:row>
    <x:row r="181" ht="22" customHeight="1">
      <x:c r="A181" s="85" t="n">
        <x:v>177</x:v>
      </x:c>
      <x:c r="B181" s="82" t="str">
        <x:v>Jens Keukeleire</x:v>
      </x:c>
      <x:c r="C181" s="85" t="n">
        <x:v>0</x:v>
      </x:c>
      <x:c r="D181" s="85" t="n">
        <x:v>0</x:v>
      </x:c>
      <x:c r="E181" s="85" t="n">
        <x:v>0</x:v>
      </x:c>
      <x:c r="F181" s="85" t="n">
        <x:v>0</x:v>
      </x:c>
      <x:c r="G181" s="85" t="n">
        <x:v>0</x:v>
      </x:c>
      <x:c r="H181" s="85" t="n">
        <x:v>0</x:v>
      </x:c>
    </x:row>
    <x:row r="182" ht="22" customHeight="1">
      <x:c r="A182" s="85" t="n">
        <x:v>178</x:v>
      </x:c>
      <x:c r="B182" s="82" t="str">
        <x:v>Zdenek Stybar</x:v>
      </x:c>
      <x:c r="C182" s="85" t="n">
        <x:v>0</x:v>
      </x:c>
      <x:c r="D182" s="85" t="n">
        <x:v>0</x:v>
      </x:c>
      <x:c r="E182" s="85" t="n">
        <x:v>0</x:v>
      </x:c>
      <x:c r="F182" s="85" t="n">
        <x:v>0</x:v>
      </x:c>
      <x:c r="G182" s="85" t="n">
        <x:v>0</x:v>
      </x:c>
      <x:c r="H182" s="85" t="n">
        <x:v>0</x:v>
      </x:c>
    </x:row>
    <x:row r="183" ht="22" customHeight="1">
      <x:c r="A183" s="85" t="n">
        <x:v>179</x:v>
      </x:c>
      <x:c r="B183" s="82" t="str">
        <x:v>Greg Van Avermaet</x:v>
      </x:c>
      <x:c r="C183" s="85" t="n">
        <x:v>0</x:v>
      </x:c>
      <x:c r="D183" s="85" t="n">
        <x:v>0</x:v>
      </x:c>
      <x:c r="E183" s="85" t="n">
        <x:v>1</x:v>
      </x:c>
      <x:c r="F183" s="85" t="n">
        <x:v>0</x:v>
      </x:c>
      <x:c r="G183" s="85" t="n">
        <x:v>0</x:v>
      </x:c>
      <x:c r="H183" s="85" t="n">
        <x:v>1</x:v>
      </x:c>
    </x:row>
    <x:row r="184" ht="22" customHeight="1">
      <x:c r="A184" s="85" t="n">
        <x:v>180</x:v>
      </x:c>
      <x:c r="B184" s="82" t="str">
        <x:v>Wout van Aert</x:v>
      </x:c>
      <x:c r="C184" s="85" t="n">
        <x:v>1</x:v>
      </x:c>
      <x:c r="D184" s="85" t="n">
        <x:v>0</x:v>
      </x:c>
      <x:c r="E184" s="85" t="n">
        <x:v>1</x:v>
      </x:c>
      <x:c r="F184" s="85" t="n">
        <x:v>0</x:v>
      </x:c>
      <x:c r="G184" s="85" t="n">
        <x:v>0</x:v>
      </x:c>
      <x:c r="H184" s="85" t="n">
        <x:v>2</x:v>
      </x:c>
    </x:row>
    <x:row r="185" ht="22" customHeight="1">
      <x:c r="A185" s="85" t="n">
        <x:v>181</x:v>
      </x:c>
      <x:c r="B185" s="82" t="str">
        <x:v>Bob Jungels</x:v>
      </x:c>
      <x:c r="C185" s="85" t="n">
        <x:v>0</x:v>
      </x:c>
      <x:c r="D185" s="85" t="n">
        <x:v>0</x:v>
      </x:c>
      <x:c r="E185" s="85" t="n">
        <x:v>0</x:v>
      </x:c>
      <x:c r="F185" s="85" t="n">
        <x:v>1</x:v>
      </x:c>
      <x:c r="G185" s="85" t="n">
        <x:v>0</x:v>
      </x:c>
      <x:c r="H185" s="85" t="n">
        <x:v>1</x:v>
      </x:c>
    </x:row>
    <x:row r="186" ht="22" customHeight="1">
      <x:c r="A186" s="85" t="n">
        <x:v>182</x:v>
      </x:c>
      <x:c r="B186" s="82" t="str">
        <x:v>Michael Matthews</x:v>
      </x:c>
      <x:c r="C186" s="85" t="n">
        <x:v>0</x:v>
      </x:c>
      <x:c r="D186" s="85" t="n">
        <x:v>0</x:v>
      </x:c>
      <x:c r="E186" s="85" t="n">
        <x:v>0</x:v>
      </x:c>
      <x:c r="F186" s="85" t="n">
        <x:v>0</x:v>
      </x:c>
      <x:c r="G186" s="85" t="n">
        <x:v>0</x:v>
      </x:c>
      <x:c r="H186" s="85" t="n">
        <x:v>0</x:v>
      </x:c>
    </x:row>
    <x:row r="187" ht="22" customHeight="1">
      <x:c r="A187" s="85" t="n">
        <x:v>183</x:v>
      </x:c>
      <x:c r="B187" s="82" t="str">
        <x:v>Arnaud De Lie</x:v>
      </x:c>
      <x:c r="C187" s="85" t="n">
        <x:v>0</x:v>
      </x:c>
      <x:c r="D187" s="85" t="n">
        <x:v>0</x:v>
      </x:c>
      <x:c r="E187" s="85" t="n">
        <x:v>0</x:v>
      </x:c>
      <x:c r="F187" s="85" t="n">
        <x:v>0</x:v>
      </x:c>
      <x:c r="G187" s="85" t="n">
        <x:v>0</x:v>
      </x:c>
      <x:c r="H187" s="85" t="n">
        <x:v>0</x:v>
      </x:c>
    </x:row>
    <x:row r="188" ht="22" customHeight="1">
      <x:c r="A188" s="85" t="n">
        <x:v>184</x:v>
      </x:c>
      <x:c r="B188" s="82" t="str">
        <x:v>Jonathan Castroviejo</x:v>
      </x:c>
      <x:c r="C188" s="85" t="n">
        <x:v>0</x:v>
      </x:c>
      <x:c r="D188" s="85" t="n">
        <x:v>0</x:v>
      </x:c>
      <x:c r="E188" s="85" t="n">
        <x:v>0</x:v>
      </x:c>
      <x:c r="F188" s="85" t="n">
        <x:v>0</x:v>
      </x:c>
      <x:c r="G188" s="85" t="n">
        <x:v>0</x:v>
      </x:c>
      <x:c r="H188" s="85" t="n">
        <x:v>0</x:v>
      </x:c>
    </x:row>
    <x:row r="189" ht="22" customHeight="1">
      <x:c r="A189" s="85" t="n">
        <x:v>185</x:v>
      </x:c>
      <x:c r="B189" s="82" t="str">
        <x:v>Vasil Kiryienka</x:v>
      </x:c>
      <x:c r="C189" s="85" t="n">
        <x:v>0</x:v>
      </x:c>
      <x:c r="D189" s="85" t="n">
        <x:v>0</x:v>
      </x:c>
      <x:c r="E189" s="85" t="n">
        <x:v>0</x:v>
      </x:c>
      <x:c r="F189" s="85" t="n">
        <x:v>0</x:v>
      </x:c>
      <x:c r="G189" s="85" t="n">
        <x:v>0</x:v>
      </x:c>
      <x:c r="H189" s="85" t="n">
        <x:v>0</x:v>
      </x:c>
    </x:row>
    <x:row r="190" ht="22" customHeight="1">
      <x:c r="A190" s="85" t="n">
        <x:v>186</x:v>
      </x:c>
      <x:c r="B190" s="82" t="str">
        <x:v>Nelson Oliveira</x:v>
      </x:c>
      <x:c r="C190" s="85" t="n">
        <x:v>0</x:v>
      </x:c>
      <x:c r="D190" s="85" t="n">
        <x:v>0</x:v>
      </x:c>
      <x:c r="E190" s="85" t="n">
        <x:v>0</x:v>
      </x:c>
      <x:c r="F190" s="85" t="n">
        <x:v>0</x:v>
      </x:c>
      <x:c r="G190" s="85" t="n">
        <x:v>0</x:v>
      </x:c>
      <x:c r="H190" s="85" t="n">
        <x:v>0</x:v>
      </x:c>
    </x:row>
    <x:row r="191" ht="22" customHeight="1">
      <x:c r="A191" s="85" t="n">
        <x:v>187</x:v>
      </x:c>
      <x:c r="B191" s="82" t="str">
        <x:v>Jan Barta</x:v>
      </x:c>
      <x:c r="C191" s="85" t="n">
        <x:v>0</x:v>
      </x:c>
      <x:c r="D191" s="85" t="n">
        <x:v>0</x:v>
      </x:c>
      <x:c r="E191" s="85" t="n">
        <x:v>0</x:v>
      </x:c>
      <x:c r="F191" s="85" t="n">
        <x:v>0</x:v>
      </x:c>
      <x:c r="G191" s="85" t="n">
        <x:v>0</x:v>
      </x:c>
      <x:c r="H191" s="85" t="n">
        <x:v>0</x:v>
      </x:c>
    </x:row>
    <x:row r="192" ht="22" customHeight="1">
      <x:c r="A192" s="85" t="n">
        <x:v>188</x:v>
      </x:c>
      <x:c r="B192" s="82" t="str">
        <x:v>Alex Dowsett</x:v>
      </x:c>
      <x:c r="C192" s="85" t="n">
        <x:v>0</x:v>
      </x:c>
      <x:c r="D192" s="85" t="n">
        <x:v>0</x:v>
      </x:c>
      <x:c r="E192" s="85" t="n">
        <x:v>0</x:v>
      </x:c>
      <x:c r="F192" s="85" t="n">
        <x:v>0</x:v>
      </x:c>
      <x:c r="G192" s="85" t="n">
        <x:v>0</x:v>
      </x:c>
      <x:c r="H192" s="85" t="n">
        <x:v>0</x:v>
      </x:c>
    </x:row>
    <x:row r="193" ht="22" customHeight="1">
      <x:c r="A193" s="85" t="n">
        <x:v>189</x:v>
      </x:c>
      <x:c r="B193" s="82" t="str">
        <x:v>Luke Plapp</x:v>
      </x:c>
      <x:c r="C193" s="85" t="n">
        <x:v>0</x:v>
      </x:c>
      <x:c r="D193" s="85" t="n">
        <x:v>0</x:v>
      </x:c>
      <x:c r="E193" s="85" t="n">
        <x:v>0</x:v>
      </x:c>
      <x:c r="F193" s="85" t="n">
        <x:v>0</x:v>
      </x:c>
      <x:c r="G193" s="85" t="n">
        <x:v>0</x:v>
      </x:c>
      <x:c r="H193" s="85" t="n">
        <x:v>0</x:v>
      </x:c>
    </x:row>
    <x:row r="194" ht="22" customHeight="1">
      <x:c r="A194" s="85" t="n">
        <x:v>190</x:v>
      </x:c>
      <x:c r="B194" s="82" t="str">
        <x:v>Edoardo Affini</x:v>
      </x:c>
      <x:c r="C194" s="85" t="n">
        <x:v>0</x:v>
      </x:c>
      <x:c r="D194" s="85" t="n">
        <x:v>0</x:v>
      </x:c>
      <x:c r="E194" s="85" t="n">
        <x:v>0</x:v>
      </x:c>
      <x:c r="F194" s="85" t="n">
        <x:v>0</x:v>
      </x:c>
      <x:c r="G194" s="85" t="n">
        <x:v>0</x:v>
      </x:c>
      <x:c r="H194" s="85" t="n">
        <x:v>0</x:v>
      </x:c>
    </x:row>
    <x:row r="195" ht="22" customHeight="1">
      <x:c r="A195" s="85" t="n">
        <x:v>191</x:v>
      </x:c>
      <x:c r="B195" s="82" t="str">
        <x:v>Tobias Foss</x:v>
      </x:c>
      <x:c r="C195" s="85" t="n">
        <x:v>0</x:v>
      </x:c>
      <x:c r="D195" s="85" t="n">
        <x:v>0</x:v>
      </x:c>
      <x:c r="E195" s="85" t="n">
        <x:v>0</x:v>
      </x:c>
      <x:c r="F195" s="85" t="n">
        <x:v>0</x:v>
      </x:c>
      <x:c r="G195" s="85" t="n">
        <x:v>0</x:v>
      </x:c>
      <x:c r="H195" s="85" t="n">
        <x:v>0</x:v>
      </x:c>
    </x:row>
    <x:row r="196" ht="22" customHeight="1">
      <x:c r="A196" s="85" t="n">
        <x:v>192</x:v>
      </x:c>
      <x:c r="B196" s="82" t="str">
        <x:v>Magnus Sheffield</x:v>
      </x:c>
      <x:c r="C196" s="85" t="n">
        <x:v>0</x:v>
      </x:c>
      <x:c r="D196" s="85" t="n">
        <x:v>0</x:v>
      </x:c>
      <x:c r="E196" s="85" t="n">
        <x:v>0</x:v>
      </x:c>
      <x:c r="F196" s="85" t="n">
        <x:v>0</x:v>
      </x:c>
      <x:c r="G196" s="85" t="n">
        <x:v>0</x:v>
      </x:c>
      <x:c r="H196" s="85" t="n">
        <x:v>0</x:v>
      </x:c>
    </x:row>
    <x:row r="197" ht="22" customHeight="1">
      <x:c r="A197" s="85" t="n">
        <x:v>193</x:v>
      </x:c>
      <x:c r="B197" s="82" t="str">
        <x:v>Remi Cavagna</x:v>
      </x:c>
      <x:c r="C197" s="85" t="n">
        <x:v>0</x:v>
      </x:c>
      <x:c r="D197" s="85" t="n">
        <x:v>0</x:v>
      </x:c>
      <x:c r="E197" s="85" t="n">
        <x:v>0</x:v>
      </x:c>
      <x:c r="F197" s="85" t="n">
        <x:v>0</x:v>
      </x:c>
      <x:c r="G197" s="85" t="n">
        <x:v>0</x:v>
      </x:c>
      <x:c r="H197" s="85" t="n">
        <x:v>0</x:v>
      </x:c>
    </x:row>
    <x:row r="198" ht="22" customHeight="1">
      <x:c r="A198" s="85" t="n">
        <x:v>194</x:v>
      </x:c>
      <x:c r="B198" s="82" t="str">
        <x:v>Chad Haga</x:v>
      </x:c>
      <x:c r="C198" s="85" t="n">
        <x:v>0</x:v>
      </x:c>
      <x:c r="D198" s="85" t="n">
        <x:v>0</x:v>
      </x:c>
      <x:c r="E198" s="85" t="n">
        <x:v>0</x:v>
      </x:c>
      <x:c r="F198" s="85" t="n">
        <x:v>0</x:v>
      </x:c>
      <x:c r="G198" s="85" t="n">
        <x:v>0</x:v>
      </x:c>
      <x:c r="H198" s="85" t="n">
        <x:v>0</x:v>
      </x:c>
    </x:row>
    <x:row r="199" ht="22" customHeight="1">
      <x:c r="A199" s="85" t="n">
        <x:v>195</x:v>
      </x:c>
      <x:c r="B199" s="82" t="str">
        <x:v>Tejay van Garderen</x:v>
      </x:c>
      <x:c r="C199" s="85" t="n">
        <x:v>0</x:v>
      </x:c>
      <x:c r="D199" s="85" t="n">
        <x:v>0</x:v>
      </x:c>
      <x:c r="E199" s="85" t="n">
        <x:v>0</x:v>
      </x:c>
      <x:c r="F199" s="85" t="n">
        <x:v>0</x:v>
      </x:c>
      <x:c r="G199" s="85" t="n">
        <x:v>0</x:v>
      </x:c>
      <x:c r="H199" s="85" t="n">
        <x:v>0</x:v>
      </x:c>
    </x:row>
    <x:row r="200" ht="22" customHeight="1">
      <x:c r="A200" s="85" t="n">
        <x:v>196</x:v>
      </x:c>
      <x:c r="B200" s="82" t="str">
        <x:v>Brent Bookwalter</x:v>
      </x:c>
      <x:c r="C200" s="85" t="n">
        <x:v>0</x:v>
      </x:c>
      <x:c r="D200" s="85" t="n">
        <x:v>0</x:v>
      </x:c>
      <x:c r="E200" s="85" t="n">
        <x:v>0</x:v>
      </x:c>
      <x:c r="F200" s="85" t="n">
        <x:v>0</x:v>
      </x:c>
      <x:c r="G200" s="85" t="n">
        <x:v>0</x:v>
      </x:c>
      <x:c r="H200" s="85" t="n">
        <x:v>0</x:v>
      </x:c>
    </x:row>
    <x:row r="201" ht="22" customHeight="1">
      <x:c r="A201" s="85" t="n">
        <x:v>197</x:v>
      </x:c>
      <x:c r="B201" s="82" t="str">
        <x:v>Kanstantsin Siutsou</x:v>
      </x:c>
      <x:c r="C201" s="85" t="n">
        <x:v>0</x:v>
      </x:c>
      <x:c r="D201" s="85" t="n">
        <x:v>0</x:v>
      </x:c>
      <x:c r="E201" s="85" t="n">
        <x:v>0</x:v>
      </x:c>
      <x:c r="F201" s="85" t="n">
        <x:v>0</x:v>
      </x:c>
      <x:c r="G201" s="85" t="n">
        <x:v>0</x:v>
      </x:c>
      <x:c r="H201" s="85" t="n">
        <x:v>0</x:v>
      </x:c>
    </x:row>
    <x:row r="202" ht="22" customHeight="1">
      <x:c r="A202" s="85" t="n">
        <x:v>198</x:v>
      </x:c>
      <x:c r="B202" s="82" t="str">
        <x:v>Cameron Wurf</x:v>
      </x:c>
      <x:c r="C202" s="85" t="n">
        <x:v>0</x:v>
      </x:c>
      <x:c r="D202" s="85" t="n">
        <x:v>0</x:v>
      </x:c>
      <x:c r="E202" s="85" t="n">
        <x:v>0</x:v>
      </x:c>
      <x:c r="F202" s="85" t="n">
        <x:v>0</x:v>
      </x:c>
      <x:c r="G202" s="85" t="n">
        <x:v>0</x:v>
      </x:c>
      <x:c r="H202" s="85" t="n">
        <x:v>0</x:v>
      </x:c>
    </x:row>
    <x:row r="203" ht="22" customHeight="1">
      <x:c r="A203" s="85" t="n">
        <x:v>199</x:v>
      </x:c>
      <x:c r="B203" s="82" t="str">
        <x:v>Lawson Craddock</x:v>
      </x:c>
      <x:c r="C203" s="85" t="n">
        <x:v>0</x:v>
      </x:c>
      <x:c r="D203" s="85" t="n">
        <x:v>0</x:v>
      </x:c>
      <x:c r="E203" s="85" t="n">
        <x:v>0</x:v>
      </x:c>
      <x:c r="F203" s="85" t="n">
        <x:v>0</x:v>
      </x:c>
      <x:c r="G203" s="85" t="n">
        <x:v>0</x:v>
      </x:c>
      <x:c r="H203" s="85" t="n">
        <x:v>0</x:v>
      </x:c>
    </x:row>
    <x:row r="204" ht="22" customHeight="1">
      <x:c r="A204" s="85" t="n">
        <x:v>200</x:v>
      </x:c>
      <x:c r="B204" s="82" t="str">
        <x:v>Jan Tratnik</x:v>
      </x:c>
      <x:c r="C204" s="85" t="n">
        <x:v>0</x:v>
      </x:c>
      <x:c r="D204" s="85" t="n">
        <x:v>0</x:v>
      </x:c>
      <x:c r="E204" s="85" t="n">
        <x:v>0</x:v>
      </x:c>
      <x:c r="F204" s="85" t="n">
        <x:v>0</x:v>
      </x:c>
      <x:c r="G204" s="85" t="n">
        <x:v>0</x:v>
      </x:c>
      <x:c r="H204" s="85" t="n">
        <x:v>0</x:v>
      </x:c>
    </x:row>
    <x:row r="205" ht="22" customHeight="1">
      <x:c r="A205" s="85" t="n">
        <x:v>201</x:v>
      </x:c>
      <x:c r="B205" s="82" t="str">
        <x:v>Simon Yates</x:v>
      </x:c>
      <x:c r="C205" s="85" t="n">
        <x:v>0</x:v>
      </x:c>
      <x:c r="D205" s="85" t="n">
        <x:v>0</x:v>
      </x:c>
      <x:c r="E205" s="85" t="n">
        <x:v>0</x:v>
      </x:c>
      <x:c r="F205" s="85" t="n">
        <x:v>0</x:v>
      </x:c>
      <x:c r="G205" s="85" t="n">
        <x:v>0</x:v>
      </x:c>
      <x:c r="H205" s="85" t="n">
        <x:v>0</x:v>
      </x:c>
    </x:row>
    <x:row r="206" ht="22" customHeight="1">
      <x:c r="A206" s="85" t="n">
        <x:v>202</x:v>
      </x:c>
      <x:c r="B206" s="82" t="str">
        <x:v>Jai Hindley</x:v>
      </x:c>
      <x:c r="C206" s="85" t="n">
        <x:v>0</x:v>
      </x:c>
      <x:c r="D206" s="85" t="n">
        <x:v>0</x:v>
      </x:c>
      <x:c r="E206" s="85" t="n">
        <x:v>0</x:v>
      </x:c>
      <x:c r="F206" s="85" t="n">
        <x:v>0</x:v>
      </x:c>
      <x:c r="G206" s="85" t="n">
        <x:v>0</x:v>
      </x:c>
      <x:c r="H206" s="85" t="n">
        <x:v>0</x:v>
      </x:c>
    </x:row>
    <x:row r="207" ht="22" customHeight="1">
      <x:c r="A207" s="85" t="n">
        <x:v>203</x:v>
      </x:c>
      <x:c r="B207" s="82" t="str">
        <x:v>Tom Dumoulin</x:v>
      </x:c>
      <x:c r="C207" s="85" t="n">
        <x:v>0</x:v>
      </x:c>
      <x:c r="D207" s="85" t="n">
        <x:v>0</x:v>
      </x:c>
      <x:c r="E207" s="85" t="n">
        <x:v>0</x:v>
      </x:c>
      <x:c r="F207" s="85" t="n">
        <x:v>0</x:v>
      </x:c>
      <x:c r="G207" s="85" t="n">
        <x:v>0</x:v>
      </x:c>
      <x:c r="H207" s="85" t="n">
        <x:v>0</x:v>
      </x:c>
    </x:row>
    <x:row r="208" ht="22" customHeight="1">
      <x:c r="A208" s="85" t="n">
        <x:v>204</x:v>
      </x:c>
      <x:c r="B208" s="82" t="str">
        <x:v>Ivan Basso</x:v>
      </x:c>
      <x:c r="C208" s="85" t="n">
        <x:v>0</x:v>
      </x:c>
      <x:c r="D208" s="85" t="n">
        <x:v>0</x:v>
      </x:c>
      <x:c r="E208" s="85" t="n">
        <x:v>0</x:v>
      </x:c>
      <x:c r="F208" s="85" t="n">
        <x:v>0</x:v>
      </x:c>
      <x:c r="G208" s="85" t="n">
        <x:v>0</x:v>
      </x:c>
      <x:c r="H208" s="85" t="n">
        <x:v>0</x:v>
      </x:c>
    </x:row>
    <x:row r="209" ht="22" customHeight="1">
      <x:c r="A209" s="85" t="n">
        <x:v>205</x:v>
      </x:c>
      <x:c r="B209" s="82" t="str">
        <x:v>Ryder Hesjedal</x:v>
      </x:c>
      <x:c r="C209" s="85" t="n">
        <x:v>0</x:v>
      </x:c>
      <x:c r="D209" s="85" t="n">
        <x:v>0</x:v>
      </x:c>
      <x:c r="E209" s="85" t="n">
        <x:v>0</x:v>
      </x:c>
      <x:c r="F209" s="85" t="n">
        <x:v>0</x:v>
      </x:c>
      <x:c r="G209" s="85" t="n">
        <x:v>0</x:v>
      </x:c>
      <x:c r="H209" s="85" t="n">
        <x:v>0</x:v>
      </x:c>
    </x:row>
    <x:row r="210" ht="22" customHeight="1">
      <x:c r="A210" s="85" t="n">
        <x:v>206</x:v>
      </x:c>
      <x:c r="B210" s="82" t="str">
        <x:v>Damiano Cunego</x:v>
      </x:c>
      <x:c r="C210" s="85" t="n">
        <x:v>0</x:v>
      </x:c>
      <x:c r="D210" s="85" t="n">
        <x:v>0</x:v>
      </x:c>
      <x:c r="E210" s="85" t="n">
        <x:v>0</x:v>
      </x:c>
      <x:c r="F210" s="85" t="n">
        <x:v>0</x:v>
      </x:c>
      <x:c r="G210" s="85" t="n">
        <x:v>3</x:v>
      </x:c>
      <x:c r="H210" s="85" t="n">
        <x:v>3</x:v>
      </x:c>
    </x:row>
    <x:row r="211" ht="22" customHeight="1">
      <x:c r="A211" s="85" t="n">
        <x:v>207</x:v>
      </x:c>
      <x:c r="B211" s="82" t="str">
        <x:v>Fabio Aru</x:v>
      </x:c>
      <x:c r="C211" s="85" t="n">
        <x:v>0</x:v>
      </x:c>
      <x:c r="D211" s="85" t="n">
        <x:v>0</x:v>
      </x:c>
      <x:c r="E211" s="85" t="n">
        <x:v>0</x:v>
      </x:c>
      <x:c r="F211" s="85" t="n">
        <x:v>0</x:v>
      </x:c>
      <x:c r="G211" s="85" t="n">
        <x:v>0</x:v>
      </x:c>
      <x:c r="H211" s="85" t="n">
        <x:v>0</x:v>
      </x:c>
    </x:row>
    <x:row r="212" ht="22" customHeight="1">
      <x:c r="A212" s="85" t="n">
        <x:v>208</x:v>
      </x:c>
      <x:c r="B212" s="82" t="str">
        <x:v>Rigoberto Uran</x:v>
      </x:c>
      <x:c r="C212" s="85" t="n">
        <x:v>0</x:v>
      </x:c>
      <x:c r="D212" s="85" t="n">
        <x:v>0</x:v>
      </x:c>
      <x:c r="E212" s="85" t="n">
        <x:v>0</x:v>
      </x:c>
      <x:c r="F212" s="85" t="n">
        <x:v>0</x:v>
      </x:c>
      <x:c r="G212" s="85" t="n">
        <x:v>0</x:v>
      </x:c>
      <x:c r="H212" s="85" t="n">
        <x:v>0</x:v>
      </x:c>
    </x:row>
    <x:row r="213" ht="22" customHeight="1">
      <x:c r="A213" s="85" t="n">
        <x:v>209</x:v>
      </x:c>
      <x:c r="B213" s="82" t="str">
        <x:v>Esteban Chaves</x:v>
      </x:c>
      <x:c r="C213" s="85" t="n">
        <x:v>0</x:v>
      </x:c>
      <x:c r="D213" s="85" t="n">
        <x:v>0</x:v>
      </x:c>
      <x:c r="E213" s="85" t="n">
        <x:v>0</x:v>
      </x:c>
      <x:c r="F213" s="85" t="n">
        <x:v>0</x:v>
      </x:c>
      <x:c r="G213" s="85" t="n">
        <x:v>0</x:v>
      </x:c>
      <x:c r="H213" s="85" t="n">
        <x:v>0</x:v>
      </x:c>
    </x:row>
    <x:row r="214" ht="22" customHeight="1">
      <x:c r="A214" s="85" t="n">
        <x:v>210</x:v>
      </x:c>
      <x:c r="B214" s="82" t="str">
        <x:v>Enric Mas</x:v>
      </x:c>
      <x:c r="C214" s="85" t="n">
        <x:v>0</x:v>
      </x:c>
      <x:c r="D214" s="85" t="n">
        <x:v>0</x:v>
      </x:c>
      <x:c r="E214" s="85" t="n">
        <x:v>0</x:v>
      </x:c>
      <x:c r="F214" s="85" t="n">
        <x:v>0</x:v>
      </x:c>
      <x:c r="G214" s="85" t="n">
        <x:v>0</x:v>
      </x:c>
      <x:c r="H214" s="85" t="n">
        <x:v>0</x:v>
      </x:c>
    </x:row>
    <x:row r="215" ht="22" customHeight="1">
      <x:c r="A215" s="85" t="n">
        <x:v>211</x:v>
      </x:c>
      <x:c r="B215" s="82" t="str">
        <x:v>Pello Bilbao</x:v>
      </x:c>
      <x:c r="C215" s="85" t="n">
        <x:v>0</x:v>
      </x:c>
      <x:c r="D215" s="85" t="n">
        <x:v>0</x:v>
      </x:c>
      <x:c r="E215" s="85" t="n">
        <x:v>0</x:v>
      </x:c>
      <x:c r="F215" s="85" t="n">
        <x:v>0</x:v>
      </x:c>
      <x:c r="G215" s="85" t="n">
        <x:v>0</x:v>
      </x:c>
      <x:c r="H215" s="85" t="n">
        <x:v>0</x:v>
      </x:c>
    </x:row>
    <x:row r="216" ht="22" customHeight="1">
      <x:c r="A216" s="85" t="n">
        <x:v>212</x:v>
      </x:c>
      <x:c r="B216" s="82" t="str">
        <x:v>Giulio Ciccone</x:v>
      </x:c>
      <x:c r="C216" s="85" t="n">
        <x:v>0</x:v>
      </x:c>
      <x:c r="D216" s="85" t="n">
        <x:v>0</x:v>
      </x:c>
      <x:c r="E216" s="85" t="n">
        <x:v>0</x:v>
      </x:c>
      <x:c r="F216" s="85" t="n">
        <x:v>0</x:v>
      </x:c>
      <x:c r="G216" s="85" t="n">
        <x:v>0</x:v>
      </x:c>
      <x:c r="H216" s="85" t="n">
        <x:v>0</x:v>
      </x:c>
    </x:row>
    <x:row r="217" ht="22" customHeight="1">
      <x:c r="A217" s="85" t="n">
        <x:v>213</x:v>
      </x:c>
      <x:c r="B217" s="82" t="str">
        <x:v>David Gaudu</x:v>
      </x:c>
      <x:c r="C217" s="85" t="n">
        <x:v>0</x:v>
      </x:c>
      <x:c r="D217" s="85" t="n">
        <x:v>0</x:v>
      </x:c>
      <x:c r="E217" s="85" t="n">
        <x:v>0</x:v>
      </x:c>
      <x:c r="F217" s="85" t="n">
        <x:v>0</x:v>
      </x:c>
      <x:c r="G217" s="85" t="n">
        <x:v>0</x:v>
      </x:c>
      <x:c r="H217" s="85" t="n">
        <x:v>0</x:v>
      </x:c>
    </x:row>
    <x:row r="218" ht="22" customHeight="1">
      <x:c r="A218" s="85" t="n">
        <x:v>214</x:v>
      </x:c>
      <x:c r="B218" s="82" t="str">
        <x:v>Warren Barguil</x:v>
      </x:c>
      <x:c r="C218" s="85" t="n">
        <x:v>0</x:v>
      </x:c>
      <x:c r="D218" s="85" t="n">
        <x:v>0</x:v>
      </x:c>
      <x:c r="E218" s="85" t="n">
        <x:v>0</x:v>
      </x:c>
      <x:c r="F218" s="85" t="n">
        <x:v>0</x:v>
      </x:c>
      <x:c r="G218" s="85" t="n">
        <x:v>0</x:v>
      </x:c>
      <x:c r="H218" s="85" t="n">
        <x:v>0</x:v>
      </x:c>
    </x:row>
    <x:row r="219" ht="22" customHeight="1">
      <x:c r="A219" s="85" t="n">
        <x:v>215</x:v>
      </x:c>
      <x:c r="B219" s="82" t="str">
        <x:v>Guillaume Martin</x:v>
      </x:c>
      <x:c r="C219" s="85" t="n">
        <x:v>0</x:v>
      </x:c>
      <x:c r="D219" s="85" t="n">
        <x:v>0</x:v>
      </x:c>
      <x:c r="E219" s="85" t="n">
        <x:v>0</x:v>
      </x:c>
      <x:c r="F219" s="85" t="n">
        <x:v>0</x:v>
      </x:c>
      <x:c r="G219" s="85" t="n">
        <x:v>0</x:v>
      </x:c>
      <x:c r="H219" s="85" t="n">
        <x:v>0</x:v>
      </x:c>
    </x:row>
    <x:row r="220" ht="22" customHeight="1">
      <x:c r="A220" s="85" t="n">
        <x:v>216</x:v>
      </x:c>
      <x:c r="B220" s="82" t="str">
        <x:v>Ben Healy</x:v>
      </x:c>
      <x:c r="C220" s="85" t="n">
        <x:v>0</x:v>
      </x:c>
      <x:c r="D220" s="85" t="n">
        <x:v>0</x:v>
      </x:c>
      <x:c r="E220" s="85" t="n">
        <x:v>0</x:v>
      </x:c>
      <x:c r="F220" s="85" t="n">
        <x:v>0</x:v>
      </x:c>
      <x:c r="G220" s="85" t="n">
        <x:v>0</x:v>
      </x:c>
      <x:c r="H220" s="85" t="n">
        <x:v>0</x:v>
      </x:c>
    </x:row>
    <x:row r="221" ht="22" customHeight="1">
      <x:c r="A221" s="85" t="n">
        <x:v>217</x:v>
      </x:c>
      <x:c r="B221" s="82" t="str">
        <x:v>Felix Gall</x:v>
      </x:c>
      <x:c r="C221" s="85" t="n">
        <x:v>0</x:v>
      </x:c>
      <x:c r="D221" s="85" t="n">
        <x:v>0</x:v>
      </x:c>
      <x:c r="E221" s="85" t="n">
        <x:v>0</x:v>
      </x:c>
      <x:c r="F221" s="85" t="n">
        <x:v>0</x:v>
      </x:c>
      <x:c r="G221" s="85" t="n">
        <x:v>0</x:v>
      </x:c>
      <x:c r="H221" s="85" t="n">
        <x:v>0</x:v>
      </x:c>
    </x:row>
    <x:row r="222" ht="22" customHeight="1">
      <x:c r="A222" s="85" t="n">
        <x:v>218</x:v>
      </x:c>
      <x:c r="B222" s="82" t="str">
        <x:v>Derek Gee</x:v>
      </x:c>
      <x:c r="C222" s="85" t="n">
        <x:v>0</x:v>
      </x:c>
      <x:c r="D222" s="85" t="n">
        <x:v>0</x:v>
      </x:c>
      <x:c r="E222" s="85" t="n">
        <x:v>0</x:v>
      </x:c>
      <x:c r="F222" s="85" t="n">
        <x:v>0</x:v>
      </x:c>
      <x:c r="G222" s="85" t="n">
        <x:v>0</x:v>
      </x:c>
      <x:c r="H222" s="85" t="n">
        <x:v>0</x:v>
      </x:c>
    </x:row>
    <x:row r="223" ht="22" customHeight="1">
      <x:c r="A223" s="85" t="n">
        <x:v>219</x:v>
      </x:c>
      <x:c r="B223" s="82" t="str">
        <x:v>Aleksandr Vlasov</x:v>
      </x:c>
      <x:c r="C223" s="85" t="n">
        <x:v>0</x:v>
      </x:c>
      <x:c r="D223" s="85" t="n">
        <x:v>0</x:v>
      </x:c>
      <x:c r="E223" s="85" t="n">
        <x:v>0</x:v>
      </x:c>
      <x:c r="F223" s="85" t="n">
        <x:v>0</x:v>
      </x:c>
      <x:c r="G223" s="85" t="n">
        <x:v>0</x:v>
      </x:c>
      <x:c r="H223" s="85" t="n">
        <x:v>0</x:v>
      </x:c>
    </x:row>
    <x:row r="224" ht="22" customHeight="1">
      <x:c r="A224" s="85" t="n">
        <x:v>220</x:v>
      </x:c>
      <x:c r="B224" s="82" t="str">
        <x:v>Oscar Pereiro</x:v>
      </x:c>
      <x:c r="C224" s="85" t="n">
        <x:v>0</x:v>
      </x:c>
      <x:c r="D224" s="85" t="n">
        <x:v>0</x:v>
      </x:c>
      <x:c r="E224" s="85" t="n">
        <x:v>0</x:v>
      </x:c>
      <x:c r="F224" s="85" t="n">
        <x:v>0</x:v>
      </x:c>
      <x:c r="G224" s="85" t="n">
        <x:v>0</x:v>
      </x:c>
      <x:c r="H224" s="85" t="n">
        <x:v>0</x:v>
      </x:c>
    </x:row>
    <x:row r="225" ht="22" customHeight="1">
      <x:c r="A225" s="85" t="n">
        <x:v>221</x:v>
      </x:c>
      <x:c r="B225" s="82" t="str">
        <x:v>Samuel Sanchez</x:v>
      </x:c>
      <x:c r="C225" s="85" t="n">
        <x:v>0</x:v>
      </x:c>
      <x:c r="D225" s="85" t="n">
        <x:v>0</x:v>
      </x:c>
      <x:c r="E225" s="85" t="n">
        <x:v>0</x:v>
      </x:c>
      <x:c r="F225" s="85" t="n">
        <x:v>0</x:v>
      </x:c>
      <x:c r="G225" s="85" t="n">
        <x:v>0</x:v>
      </x:c>
      <x:c r="H225" s="85" t="n">
        <x:v>0</x:v>
      </x:c>
    </x:row>
    <x:row r="226" ht="22" customHeight="1">
      <x:c r="A226" s="85" t="n">
        <x:v>222</x:v>
      </x:c>
      <x:c r="B226" s="82" t="str">
        <x:v>Denis Menchov</x:v>
      </x:c>
      <x:c r="C226" s="85" t="n">
        <x:v>0</x:v>
      </x:c>
      <x:c r="D226" s="85" t="n">
        <x:v>0</x:v>
      </x:c>
      <x:c r="E226" s="85" t="n">
        <x:v>0</x:v>
      </x:c>
      <x:c r="F226" s="85" t="n">
        <x:v>0</x:v>
      </x:c>
      <x:c r="G226" s="85" t="n">
        <x:v>0</x:v>
      </x:c>
      <x:c r="H226" s="85" t="n">
        <x:v>0</x:v>
      </x:c>
    </x:row>
    <x:row r="227" ht="22" customHeight="1">
      <x:c r="A227" s="85" t="n">
        <x:v>223</x:v>
      </x:c>
      <x:c r="B227" s="82" t="str">
        <x:v>Roberto Heras</x:v>
      </x:c>
      <x:c r="C227" s="85" t="n">
        <x:v>0</x:v>
      </x:c>
      <x:c r="D227" s="85" t="n">
        <x:v>0</x:v>
      </x:c>
      <x:c r="E227" s="85" t="n">
        <x:v>0</x:v>
      </x:c>
      <x:c r="F227" s="85" t="n">
        <x:v>0</x:v>
      </x:c>
      <x:c r="G227" s="85" t="n">
        <x:v>0</x:v>
      </x:c>
      <x:c r="H227" s="85" t="n">
        <x:v>0</x:v>
      </x:c>
    </x:row>
    <x:row r="228" ht="22" customHeight="1">
      <x:c r="A228" s="85" t="n">
        <x:v>224</x:v>
      </x:c>
      <x:c r="B228" s="82" t="str">
        <x:v>Alex Zulle</x:v>
      </x:c>
      <x:c r="C228" s="85" t="n">
        <x:v>0</x:v>
      </x:c>
      <x:c r="D228" s="85" t="n">
        <x:v>0</x:v>
      </x:c>
      <x:c r="E228" s="85" t="n">
        <x:v>0</x:v>
      </x:c>
      <x:c r="F228" s="85" t="n">
        <x:v>0</x:v>
      </x:c>
      <x:c r="G228" s="85" t="n">
        <x:v>0</x:v>
      </x:c>
      <x:c r="H228" s="85" t="n">
        <x:v>0</x:v>
      </x:c>
    </x:row>
    <x:row r="229" ht="22" customHeight="1">
      <x:c r="A229" s="85" t="n">
        <x:v>225</x:v>
      </x:c>
      <x:c r="B229" s="82" t="str">
        <x:v>Gilberto Simoni</x:v>
      </x:c>
      <x:c r="C229" s="85" t="n">
        <x:v>0</x:v>
      </x:c>
      <x:c r="D229" s="85" t="n">
        <x:v>0</x:v>
      </x:c>
      <x:c r="E229" s="85" t="n">
        <x:v>0</x:v>
      </x:c>
      <x:c r="F229" s="85" t="n">
        <x:v>0</x:v>
      </x:c>
      <x:c r="G229" s="85" t="n">
        <x:v>0</x:v>
      </x:c>
      <x:c r="H229" s="85" t="n">
        <x:v>0</x:v>
      </x:c>
    </x:row>
    <x:row r="230" ht="22" customHeight="1">
      <x:c r="A230" s="85" t="n">
        <x:v>226</x:v>
      </x:c>
      <x:c r="B230" s="82" t="str">
        <x:v>Pavel Tonkov</x:v>
      </x:c>
      <x:c r="C230" s="85" t="n">
        <x:v>0</x:v>
      </x:c>
      <x:c r="D230" s="85" t="n">
        <x:v>0</x:v>
      </x:c>
      <x:c r="E230" s="85" t="n">
        <x:v>0</x:v>
      </x:c>
      <x:c r="F230" s="85" t="n">
        <x:v>0</x:v>
      </x:c>
      <x:c r="G230" s="85" t="n">
        <x:v>0</x:v>
      </x:c>
      <x:c r="H230" s="85" t="n">
        <x:v>0</x:v>
      </x:c>
    </x:row>
    <x:row r="231" ht="22" customHeight="1">
      <x:c r="A231" s="85" t="n">
        <x:v>227</x:v>
      </x:c>
      <x:c r="B231" s="82" t="str">
        <x:v>Evgeni Berzin</x:v>
      </x:c>
      <x:c r="C231" s="85" t="n">
        <x:v>0</x:v>
      </x:c>
      <x:c r="D231" s="85" t="n">
        <x:v>0</x:v>
      </x:c>
      <x:c r="E231" s="85" t="n">
        <x:v>0</x:v>
      </x:c>
      <x:c r="F231" s="85" t="n">
        <x:v>1</x:v>
      </x:c>
      <x:c r="G231" s="85" t="n">
        <x:v>0</x:v>
      </x:c>
      <x:c r="H231" s="85" t="n">
        <x:v>1</x:v>
      </x:c>
    </x:row>
    <x:row r="232" ht="22" customHeight="1">
      <x:c r="A232" s="85" t="n">
        <x:v>228</x:v>
      </x:c>
      <x:c r="B232" s="82" t="str">
        <x:v>Danilo Di Luca</x:v>
      </x:c>
      <x:c r="C232" s="85" t="n">
        <x:v>0</x:v>
      </x:c>
      <x:c r="D232" s="85" t="n">
        <x:v>0</x:v>
      </x:c>
      <x:c r="E232" s="85" t="n">
        <x:v>0</x:v>
      </x:c>
      <x:c r="F232" s="85" t="n">
        <x:v>1</x:v>
      </x:c>
      <x:c r="G232" s="85" t="n">
        <x:v>1</x:v>
      </x:c>
      <x:c r="H232" s="85" t="n">
        <x:v>2</x:v>
      </x:c>
    </x:row>
    <x:row r="233" ht="22" customHeight="1">
      <x:c r="A233" s="85" t="n">
        <x:v>229</x:v>
      </x:c>
      <x:c r="B233" s="82" t="str">
        <x:v>Chris Horner</x:v>
      </x:c>
      <x:c r="C233" s="85" t="n">
        <x:v>0</x:v>
      </x:c>
      <x:c r="D233" s="85" t="n">
        <x:v>0</x:v>
      </x:c>
      <x:c r="E233" s="85" t="n">
        <x:v>0</x:v>
      </x:c>
      <x:c r="F233" s="85" t="n">
        <x:v>0</x:v>
      </x:c>
      <x:c r="G233" s="85" t="n">
        <x:v>0</x:v>
      </x:c>
      <x:c r="H233" s="85" t="n">
        <x:v>0</x:v>
      </x:c>
    </x:row>
    <x:row r="234" ht="22" customHeight="1">
      <x:c r="A234" s="85" t="n">
        <x:v>230</x:v>
      </x:c>
      <x:c r="B234" s="82" t="str">
        <x:v>Iban Mayo</x:v>
      </x:c>
      <x:c r="C234" s="85" t="n">
        <x:v>0</x:v>
      </x:c>
      <x:c r="D234" s="85" t="n">
        <x:v>0</x:v>
      </x:c>
      <x:c r="E234" s="85" t="n">
        <x:v>0</x:v>
      </x:c>
      <x:c r="F234" s="85" t="n">
        <x:v>0</x:v>
      </x:c>
      <x:c r="G234" s="85" t="n">
        <x:v>0</x:v>
      </x:c>
      <x:c r="H234" s="85" t="n">
        <x:v>0</x:v>
      </x:c>
    </x:row>
    <x:row r="235" ht="22" customHeight="1">
      <x:c r="A235" s="85" t="n">
        <x:v>231</x:v>
      </x:c>
      <x:c r="B235" s="82" t="str">
        <x:v>Jose Rujano</x:v>
      </x:c>
      <x:c r="C235" s="85" t="n">
        <x:v>0</x:v>
      </x:c>
      <x:c r="D235" s="85" t="n">
        <x:v>0</x:v>
      </x:c>
      <x:c r="E235" s="85" t="n">
        <x:v>0</x:v>
      </x:c>
      <x:c r="F235" s="85" t="n">
        <x:v>0</x:v>
      </x:c>
      <x:c r="G235" s="85" t="n">
        <x:v>0</x:v>
      </x:c>
      <x:c r="H235" s="85" t="n">
        <x:v>0</x:v>
      </x:c>
    </x:row>
    <x:row r="236" ht="22" customHeight="1">
      <x:c r="A236" s="85" t="n">
        <x:v>232</x:v>
      </x:c>
      <x:c r="B236" s="82" t="str">
        <x:v>Michael Rasmussen</x:v>
      </x:c>
      <x:c r="C236" s="85" t="n">
        <x:v>0</x:v>
      </x:c>
      <x:c r="D236" s="85" t="n">
        <x:v>0</x:v>
      </x:c>
      <x:c r="E236" s="85" t="n">
        <x:v>0</x:v>
      </x:c>
      <x:c r="F236" s="85" t="n">
        <x:v>0</x:v>
      </x:c>
      <x:c r="G236" s="85" t="n">
        <x:v>0</x:v>
      </x:c>
      <x:c r="H236" s="85" t="n">
        <x:v>0</x:v>
      </x:c>
    </x:row>
    <x:row r="237" ht="22" customHeight="1">
      <x:c r="A237" s="85" t="n">
        <x:v>233</x:v>
      </x:c>
      <x:c r="B237" s="82" t="str">
        <x:v>Isaac del Toro</x:v>
      </x:c>
      <x:c r="C237" s="85" t="n">
        <x:v>0</x:v>
      </x:c>
      <x:c r="D237" s="85" t="n">
        <x:v>0</x:v>
      </x:c>
      <x:c r="E237" s="85" t="n">
        <x:v>0</x:v>
      </x:c>
      <x:c r="F237" s="85" t="n">
        <x:v>0</x:v>
      </x:c>
      <x:c r="G237" s="85" t="n">
        <x:v>0</x:v>
      </x:c>
      <x:c r="H237" s="85" t="n">
        <x:v>0</x:v>
      </x:c>
    </x:row>
    <x:row r="238" ht="22" customHeight="1">
      <x:c r="A238" s="85" t="n">
        <x:v>234</x:v>
      </x:c>
      <x:c r="B238" s="82" t="str">
        <x:v>Paul Seixas</x:v>
      </x:c>
      <x:c r="C238" s="85" t="n">
        <x:v>0</x:v>
      </x:c>
      <x:c r="D238" s="85" t="n">
        <x:v>0</x:v>
      </x:c>
      <x:c r="E238" s="85" t="n">
        <x:v>0</x:v>
      </x:c>
      <x:c r="F238" s="85" t="n">
        <x:v>0</x:v>
      </x:c>
      <x:c r="G238" s="85" t="n">
        <x:v>0</x:v>
      </x:c>
      <x:c r="H238" s="85" t="n">
        <x:v>0</x:v>
      </x:c>
    </x:row>
    <x:row r="239" ht="22" customHeight="1">
      <x:c r="A239" s="85" t="n">
        <x:v>235</x:v>
      </x:c>
      <x:c r="B239" s="82" t="str">
        <x:v>Giulio Pellizzari</x:v>
      </x:c>
      <x:c r="C239" s="85" t="n">
        <x:v>0</x:v>
      </x:c>
      <x:c r="D239" s="85" t="n">
        <x:v>0</x:v>
      </x:c>
      <x:c r="E239" s="85" t="n">
        <x:v>0</x:v>
      </x:c>
      <x:c r="F239" s="85" t="n">
        <x:v>0</x:v>
      </x:c>
      <x:c r="G239" s="85" t="n">
        <x:v>0</x:v>
      </x:c>
      <x:c r="H239" s="85" t="n">
        <x:v>0</x:v>
      </x:c>
    </x:row>
    <x:row r="240" ht="22" customHeight="1">
      <x:c r="A240" s="85" t="n">
        <x:v>236</x:v>
      </x:c>
      <x:c r="B240" s="82" t="str">
        <x:v>Antonio Tiberi</x:v>
      </x:c>
      <x:c r="C240" s="85" t="n">
        <x:v>0</x:v>
      </x:c>
      <x:c r="D240" s="85" t="n">
        <x:v>0</x:v>
      </x:c>
      <x:c r="E240" s="85" t="n">
        <x:v>0</x:v>
      </x:c>
      <x:c r="F240" s="85" t="n">
        <x:v>0</x:v>
      </x:c>
      <x:c r="G240" s="85" t="n">
        <x:v>0</x:v>
      </x:c>
      <x:c r="H240" s="85" t="n">
        <x:v>0</x:v>
      </x:c>
    </x:row>
    <x:row r="241" ht="22" customHeight="1">
      <x:c r="A241" s="85" t="n">
        <x:v>237</x:v>
      </x:c>
      <x:c r="B241" s="82" t="str">
        <x:v>Florian Lipowitz</x:v>
      </x:c>
      <x:c r="C241" s="85" t="n">
        <x:v>0</x:v>
      </x:c>
      <x:c r="D241" s="85" t="n">
        <x:v>0</x:v>
      </x:c>
      <x:c r="E241" s="85" t="n">
        <x:v>0</x:v>
      </x:c>
      <x:c r="F241" s="85" t="n">
        <x:v>0</x:v>
      </x:c>
      <x:c r="G241" s="85" t="n">
        <x:v>0</x:v>
      </x:c>
      <x:c r="H241" s="85" t="n">
        <x:v>0</x:v>
      </x:c>
    </x:row>
    <x:row r="242" ht="22" customHeight="1">
      <x:c r="A242" s="85" t="n">
        <x:v>238</x:v>
      </x:c>
      <x:c r="B242" s="82" t="str">
        <x:v>Lenny Martinez</x:v>
      </x:c>
      <x:c r="C242" s="85" t="n">
        <x:v>0</x:v>
      </x:c>
      <x:c r="D242" s="85" t="n">
        <x:v>0</x:v>
      </x:c>
      <x:c r="E242" s="85" t="n">
        <x:v>0</x:v>
      </x:c>
      <x:c r="F242" s="85" t="n">
        <x:v>0</x:v>
      </x:c>
      <x:c r="G242" s="85" t="n">
        <x:v>0</x:v>
      </x:c>
      <x:c r="H242" s="85" t="n">
        <x:v>0</x:v>
      </x:c>
    </x:row>
    <x:row r="243" ht="22" customHeight="1">
      <x:c r="A243" s="85" t="n">
        <x:v>239</x:v>
      </x:c>
      <x:c r="B243" s="82" t="str">
        <x:v>Mattias Skjelmose</x:v>
      </x:c>
      <x:c r="C243" s="85" t="n">
        <x:v>0</x:v>
      </x:c>
      <x:c r="D243" s="85" t="n">
        <x:v>0</x:v>
      </x:c>
      <x:c r="E243" s="85" t="n">
        <x:v>0</x:v>
      </x:c>
      <x:c r="F243" s="85" t="n">
        <x:v>0</x:v>
      </x:c>
      <x:c r="G243" s="85" t="n">
        <x:v>0</x:v>
      </x:c>
      <x:c r="H243" s="85" t="n">
        <x:v>0</x:v>
      </x:c>
    </x:row>
    <x:row r="244" ht="22" customHeight="1">
      <x:c r="A244" s="85" t="n">
        <x:v>240</x:v>
      </x:c>
      <x:c r="B244" s="82" t="str">
        <x:v>Oscar Onley</x:v>
      </x:c>
      <x:c r="C244" s="85" t="n">
        <x:v>0</x:v>
      </x:c>
      <x:c r="D244" s="85" t="n">
        <x:v>0</x:v>
      </x:c>
      <x:c r="E244" s="85" t="n">
        <x:v>0</x:v>
      </x:c>
      <x:c r="F244" s="85" t="n">
        <x:v>0</x:v>
      </x:c>
      <x:c r="G244" s="85" t="n">
        <x:v>0</x:v>
      </x:c>
      <x:c r="H244" s="85" t="n">
        <x:v>0</x:v>
      </x:c>
    </x:row>
    <x:row r="245" ht="22" customHeight="1">
      <x:c r="A245" s="85" t="n">
        <x:v>241</x:v>
      </x:c>
      <x:c r="B245" s="82" t="str">
        <x:v>Oscar Freire</x:v>
      </x:c>
      <x:c r="C245" s="85" t="n">
        <x:v>3</x:v>
      </x:c>
      <x:c r="D245" s="85" t="n">
        <x:v>0</x:v>
      </x:c>
      <x:c r="E245" s="85" t="n">
        <x:v>0</x:v>
      </x:c>
      <x:c r="F245" s="85" t="n">
        <x:v>0</x:v>
      </x:c>
      <x:c r="G245" s="85" t="n">
        <x:v>0</x:v>
      </x:c>
      <x:c r="H245" s="85" t="n">
        <x:v>3</x:v>
      </x:c>
    </x:row>
    <x:row r="246" ht="22" customHeight="1">
      <x:c r="A246" s="85" t="n">
        <x:v>242</x:v>
      </x:c>
      <x:c r="B246" s="82" t="str">
        <x:v>Thor Hushovd</x:v>
      </x:c>
      <x:c r="C246" s="85" t="n">
        <x:v>0</x:v>
      </x:c>
      <x:c r="D246" s="85" t="n">
        <x:v>0</x:v>
      </x:c>
      <x:c r="E246" s="85" t="n">
        <x:v>0</x:v>
      </x:c>
      <x:c r="F246" s="85" t="n">
        <x:v>0</x:v>
      </x:c>
      <x:c r="G246" s="85" t="n">
        <x:v>0</x:v>
      </x:c>
      <x:c r="H246" s="85" t="n">
        <x:v>0</x:v>
      </x:c>
    </x:row>
    <x:row r="247" ht="22" customHeight="1">
      <x:c r="A247" s="85" t="n">
        <x:v>243</x:v>
      </x:c>
      <x:c r="B247" s="82" t="str">
        <x:v>Alexander Kristoff</x:v>
      </x:c>
      <x:c r="C247" s="85" t="n">
        <x:v>1</x:v>
      </x:c>
      <x:c r="D247" s="85" t="n">
        <x:v>1</x:v>
      </x:c>
      <x:c r="E247" s="85" t="n">
        <x:v>0</x:v>
      </x:c>
      <x:c r="F247" s="85" t="n">
        <x:v>0</x:v>
      </x:c>
      <x:c r="G247" s="85" t="n">
        <x:v>0</x:v>
      </x:c>
      <x:c r="H247" s="85" t="n">
        <x:v>2</x:v>
      </x:c>
    </x:row>
    <x:row r="248" ht="22" customHeight="1">
      <x:c r="A248" s="85" t="n">
        <x:v>244</x:v>
      </x:c>
      <x:c r="B248" s="82" t="str">
        <x:v>Arnaud Demare</x:v>
      </x:c>
      <x:c r="C248" s="85" t="n">
        <x:v>1</x:v>
      </x:c>
      <x:c r="D248" s="85" t="n">
        <x:v>0</x:v>
      </x:c>
      <x:c r="E248" s="85" t="n">
        <x:v>0</x:v>
      </x:c>
      <x:c r="F248" s="85" t="n">
        <x:v>0</x:v>
      </x:c>
      <x:c r="G248" s="85" t="n">
        <x:v>0</x:v>
      </x:c>
      <x:c r="H248" s="85" t="n">
        <x:v>1</x:v>
      </x:c>
    </x:row>
    <x:row r="249" ht="22" customHeight="1">
      <x:c r="A249" s="85" t="n">
        <x:v>245</x:v>
      </x:c>
      <x:c r="B249" s="82" t="str">
        <x:v>Caleb Ewan</x:v>
      </x:c>
      <x:c r="C249" s="85" t="n">
        <x:v>0</x:v>
      </x:c>
      <x:c r="D249" s="85" t="n">
        <x:v>0</x:v>
      </x:c>
      <x:c r="E249" s="85" t="n">
        <x:v>0</x:v>
      </x:c>
      <x:c r="F249" s="85" t="n">
        <x:v>0</x:v>
      </x:c>
      <x:c r="G249" s="85" t="n">
        <x:v>0</x:v>
      </x:c>
      <x:c r="H249" s="85" t="n">
        <x:v>0</x:v>
      </x:c>
    </x:row>
    <x:row r="250" ht="22" customHeight="1">
      <x:c r="A250" s="85" t="n">
        <x:v>246</x:v>
      </x:c>
      <x:c r="B250" s="82" t="str">
        <x:v>Sam Bennett</x:v>
      </x:c>
      <x:c r="C250" s="85" t="n">
        <x:v>0</x:v>
      </x:c>
      <x:c r="D250" s="85" t="n">
        <x:v>0</x:v>
      </x:c>
      <x:c r="E250" s="85" t="n">
        <x:v>0</x:v>
      </x:c>
      <x:c r="F250" s="85" t="n">
        <x:v>0</x:v>
      </x:c>
      <x:c r="G250" s="85" t="n">
        <x:v>0</x:v>
      </x:c>
      <x:c r="H250" s="85" t="n">
        <x:v>0</x:v>
      </x:c>
    </x:row>
    <x:row r="251" ht="22" customHeight="1">
      <x:c r="A251" s="85" t="n">
        <x:v>247</x:v>
      </x:c>
      <x:c r="B251" s="82" t="str">
        <x:v>Elia Viviani</x:v>
      </x:c>
      <x:c r="C251" s="85" t="n">
        <x:v>0</x:v>
      </x:c>
      <x:c r="D251" s="85" t="n">
        <x:v>0</x:v>
      </x:c>
      <x:c r="E251" s="85" t="n">
        <x:v>0</x:v>
      </x:c>
      <x:c r="F251" s="85" t="n">
        <x:v>0</x:v>
      </x:c>
      <x:c r="G251" s="85" t="n">
        <x:v>0</x:v>
      </x:c>
      <x:c r="H251" s="85" t="n">
        <x:v>0</x:v>
      </x:c>
    </x:row>
    <x:row r="252" ht="22" customHeight="1">
      <x:c r="A252" s="85" t="n">
        <x:v>248</x:v>
      </x:c>
      <x:c r="B252" s="82" t="str">
        <x:v>Dylan Groenewegen</x:v>
      </x:c>
      <x:c r="C252" s="85" t="n">
        <x:v>0</x:v>
      </x:c>
      <x:c r="D252" s="85" t="n">
        <x:v>0</x:v>
      </x:c>
      <x:c r="E252" s="85" t="n">
        <x:v>0</x:v>
      </x:c>
      <x:c r="F252" s="85" t="n">
        <x:v>0</x:v>
      </x:c>
      <x:c r="G252" s="85" t="n">
        <x:v>0</x:v>
      </x:c>
      <x:c r="H252" s="85" t="n">
        <x:v>0</x:v>
      </x:c>
    </x:row>
    <x:row r="253" ht="22" customHeight="1">
      <x:c r="A253" s="85" t="n">
        <x:v>249</x:v>
      </x:c>
      <x:c r="B253" s="82" t="str">
        <x:v>Fabio Jakobsen</x:v>
      </x:c>
      <x:c r="C253" s="85" t="n">
        <x:v>0</x:v>
      </x:c>
      <x:c r="D253" s="85" t="n">
        <x:v>0</x:v>
      </x:c>
      <x:c r="E253" s="85" t="n">
        <x:v>0</x:v>
      </x:c>
      <x:c r="F253" s="85" t="n">
        <x:v>0</x:v>
      </x:c>
      <x:c r="G253" s="85" t="n">
        <x:v>0</x:v>
      </x:c>
      <x:c r="H253" s="85" t="n">
        <x:v>0</x:v>
      </x:c>
    </x:row>
    <x:row r="254" ht="22" customHeight="1">
      <x:c r="A254" s="85" t="n">
        <x:v>250</x:v>
      </x:c>
      <x:c r="B254" s="82" t="str">
        <x:v>Tim Merlier</x:v>
      </x:c>
      <x:c r="C254" s="85" t="n">
        <x:v>0</x:v>
      </x:c>
      <x:c r="D254" s="85" t="n">
        <x:v>0</x:v>
      </x:c>
      <x:c r="E254" s="85" t="n">
        <x:v>0</x:v>
      </x:c>
      <x:c r="F254" s="85" t="n">
        <x:v>0</x:v>
      </x:c>
      <x:c r="G254" s="85" t="n">
        <x:v>0</x:v>
      </x:c>
      <x:c r="H254" s="85" t="n">
        <x:v>0</x:v>
      </x:c>
    </x:row>
    <x:row r="255" ht="22" customHeight="1">
      <x:c r="A255" s="85" t="n">
        <x:v>251</x:v>
      </x:c>
      <x:c r="B255" s="82" t="str">
        <x:v>Fernando Gaviria</x:v>
      </x:c>
      <x:c r="C255" s="85" t="n">
        <x:v>0</x:v>
      </x:c>
      <x:c r="D255" s="85" t="n">
        <x:v>0</x:v>
      </x:c>
      <x:c r="E255" s="85" t="n">
        <x:v>0</x:v>
      </x:c>
      <x:c r="F255" s="85" t="n">
        <x:v>0</x:v>
      </x:c>
      <x:c r="G255" s="85" t="n">
        <x:v>0</x:v>
      </x:c>
      <x:c r="H255" s="85" t="n">
        <x:v>0</x:v>
      </x:c>
    </x:row>
    <x:row r="256" ht="22" customHeight="1">
      <x:c r="A256" s="85" t="n">
        <x:v>252</x:v>
      </x:c>
      <x:c r="B256" s="82" t="str">
        <x:v>Nacer Bouhanni</x:v>
      </x:c>
      <x:c r="C256" s="85" t="n">
        <x:v>0</x:v>
      </x:c>
      <x:c r="D256" s="85" t="n">
        <x:v>0</x:v>
      </x:c>
      <x:c r="E256" s="85" t="n">
        <x:v>0</x:v>
      </x:c>
      <x:c r="F256" s="85" t="n">
        <x:v>0</x:v>
      </x:c>
      <x:c r="G256" s="85" t="n">
        <x:v>0</x:v>
      </x:c>
      <x:c r="H256" s="85" t="n">
        <x:v>0</x:v>
      </x:c>
    </x:row>
    <x:row r="257" ht="22" customHeight="1">
      <x:c r="A257" s="85" t="n">
        <x:v>253</x:v>
      </x:c>
      <x:c r="B257" s="82" t="str">
        <x:v>Tom Steels</x:v>
      </x:c>
      <x:c r="C257" s="85" t="n">
        <x:v>0</x:v>
      </x:c>
      <x:c r="D257" s="85" t="n">
        <x:v>0</x:v>
      </x:c>
      <x:c r="E257" s="85" t="n">
        <x:v>0</x:v>
      </x:c>
      <x:c r="F257" s="85" t="n">
        <x:v>0</x:v>
      </x:c>
      <x:c r="G257" s="85" t="n">
        <x:v>0</x:v>
      </x:c>
      <x:c r="H257" s="85" t="n">
        <x:v>0</x:v>
      </x:c>
    </x:row>
    <x:row r="258" ht="22" customHeight="1">
      <x:c r="A258" s="85" t="n">
        <x:v>254</x:v>
      </x:c>
      <x:c r="B258" s="82" t="str">
        <x:v>Djamolidine Abdoujaparov</x:v>
      </x:c>
      <x:c r="C258" s="85" t="n">
        <x:v>0</x:v>
      </x:c>
      <x:c r="D258" s="85" t="n">
        <x:v>0</x:v>
      </x:c>
      <x:c r="E258" s="85" t="n">
        <x:v>0</x:v>
      </x:c>
      <x:c r="F258" s="85" t="n">
        <x:v>0</x:v>
      </x:c>
      <x:c r="G258" s="85" t="n">
        <x:v>0</x:v>
      </x:c>
      <x:c r="H258" s="85" t="n">
        <x:v>0</x:v>
      </x:c>
    </x:row>
    <x:row r="259" ht="22" customHeight="1">
      <x:c r="A259" s="85" t="n">
        <x:v>255</x:v>
      </x:c>
      <x:c r="B259" s="82" t="str">
        <x:v>Daniele Bennati</x:v>
      </x:c>
      <x:c r="C259" s="85" t="n">
        <x:v>0</x:v>
      </x:c>
      <x:c r="D259" s="85" t="n">
        <x:v>0</x:v>
      </x:c>
      <x:c r="E259" s="85" t="n">
        <x:v>0</x:v>
      </x:c>
      <x:c r="F259" s="85" t="n">
        <x:v>0</x:v>
      </x:c>
      <x:c r="G259" s="85" t="n">
        <x:v>0</x:v>
      </x:c>
      <x:c r="H259" s="85" t="n">
        <x:v>0</x:v>
      </x:c>
    </x:row>
    <x:row r="260" ht="22" customHeight="1">
      <x:c r="A260" s="85" t="n">
        <x:v>256</x:v>
      </x:c>
      <x:c r="B260" s="82" t="str">
        <x:v>Tyler Farrar</x:v>
      </x:c>
      <x:c r="C260" s="85" t="n">
        <x:v>0</x:v>
      </x:c>
      <x:c r="D260" s="85" t="n">
        <x:v>0</x:v>
      </x:c>
      <x:c r="E260" s="85" t="n">
        <x:v>0</x:v>
      </x:c>
      <x:c r="F260" s="85" t="n">
        <x:v>0</x:v>
      </x:c>
      <x:c r="G260" s="85" t="n">
        <x:v>0</x:v>
      </x:c>
      <x:c r="H260" s="85" t="n">
        <x:v>0</x:v>
      </x:c>
    </x:row>
    <x:row r="261" ht="22" customHeight="1">
      <x:c r="A261" s="85" t="n">
        <x:v>257</x:v>
      </x:c>
      <x:c r="B261" s="82" t="str">
        <x:v>Juan Sebastian Molano</x:v>
      </x:c>
      <x:c r="C261" s="85" t="n">
        <x:v>0</x:v>
      </x:c>
      <x:c r="D261" s="85" t="n">
        <x:v>0</x:v>
      </x:c>
      <x:c r="E261" s="85" t="n">
        <x:v>0</x:v>
      </x:c>
      <x:c r="F261" s="85" t="n">
        <x:v>0</x:v>
      </x:c>
      <x:c r="G261" s="85" t="n">
        <x:v>0</x:v>
      </x:c>
      <x:c r="H261" s="85" t="n">
        <x:v>0</x:v>
      </x:c>
    </x:row>
    <x:row r="262" ht="22" customHeight="1">
      <x:c r="A262" s="85" t="n">
        <x:v>258</x:v>
      </x:c>
      <x:c r="B262" s="82" t="str">
        <x:v>Pascal Ackermann</x:v>
      </x:c>
      <x:c r="C262" s="85" t="n">
        <x:v>0</x:v>
      </x:c>
      <x:c r="D262" s="85" t="n">
        <x:v>0</x:v>
      </x:c>
      <x:c r="E262" s="85" t="n">
        <x:v>0</x:v>
      </x:c>
      <x:c r="F262" s="85" t="n">
        <x:v>0</x:v>
      </x:c>
      <x:c r="G262" s="85" t="n">
        <x:v>0</x:v>
      </x:c>
      <x:c r="H262" s="85" t="n">
        <x:v>0</x:v>
      </x:c>
    </x:row>
    <x:row r="263" ht="22" customHeight="1">
      <x:c r="A263" s="85" t="n">
        <x:v>259</x:v>
      </x:c>
      <x:c r="B263" s="82" t="str">
        <x:v>Kaden Groves</x:v>
      </x:c>
      <x:c r="C263" s="85" t="n">
        <x:v>0</x:v>
      </x:c>
      <x:c r="D263" s="85" t="n">
        <x:v>0</x:v>
      </x:c>
      <x:c r="E263" s="85" t="n">
        <x:v>0</x:v>
      </x:c>
      <x:c r="F263" s="85" t="n">
        <x:v>0</x:v>
      </x:c>
      <x:c r="G263" s="85" t="n">
        <x:v>0</x:v>
      </x:c>
      <x:c r="H263" s="85" t="n">
        <x:v>0</x:v>
      </x:c>
    </x:row>
    <x:row r="264" ht="22" customHeight="1">
      <x:c r="A264" s="85" t="n">
        <x:v>260</x:v>
      </x:c>
      <x:c r="B264" s="82" t="str">
        <x:v>Jordi Meeus</x:v>
      </x:c>
      <x:c r="C264" s="85" t="n">
        <x:v>0</x:v>
      </x:c>
      <x:c r="D264" s="85" t="n">
        <x:v>0</x:v>
      </x:c>
      <x:c r="E264" s="85" t="n">
        <x:v>0</x:v>
      </x:c>
      <x:c r="F264" s="85" t="n">
        <x:v>0</x:v>
      </x:c>
      <x:c r="G264" s="85" t="n">
        <x:v>0</x:v>
      </x:c>
      <x:c r="H264" s="85" t="n">
        <x:v>0</x:v>
      </x:c>
    </x:row>
    <x:row r="265" ht="22" customHeight="1">
      <x:c r="A265" s="85" t="n">
        <x:v>261</x:v>
      </x:c>
      <x:c r="B265" s="82" t="str">
        <x:v>Matej Mohoric</x:v>
      </x:c>
      <x:c r="C265" s="85" t="n">
        <x:v>1</x:v>
      </x:c>
      <x:c r="D265" s="85" t="n">
        <x:v>0</x:v>
      </x:c>
      <x:c r="E265" s="85" t="n">
        <x:v>0</x:v>
      </x:c>
      <x:c r="F265" s="85" t="n">
        <x:v>0</x:v>
      </x:c>
      <x:c r="G265" s="85" t="n">
        <x:v>0</x:v>
      </x:c>
      <x:c r="H265" s="85" t="n">
        <x:v>1</x:v>
      </x:c>
    </x:row>
    <x:row r="266" ht="22" customHeight="1">
      <x:c r="A266" s="85" t="n">
        <x:v>262</x:v>
      </x:c>
      <x:c r="B266" s="82" t="str">
        <x:v>Jasper Stuyven</x:v>
      </x:c>
      <x:c r="C266" s="85" t="n">
        <x:v>1</x:v>
      </x:c>
      <x:c r="D266" s="85" t="n">
        <x:v>0</x:v>
      </x:c>
      <x:c r="E266" s="85" t="n">
        <x:v>0</x:v>
      </x:c>
      <x:c r="F266" s="85" t="n">
        <x:v>0</x:v>
      </x:c>
      <x:c r="G266" s="85" t="n">
        <x:v>0</x:v>
      </x:c>
      <x:c r="H266" s="85" t="n">
        <x:v>1</x:v>
      </x:c>
    </x:row>
    <x:row r="267" ht="22" customHeight="1">
      <x:c r="A267" s="85" t="n">
        <x:v>263</x:v>
      </x:c>
      <x:c r="B267" s="82" t="str">
        <x:v>Niki Terpstra</x:v>
      </x:c>
      <x:c r="C267" s="85" t="n">
        <x:v>0</x:v>
      </x:c>
      <x:c r="D267" s="85" t="n">
        <x:v>1</x:v>
      </x:c>
      <x:c r="E267" s="85" t="n">
        <x:v>1</x:v>
      </x:c>
      <x:c r="F267" s="85" t="n">
        <x:v>0</x:v>
      </x:c>
      <x:c r="G267" s="85" t="n">
        <x:v>0</x:v>
      </x:c>
      <x:c r="H267" s="85" t="n">
        <x:v>2</x:v>
      </x:c>
    </x:row>
    <x:row r="268" ht="22" customHeight="1">
      <x:c r="A268" s="85" t="n">
        <x:v>264</x:v>
      </x:c>
      <x:c r="B268" s="82" t="str">
        <x:v>Alberto Bettiol</x:v>
      </x:c>
      <x:c r="C268" s="85" t="n">
        <x:v>0</x:v>
      </x:c>
      <x:c r="D268" s="85" t="n">
        <x:v>1</x:v>
      </x:c>
      <x:c r="E268" s="85" t="n">
        <x:v>0</x:v>
      </x:c>
      <x:c r="F268" s="85" t="n">
        <x:v>0</x:v>
      </x:c>
      <x:c r="G268" s="85" t="n">
        <x:v>0</x:v>
      </x:c>
      <x:c r="H268" s="85" t="n">
        <x:v>1</x:v>
      </x:c>
    </x:row>
    <x:row r="269" ht="22" customHeight="1">
      <x:c r="A269" s="85" t="n">
        <x:v>265</x:v>
      </x:c>
      <x:c r="B269" s="82" t="str">
        <x:v>Sonny Colbrelli</x:v>
      </x:c>
      <x:c r="C269" s="85" t="n">
        <x:v>0</x:v>
      </x:c>
      <x:c r="D269" s="85" t="n">
        <x:v>0</x:v>
      </x:c>
      <x:c r="E269" s="85" t="n">
        <x:v>1</x:v>
      </x:c>
      <x:c r="F269" s="85" t="n">
        <x:v>0</x:v>
      </x:c>
      <x:c r="G269" s="85" t="n">
        <x:v>0</x:v>
      </x:c>
      <x:c r="H269" s="85" t="n">
        <x:v>1</x:v>
      </x:c>
    </x:row>
    <x:row r="270" ht="22" customHeight="1">
      <x:c r="A270" s="85" t="n">
        <x:v>266</x:v>
      </x:c>
      <x:c r="B270" s="82" t="str">
        <x:v>Peter Van Petegem</x:v>
      </x:c>
      <x:c r="C270" s="85" t="n">
        <x:v>0</x:v>
      </x:c>
      <x:c r="D270" s="85" t="n">
        <x:v>2</x:v>
      </x:c>
      <x:c r="E270" s="85" t="n">
        <x:v>1</x:v>
      </x:c>
      <x:c r="F270" s="85" t="n">
        <x:v>0</x:v>
      </x:c>
      <x:c r="G270" s="85" t="n">
        <x:v>0</x:v>
      </x:c>
      <x:c r="H270" s="85" t="n">
        <x:v>3</x:v>
      </x:c>
    </x:row>
    <x:row r="271" ht="22" customHeight="1">
      <x:c r="A271" s="85" t="n">
        <x:v>267</x:v>
      </x:c>
      <x:c r="B271" s="82" t="str">
        <x:v>Andrei Tchmil</x:v>
      </x:c>
      <x:c r="C271" s="85" t="n">
        <x:v>1</x:v>
      </x:c>
      <x:c r="D271" s="85" t="n">
        <x:v>1</x:v>
      </x:c>
      <x:c r="E271" s="85" t="n">
        <x:v>1</x:v>
      </x:c>
      <x:c r="F271" s="85" t="n">
        <x:v>0</x:v>
      </x:c>
      <x:c r="G271" s="85" t="n">
        <x:v>0</x:v>
      </x:c>
      <x:c r="H271" s="85" t="n">
        <x:v>3</x:v>
      </x:c>
    </x:row>
    <x:row r="272" ht="22" customHeight="1">
      <x:c r="A272" s="85" t="n">
        <x:v>268</x:v>
      </x:c>
      <x:c r="B272" s="82" t="str">
        <x:v>Andrea Tafi</x:v>
      </x:c>
      <x:c r="C272" s="85" t="n">
        <x:v>0</x:v>
      </x:c>
      <x:c r="D272" s="85" t="n">
        <x:v>1</x:v>
      </x:c>
      <x:c r="E272" s="85" t="n">
        <x:v>1</x:v>
      </x:c>
      <x:c r="F272" s="85" t="n">
        <x:v>0</x:v>
      </x:c>
      <x:c r="G272" s="85" t="n">
        <x:v>1</x:v>
      </x:c>
      <x:c r="H272" s="85" t="n">
        <x:v>3</x:v>
      </x:c>
    </x:row>
    <x:row r="273" ht="22" customHeight="1">
      <x:c r="A273" s="85" t="n">
        <x:v>269</x:v>
      </x:c>
      <x:c r="B273" s="82" t="str">
        <x:v>Franco Ballerini</x:v>
      </x:c>
      <x:c r="C273" s="85" t="n">
        <x:v>0</x:v>
      </x:c>
      <x:c r="D273" s="85" t="n">
        <x:v>0</x:v>
      </x:c>
      <x:c r="E273" s="85" t="n">
        <x:v>2</x:v>
      </x:c>
      <x:c r="F273" s="85" t="n">
        <x:v>0</x:v>
      </x:c>
      <x:c r="G273" s="85" t="n">
        <x:v>0</x:v>
      </x:c>
      <x:c r="H273" s="85" t="n">
        <x:v>2</x:v>
      </x:c>
    </x:row>
    <x:row r="274" ht="22" customHeight="1">
      <x:c r="A274" s="85" t="n">
        <x:v>270</x:v>
      </x:c>
      <x:c r="B274" s="82" t="str">
        <x:v>Magnus Backstedt</x:v>
      </x:c>
      <x:c r="C274" s="85" t="n">
        <x:v>0</x:v>
      </x:c>
      <x:c r="D274" s="85" t="n">
        <x:v>0</x:v>
      </x:c>
      <x:c r="E274" s="85" t="n">
        <x:v>1</x:v>
      </x:c>
      <x:c r="F274" s="85" t="n">
        <x:v>0</x:v>
      </x:c>
      <x:c r="G274" s="85" t="n">
        <x:v>0</x:v>
      </x:c>
      <x:c r="H274" s="85" t="n">
        <x:v>1</x:v>
      </x:c>
    </x:row>
    <x:row r="275" ht="22" customHeight="1">
      <x:c r="A275" s="85" t="n">
        <x:v>271</x:v>
      </x:c>
      <x:c r="B275" s="82" t="str">
        <x:v>Servais Knaven</x:v>
      </x:c>
      <x:c r="C275" s="85" t="n">
        <x:v>0</x:v>
      </x:c>
      <x:c r="D275" s="85" t="n">
        <x:v>0</x:v>
      </x:c>
      <x:c r="E275" s="85" t="n">
        <x:v>1</x:v>
      </x:c>
      <x:c r="F275" s="85" t="n">
        <x:v>0</x:v>
      </x:c>
      <x:c r="G275" s="85" t="n">
        <x:v>0</x:v>
      </x:c>
      <x:c r="H275" s="85" t="n">
        <x:v>1</x:v>
      </x:c>
    </x:row>
    <x:row r="276" ht="22" customHeight="1">
      <x:c r="A276" s="85" t="n">
        <x:v>272</x:v>
      </x:c>
      <x:c r="B276" s="82" t="str">
        <x:v>Johan Vansummeren</x:v>
      </x:c>
      <x:c r="C276" s="85" t="n">
        <x:v>0</x:v>
      </x:c>
      <x:c r="D276" s="85" t="n">
        <x:v>0</x:v>
      </x:c>
      <x:c r="E276" s="85" t="n">
        <x:v>1</x:v>
      </x:c>
      <x:c r="F276" s="85" t="n">
        <x:v>0</x:v>
      </x:c>
      <x:c r="G276" s="85" t="n">
        <x:v>0</x:v>
      </x:c>
      <x:c r="H276" s="85" t="n">
        <x:v>1</x:v>
      </x:c>
    </x:row>
    <x:row r="277" ht="22" customHeight="1">
      <x:c r="A277" s="85" t="n">
        <x:v>273</x:v>
      </x:c>
      <x:c r="B277" s="82" t="str">
        <x:v>Nick Nuyens</x:v>
      </x:c>
      <x:c r="C277" s="85" t="n">
        <x:v>0</x:v>
      </x:c>
      <x:c r="D277" s="85" t="n">
        <x:v>1</x:v>
      </x:c>
      <x:c r="E277" s="85" t="n">
        <x:v>0</x:v>
      </x:c>
      <x:c r="F277" s="85" t="n">
        <x:v>0</x:v>
      </x:c>
      <x:c r="G277" s="85" t="n">
        <x:v>0</x:v>
      </x:c>
      <x:c r="H277" s="85" t="n">
        <x:v>1</x:v>
      </x:c>
    </x:row>
    <x:row r="278" ht="22" customHeight="1">
      <x:c r="A278" s="85" t="n">
        <x:v>274</x:v>
      </x:c>
      <x:c r="B278" s="82" t="str">
        <x:v>Stijn Devolder</x:v>
      </x:c>
      <x:c r="C278" s="85" t="n">
        <x:v>0</x:v>
      </x:c>
      <x:c r="D278" s="85" t="n">
        <x:v>2</x:v>
      </x:c>
      <x:c r="E278" s="85" t="n">
        <x:v>0</x:v>
      </x:c>
      <x:c r="F278" s="85" t="n">
        <x:v>0</x:v>
      </x:c>
      <x:c r="G278" s="85" t="n">
        <x:v>0</x:v>
      </x:c>
      <x:c r="H278" s="85" t="n">
        <x:v>2</x:v>
      </x:c>
    </x:row>
    <x:row r="279" ht="22" customHeight="1">
      <x:c r="A279" s="85" t="n">
        <x:v>275</x:v>
      </x:c>
      <x:c r="B279" s="82" t="str">
        <x:v>Steffen Wesemann</x:v>
      </x:c>
      <x:c r="C279" s="85" t="n">
        <x:v>0</x:v>
      </x:c>
      <x:c r="D279" s="85" t="n">
        <x:v>1</x:v>
      </x:c>
      <x:c r="E279" s="85" t="n">
        <x:v>0</x:v>
      </x:c>
      <x:c r="F279" s="85" t="n">
        <x:v>0</x:v>
      </x:c>
      <x:c r="G279" s="85" t="n">
        <x:v>0</x:v>
      </x:c>
      <x:c r="H279" s="85" t="n">
        <x:v>1</x:v>
      </x:c>
    </x:row>
    <x:row r="280" ht="22" customHeight="1">
      <x:c r="A280" s="85" t="n">
        <x:v>276</x:v>
      </x:c>
      <x:c r="B280" s="82" t="str">
        <x:v>Filippo Pozzato</x:v>
      </x:c>
      <x:c r="C280" s="85" t="n">
        <x:v>1</x:v>
      </x:c>
      <x:c r="D280" s="85" t="n">
        <x:v>0</x:v>
      </x:c>
      <x:c r="E280" s="85" t="n">
        <x:v>0</x:v>
      </x:c>
      <x:c r="F280" s="85" t="n">
        <x:v>0</x:v>
      </x:c>
      <x:c r="G280" s="85" t="n">
        <x:v>0</x:v>
      </x:c>
      <x:c r="H280" s="85" t="n">
        <x:v>1</x:v>
      </x:c>
    </x:row>
    <x:row r="281" ht="22" customHeight="1">
      <x:c r="A281" s="85" t="n">
        <x:v>277</x:v>
      </x:c>
      <x:c r="B281" s="82" t="str">
        <x:v>Tiesj Benoot</x:v>
      </x:c>
      <x:c r="C281" s="85" t="n">
        <x:v>0</x:v>
      </x:c>
      <x:c r="D281" s="85" t="n">
        <x:v>0</x:v>
      </x:c>
      <x:c r="E281" s="85" t="n">
        <x:v>0</x:v>
      </x:c>
      <x:c r="F281" s="85" t="n">
        <x:v>0</x:v>
      </x:c>
      <x:c r="G281" s="85" t="n">
        <x:v>0</x:v>
      </x:c>
      <x:c r="H281" s="85" t="n">
        <x:v>0</x:v>
      </x:c>
    </x:row>
    <x:row r="282" ht="22" customHeight="1">
      <x:c r="A282" s="85" t="n">
        <x:v>278</x:v>
      </x:c>
      <x:c r="B282" s="82" t="str">
        <x:v>Dylan Teuns</x:v>
      </x:c>
      <x:c r="C282" s="85" t="n">
        <x:v>0</x:v>
      </x:c>
      <x:c r="D282" s="85" t="n">
        <x:v>0</x:v>
      </x:c>
      <x:c r="E282" s="85" t="n">
        <x:v>0</x:v>
      </x:c>
      <x:c r="F282" s="85" t="n">
        <x:v>0</x:v>
      </x:c>
      <x:c r="G282" s="85" t="n">
        <x:v>0</x:v>
      </x:c>
      <x:c r="H282" s="85" t="n">
        <x:v>0</x:v>
      </x:c>
    </x:row>
    <x:row r="283" ht="22" customHeight="1">
      <x:c r="A283" s="85" t="n">
        <x:v>279</x:v>
      </x:c>
      <x:c r="B283" s="82" t="str">
        <x:v>Tim Wellens</x:v>
      </x:c>
      <x:c r="C283" s="85" t="n">
        <x:v>0</x:v>
      </x:c>
      <x:c r="D283" s="85" t="n">
        <x:v>0</x:v>
      </x:c>
      <x:c r="E283" s="85" t="n">
        <x:v>0</x:v>
      </x:c>
      <x:c r="F283" s="85" t="n">
        <x:v>0</x:v>
      </x:c>
      <x:c r="G283" s="85" t="n">
        <x:v>0</x:v>
      </x:c>
      <x:c r="H283" s="85" t="n">
        <x:v>0</x:v>
      </x:c>
    </x:row>
    <x:row r="284" ht="22" customHeight="1">
      <x:c r="A284" s="85" t="n">
        <x:v>280</x:v>
      </x:c>
      <x:c r="B284" s="82" t="str">
        <x:v>Jhonatan Narvaez</x:v>
      </x:c>
      <x:c r="C284" s="85" t="n">
        <x:v>0</x:v>
      </x:c>
      <x:c r="D284" s="85" t="n">
        <x:v>0</x:v>
      </x:c>
      <x:c r="E284" s="85" t="n">
        <x:v>0</x:v>
      </x:c>
      <x:c r="F284" s="85" t="n">
        <x:v>0</x:v>
      </x:c>
      <x:c r="G284" s="85" t="n">
        <x:v>0</x:v>
      </x:c>
      <x:c r="H284" s="85" t="n">
        <x:v>0</x:v>
      </x:c>
    </x:row>
    <x:row r="285" ht="22" customHeight="1">
      <x:c r="A285" s="85" t="n">
        <x:v>281</x:v>
      </x:c>
      <x:c r="B285" s="82" t="str">
        <x:v>Daniel Martin</x:v>
      </x:c>
      <x:c r="C285" s="85" t="n">
        <x:v>0</x:v>
      </x:c>
      <x:c r="D285" s="85" t="n">
        <x:v>0</x:v>
      </x:c>
      <x:c r="E285" s="85" t="n">
        <x:v>0</x:v>
      </x:c>
      <x:c r="F285" s="85" t="n">
        <x:v>1</x:v>
      </x:c>
      <x:c r="G285" s="85" t="n">
        <x:v>1</x:v>
      </x:c>
      <x:c r="H285" s="85" t="n">
        <x:v>2</x:v>
      </x:c>
    </x:row>
    <x:row r="286" ht="22" customHeight="1">
      <x:c r="A286" s="85" t="n">
        <x:v>282</x:v>
      </x:c>
      <x:c r="B286" s="82" t="str">
        <x:v>Jakob Fuglsang</x:v>
      </x:c>
      <x:c r="C286" s="85" t="n">
        <x:v>0</x:v>
      </x:c>
      <x:c r="D286" s="85" t="n">
        <x:v>0</x:v>
      </x:c>
      <x:c r="E286" s="85" t="n">
        <x:v>0</x:v>
      </x:c>
      <x:c r="F286" s="85" t="n">
        <x:v>1</x:v>
      </x:c>
      <x:c r="G286" s="85" t="n">
        <x:v>1</x:v>
      </x:c>
      <x:c r="H286" s="85" t="n">
        <x:v>2</x:v>
      </x:c>
    </x:row>
    <x:row r="287" ht="22" customHeight="1">
      <x:c r="A287" s="85" t="n">
        <x:v>283</x:v>
      </x:c>
      <x:c r="B287" s="82" t="str">
        <x:v>Michael Woods</x:v>
      </x:c>
      <x:c r="C287" s="85" t="n">
        <x:v>0</x:v>
      </x:c>
      <x:c r="D287" s="85" t="n">
        <x:v>0</x:v>
      </x:c>
      <x:c r="E287" s="85" t="n">
        <x:v>0</x:v>
      </x:c>
      <x:c r="F287" s="85" t="n">
        <x:v>0</x:v>
      </x:c>
      <x:c r="G287" s="85" t="n">
        <x:v>0</x:v>
      </x:c>
      <x:c r="H287" s="85" t="n">
        <x:v>0</x:v>
      </x:c>
    </x:row>
    <x:row r="288" ht="22" customHeight="1">
      <x:c r="A288" s="85" t="n">
        <x:v>284</x:v>
      </x:c>
      <x:c r="B288" s="82" t="str">
        <x:v>Marc Hirschi</x:v>
      </x:c>
      <x:c r="C288" s="85" t="n">
        <x:v>0</x:v>
      </x:c>
      <x:c r="D288" s="85" t="n">
        <x:v>0</x:v>
      </x:c>
      <x:c r="E288" s="85" t="n">
        <x:v>0</x:v>
      </x:c>
      <x:c r="F288" s="85" t="n">
        <x:v>0</x:v>
      </x:c>
      <x:c r="G288" s="85" t="n">
        <x:v>0</x:v>
      </x:c>
      <x:c r="H288" s="85" t="n">
        <x:v>0</x:v>
      </x:c>
    </x:row>
    <x:row r="289" ht="22" customHeight="1">
      <x:c r="A289" s="85" t="n">
        <x:v>285</x:v>
      </x:c>
      <x:c r="B289" s="82" t="str">
        <x:v>Benoit Cosnefroy</x:v>
      </x:c>
      <x:c r="C289" s="85" t="n">
        <x:v>0</x:v>
      </x:c>
      <x:c r="D289" s="85" t="n">
        <x:v>0</x:v>
      </x:c>
      <x:c r="E289" s="85" t="n">
        <x:v>0</x:v>
      </x:c>
      <x:c r="F289" s="85" t="n">
        <x:v>0</x:v>
      </x:c>
      <x:c r="G289" s="85" t="n">
        <x:v>0</x:v>
      </x:c>
      <x:c r="H289" s="85" t="n">
        <x:v>0</x:v>
      </x:c>
    </x:row>
    <x:row r="290" ht="22" customHeight="1">
      <x:c r="A290" s="85" t="n">
        <x:v>286</x:v>
      </x:c>
      <x:c r="B290" s="82" t="str">
        <x:v>Valentin Madouas</x:v>
      </x:c>
      <x:c r="C290" s="85" t="n">
        <x:v>0</x:v>
      </x:c>
      <x:c r="D290" s="85" t="n">
        <x:v>0</x:v>
      </x:c>
      <x:c r="E290" s="85" t="n">
        <x:v>0</x:v>
      </x:c>
      <x:c r="F290" s="85" t="n">
        <x:v>0</x:v>
      </x:c>
      <x:c r="G290" s="85" t="n">
        <x:v>0</x:v>
      </x:c>
      <x:c r="H290" s="85" t="n">
        <x:v>0</x:v>
      </x:c>
    </x:row>
    <x:row r="291" ht="22" customHeight="1">
      <x:c r="A291" s="85" t="n">
        <x:v>287</x:v>
      </x:c>
      <x:c r="B291" s="82" t="str">
        <x:v>Romain Gregoire</x:v>
      </x:c>
      <x:c r="C291" s="85" t="n">
        <x:v>0</x:v>
      </x:c>
      <x:c r="D291" s="85" t="n">
        <x:v>0</x:v>
      </x:c>
      <x:c r="E291" s="85" t="n">
        <x:v>0</x:v>
      </x:c>
      <x:c r="F291" s="85" t="n">
        <x:v>0</x:v>
      </x:c>
      <x:c r="G291" s="85" t="n">
        <x:v>0</x:v>
      </x:c>
      <x:c r="H291" s="85" t="n">
        <x:v>0</x:v>
      </x:c>
    </x:row>
    <x:row r="292" ht="22" customHeight="1">
      <x:c r="A292" s="85" t="n">
        <x:v>288</x:v>
      </x:c>
      <x:c r="B292" s="82" t="str">
        <x:v>Maxim Van Gils</x:v>
      </x:c>
      <x:c r="C292" s="85" t="n">
        <x:v>0</x:v>
      </x:c>
      <x:c r="D292" s="85" t="n">
        <x:v>0</x:v>
      </x:c>
      <x:c r="E292" s="85" t="n">
        <x:v>0</x:v>
      </x:c>
      <x:c r="F292" s="85" t="n">
        <x:v>0</x:v>
      </x:c>
      <x:c r="G292" s="85" t="n">
        <x:v>0</x:v>
      </x:c>
      <x:c r="H292" s="85" t="n">
        <x:v>0</x:v>
      </x:c>
    </x:row>
    <x:row r="293" ht="22" customHeight="1">
      <x:c r="A293" s="85" t="n">
        <x:v>289</x:v>
      </x:c>
      <x:c r="B293" s="82" t="str">
        <x:v>Rui Costa</x:v>
      </x:c>
      <x:c r="C293" s="85" t="n">
        <x:v>0</x:v>
      </x:c>
      <x:c r="D293" s="85" t="n">
        <x:v>0</x:v>
      </x:c>
      <x:c r="E293" s="85" t="n">
        <x:v>0</x:v>
      </x:c>
      <x:c r="F293" s="85" t="n">
        <x:v>0</x:v>
      </x:c>
      <x:c r="G293" s="85" t="n">
        <x:v>0</x:v>
      </x:c>
      <x:c r="H293" s="85" t="n">
        <x:v>0</x:v>
      </x:c>
    </x:row>
    <x:row r="294" ht="22" customHeight="1">
      <x:c r="A294" s="85" t="n">
        <x:v>290</x:v>
      </x:c>
      <x:c r="B294" s="82" t="str">
        <x:v>Michael Albasini</x:v>
      </x:c>
      <x:c r="C294" s="85" t="n">
        <x:v>0</x:v>
      </x:c>
      <x:c r="D294" s="85" t="n">
        <x:v>0</x:v>
      </x:c>
      <x:c r="E294" s="85" t="n">
        <x:v>0</x:v>
      </x:c>
      <x:c r="F294" s="85" t="n">
        <x:v>0</x:v>
      </x:c>
      <x:c r="G294" s="85" t="n">
        <x:v>0</x:v>
      </x:c>
      <x:c r="H294" s="85" t="n">
        <x:v>0</x:v>
      </x:c>
    </x:row>
    <x:row r="295" ht="22" customHeight="1">
      <x:c r="A295" s="85" t="n">
        <x:v>291</x:v>
      </x:c>
      <x:c r="B295" s="82" t="str">
        <x:v>Victor Campenaerts</x:v>
      </x:c>
      <x:c r="C295" s="85" t="n">
        <x:v>0</x:v>
      </x:c>
      <x:c r="D295" s="85" t="n">
        <x:v>0</x:v>
      </x:c>
      <x:c r="E295" s="85" t="n">
        <x:v>0</x:v>
      </x:c>
      <x:c r="F295" s="85" t="n">
        <x:v>0</x:v>
      </x:c>
      <x:c r="G295" s="85" t="n">
        <x:v>0</x:v>
      </x:c>
      <x:c r="H295" s="85" t="n">
        <x:v>0</x:v>
      </x:c>
    </x:row>
    <x:row r="296" ht="22" customHeight="1">
      <x:c r="A296" s="85" t="n">
        <x:v>292</x:v>
      </x:c>
      <x:c r="B296" s="82" t="str">
        <x:v>Stefan Bissegger</x:v>
      </x:c>
      <x:c r="C296" s="85" t="n">
        <x:v>0</x:v>
      </x:c>
      <x:c r="D296" s="85" t="n">
        <x:v>0</x:v>
      </x:c>
      <x:c r="E296" s="85" t="n">
        <x:v>0</x:v>
      </x:c>
      <x:c r="F296" s="85" t="n">
        <x:v>0</x:v>
      </x:c>
      <x:c r="G296" s="85" t="n">
        <x:v>0</x:v>
      </x:c>
      <x:c r="H296" s="85" t="n">
        <x:v>0</x:v>
      </x:c>
    </x:row>
    <x:row r="297" ht="22" customHeight="1">
      <x:c r="A297" s="85" t="n">
        <x:v>293</x:v>
      </x:c>
      <x:c r="B297" s="82" t="str">
        <x:v>Joshua Tarling</x:v>
      </x:c>
      <x:c r="C297" s="85" t="n">
        <x:v>0</x:v>
      </x:c>
      <x:c r="D297" s="85" t="n">
        <x:v>0</x:v>
      </x:c>
      <x:c r="E297" s="85" t="n">
        <x:v>0</x:v>
      </x:c>
      <x:c r="F297" s="85" t="n">
        <x:v>0</x:v>
      </x:c>
      <x:c r="G297" s="85" t="n">
        <x:v>0</x:v>
      </x:c>
      <x:c r="H297" s="85" t="n">
        <x:v>0</x:v>
      </x:c>
    </x:row>
    <x:row r="298" ht="22" customHeight="1">
      <x:c r="A298" s="85" t="n">
        <x:v>294</x:v>
      </x:c>
      <x:c r="B298" s="82" t="str">
        <x:v>Soren Waerenskjold</x:v>
      </x:c>
      <x:c r="C298" s="85" t="n">
        <x:v>0</x:v>
      </x:c>
      <x:c r="D298" s="85" t="n">
        <x:v>0</x:v>
      </x:c>
      <x:c r="E298" s="85" t="n">
        <x:v>0</x:v>
      </x:c>
      <x:c r="F298" s="85" t="n">
        <x:v>0</x:v>
      </x:c>
      <x:c r="G298" s="85" t="n">
        <x:v>0</x:v>
      </x:c>
      <x:c r="H298" s="85" t="n">
        <x:v>0</x:v>
      </x:c>
    </x:row>
    <x:row r="299" ht="22" customHeight="1">
      <x:c r="A299" s="85" t="n">
        <x:v>295</x:v>
      </x:c>
      <x:c r="B299" s="82" t="str">
        <x:v>Tobias Ludvigsson</x:v>
      </x:c>
      <x:c r="C299" s="85" t="n">
        <x:v>0</x:v>
      </x:c>
      <x:c r="D299" s="85" t="n">
        <x:v>0</x:v>
      </x:c>
      <x:c r="E299" s="85" t="n">
        <x:v>0</x:v>
      </x:c>
      <x:c r="F299" s="85" t="n">
        <x:v>0</x:v>
      </x:c>
      <x:c r="G299" s="85" t="n">
        <x:v>0</x:v>
      </x:c>
      <x:c r="H299" s="85" t="n">
        <x:v>0</x:v>
      </x:c>
    </x:row>
    <x:row r="300" ht="22" customHeight="1">
      <x:c r="A300" s="85" t="n">
        <x:v>296</x:v>
      </x:c>
      <x:c r="B300" s="82" t="str">
        <x:v>David Zabriskie</x:v>
      </x:c>
      <x:c r="C300" s="85" t="n">
        <x:v>0</x:v>
      </x:c>
      <x:c r="D300" s="85" t="n">
        <x:v>0</x:v>
      </x:c>
      <x:c r="E300" s="85" t="n">
        <x:v>0</x:v>
      </x:c>
      <x:c r="F300" s="85" t="n">
        <x:v>0</x:v>
      </x:c>
      <x:c r="G300" s="85" t="n">
        <x:v>0</x:v>
      </x:c>
      <x:c r="H300" s="85" t="n">
        <x:v>0</x:v>
      </x:c>
    </x:row>
    <x:row r="301" ht="22" customHeight="1">
      <x:c r="A301" s="85" t="n">
        <x:v>297</x:v>
      </x:c>
      <x:c r="B301" s="82" t="str">
        <x:v>Gustav Erik Larsson</x:v>
      </x:c>
      <x:c r="C301" s="85" t="n">
        <x:v>0</x:v>
      </x:c>
      <x:c r="D301" s="85" t="n">
        <x:v>0</x:v>
      </x:c>
      <x:c r="E301" s="85" t="n">
        <x:v>0</x:v>
      </x:c>
      <x:c r="F301" s="85" t="n">
        <x:v>0</x:v>
      </x:c>
      <x:c r="G301" s="85" t="n">
        <x:v>0</x:v>
      </x:c>
      <x:c r="H301" s="85" t="n">
        <x:v>0</x:v>
      </x:c>
    </x:row>
    <x:row r="302" ht="22" customHeight="1">
      <x:c r="A302" s="85" t="n">
        <x:v>298</x:v>
      </x:c>
      <x:c r="B302" s="82" t="str">
        <x:v>Levi Leipheimer</x:v>
      </x:c>
      <x:c r="C302" s="85" t="n">
        <x:v>0</x:v>
      </x:c>
      <x:c r="D302" s="85" t="n">
        <x:v>0</x:v>
      </x:c>
      <x:c r="E302" s="85" t="n">
        <x:v>0</x:v>
      </x:c>
      <x:c r="F302" s="85" t="n">
        <x:v>0</x:v>
      </x:c>
      <x:c r="G302" s="85" t="n">
        <x:v>0</x:v>
      </x:c>
      <x:c r="H302" s="85" t="n">
        <x:v>0</x:v>
      </x:c>
    </x:row>
    <x:row r="303" ht="22" customHeight="1">
      <x:c r="A303" s="85" t="n">
        <x:v>299</x:v>
      </x:c>
      <x:c r="B303" s="82" t="str">
        <x:v>Andreas Kloden</x:v>
      </x:c>
      <x:c r="C303" s="85" t="n">
        <x:v>0</x:v>
      </x:c>
      <x:c r="D303" s="85" t="n">
        <x:v>0</x:v>
      </x:c>
      <x:c r="E303" s="85" t="n">
        <x:v>0</x:v>
      </x:c>
      <x:c r="F303" s="85" t="n">
        <x:v>0</x:v>
      </x:c>
      <x:c r="G303" s="85" t="n">
        <x:v>0</x:v>
      </x:c>
      <x:c r="H303" s="85" t="n">
        <x:v>0</x:v>
      </x:c>
    </x:row>
    <x:row r="304" ht="22" customHeight="1">
      <x:c r="A304" s="86" t="n">
        <x:v>300</x:v>
      </x:c>
      <x:c r="B304" s="83" t="str">
        <x:v>Jose Azevedo</x:v>
      </x:c>
      <x:c r="C304" s="86" t="n">
        <x:v>0</x:v>
      </x:c>
      <x:c r="D304" s="86" t="n">
        <x:v>0</x:v>
      </x:c>
      <x:c r="E304" s="86" t="n">
        <x:v>0</x:v>
      </x:c>
      <x:c r="F304" s="86" t="n">
        <x:v>0</x:v>
      </x:c>
      <x:c r="G304" s="86" t="n">
        <x:v>0</x:v>
      </x:c>
      <x:c r="H304" s="86" t="n">
        <x:v>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e4c6aae51e947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1" hidden="0" customWidth="1"/>
    <x:col min="12" max="12" width="11" hidden="0" customWidth="1"/>
    <x:col min="13" max="13" width="12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</x:cols>
  <x:sheetData>
    <x:row r="1" ht="38" customHeight="1">
      <x:c r="A1" s="3" t="str">
        <x:v>グランツール実績 — 全300名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6" t="str">
        <x:v>総合・個人ステージ勝利・最終ポイント賞・最終山岳賞・最終新人賞。ツール2025、ジロ2026、ブエルタ2025終了時点。TTTは個人勝利に含めない。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22" customHeight="1"/>
    <x:row r="4" ht="38" customHeight="1">
      <x:c r="A4" s="15" t="str">
        <x:v>No.</x:v>
      </x:c>
      <x:c r="B4" s="20" t="str">
        <x:v>実在選手名</x:v>
      </x:c>
      <x:c r="C4" s="20" t="str">
        <x:v>Tour総合</x:v>
      </x:c>
      <x:c r="D4" s="20" t="str">
        <x:v>Tourステージ</x:v>
      </x:c>
      <x:c r="E4" s="20" t="str">
        <x:v>Tourポイント</x:v>
      </x:c>
      <x:c r="F4" s="20" t="str">
        <x:v>Tour山岳</x:v>
      </x:c>
      <x:c r="G4" s="20" t="str">
        <x:v>Tour新人</x:v>
      </x:c>
      <x:c r="H4" s="20" t="str">
        <x:v>Giro総合</x:v>
      </x:c>
      <x:c r="I4" s="20" t="str">
        <x:v>Giroステージ</x:v>
      </x:c>
      <x:c r="J4" s="20" t="str">
        <x:v>Giroポイント</x:v>
      </x:c>
      <x:c r="K4" s="20" t="str">
        <x:v>Giro山岳</x:v>
      </x:c>
      <x:c r="L4" s="20" t="str">
        <x:v>Giro新人</x:v>
      </x:c>
      <x:c r="M4" s="20" t="str">
        <x:v>Vuelta総合</x:v>
      </x:c>
      <x:c r="N4" s="20" t="str">
        <x:v>Vueltaステージ</x:v>
      </x:c>
      <x:c r="O4" s="20" t="str">
        <x:v>Vueltaポイント</x:v>
      </x:c>
      <x:c r="P4" s="20" t="str">
        <x:v>Vuelta山岳</x:v>
      </x:c>
      <x:c r="Q4" s="16" t="str">
        <x:v>Vuelta新人</x:v>
      </x:c>
    </x:row>
    <x:row r="5" ht="22" customHeight="1">
      <x:c r="A5" s="84" t="n">
        <x:v>1</x:v>
      </x:c>
      <x:c r="B5" s="81" t="str">
        <x:v>Jan Ullrich</x:v>
      </x:c>
      <x:c r="C5" s="84" t="n">
        <x:v>1</x:v>
      </x:c>
      <x:c r="D5" s="84" t="n">
        <x:v>7</x:v>
      </x:c>
      <x:c r="E5" s="84" t="n">
        <x:v>0</x:v>
      </x:c>
      <x:c r="F5" s="84" t="n">
        <x:v>0</x:v>
      </x:c>
      <x:c r="G5" s="84" t="n">
        <x:v>3</x:v>
      </x:c>
      <x:c r="H5" s="84" t="n">
        <x:v>0</x:v>
      </x:c>
      <x:c r="I5" s="84" t="n">
        <x:v>1</x:v>
      </x:c>
      <x:c r="J5" s="84" t="n">
        <x:v>0</x:v>
      </x:c>
      <x:c r="K5" s="84" t="n">
        <x:v>0</x:v>
      </x:c>
      <x:c r="L5" s="84" t="n">
        <x:v>0</x:v>
      </x:c>
      <x:c r="M5" s="84" t="n">
        <x:v>1</x:v>
      </x:c>
      <x:c r="N5" s="84" t="n">
        <x:v>2</x:v>
      </x:c>
      <x:c r="O5" s="84" t="n">
        <x:v>0</x:v>
      </x:c>
      <x:c r="P5" s="84" t="n">
        <x:v>0</x:v>
      </x:c>
      <x:c r="Q5" s="84" t="n">
        <x:v>0</x:v>
      </x:c>
    </x:row>
    <x:row r="6" ht="22" customHeight="1">
      <x:c r="A6" s="85" t="n">
        <x:v>2</x:v>
      </x:c>
      <x:c r="B6" s="82" t="str">
        <x:v>Primoz Roglic</x:v>
      </x:c>
      <x:c r="C6" s="85" t="n">
        <x:v>0</x:v>
      </x:c>
      <x:c r="D6" s="85" t="n">
        <x:v>3</x:v>
      </x:c>
      <x:c r="E6" s="85" t="n">
        <x:v>0</x:v>
      </x:c>
      <x:c r="F6" s="85" t="n">
        <x:v>0</x:v>
      </x:c>
      <x:c r="G6" s="85" t="n">
        <x:v>0</x:v>
      </x:c>
      <x:c r="H6" s="85" t="n">
        <x:v>1</x:v>
      </x:c>
      <x:c r="I6" s="85" t="n">
        <x:v>4</x:v>
      </x:c>
      <x:c r="J6" s="85" t="n">
        <x:v>0</x:v>
      </x:c>
      <x:c r="K6" s="85" t="n">
        <x:v>0</x:v>
      </x:c>
      <x:c r="L6" s="85" t="n">
        <x:v>0</x:v>
      </x:c>
      <x:c r="M6" s="85" t="n">
        <x:v>4</x:v>
      </x:c>
      <x:c r="N6" s="85" t="n">
        <x:v>15</x:v>
      </x:c>
      <x:c r="O6" s="85" t="n">
        <x:v>2</x:v>
      </x:c>
      <x:c r="P6" s="85" t="n">
        <x:v>0</x:v>
      </x:c>
      <x:c r="Q6" s="85" t="n">
        <x:v>0</x:v>
      </x:c>
    </x:row>
    <x:row r="7" ht="22" customHeight="1">
      <x:c r="A7" s="85" t="n">
        <x:v>3</x:v>
      </x:c>
      <x:c r="B7" s="82" t="str">
        <x:v>Miguel Indurain</x:v>
      </x:c>
      <x:c r="C7" s="85" t="n">
        <x:v>5</x:v>
      </x:c>
      <x:c r="D7" s="85" t="n">
        <x:v>12</x:v>
      </x:c>
      <x:c r="E7" s="85" t="n">
        <x:v>0</x:v>
      </x:c>
      <x:c r="F7" s="85" t="n">
        <x:v>0</x:v>
      </x:c>
      <x:c r="G7" s="85" t="n">
        <x:v>0</x:v>
      </x:c>
      <x:c r="H7" s="85" t="n">
        <x:v>2</x:v>
      </x:c>
      <x:c r="I7" s="85" t="n">
        <x:v>4</x:v>
      </x:c>
      <x:c r="J7" s="85" t="n">
        <x:v>0</x:v>
      </x:c>
      <x:c r="K7" s="85" t="n">
        <x:v>0</x:v>
      </x:c>
      <x:c r="L7" s="85" t="n">
        <x:v>0</x:v>
      </x:c>
      <x:c r="M7" s="85" t="n">
        <x:v>0</x:v>
      </x:c>
      <x:c r="N7" s="85" t="n">
        <x:v>0</x:v>
      </x:c>
      <x:c r="O7" s="85" t="n">
        <x:v>0</x:v>
      </x:c>
      <x:c r="P7" s="85" t="n">
        <x:v>0</x:v>
      </x:c>
      <x:c r="Q7" s="85" t="n">
        <x:v>0</x:v>
      </x:c>
    </x:row>
    <x:row r="8" ht="22" customHeight="1">
      <x:c r="A8" s="85" t="n">
        <x:v>4</x:v>
      </x:c>
      <x:c r="B8" s="82" t="str">
        <x:v>Egan Bernal</x:v>
      </x:c>
      <x:c r="C8" s="85" t="n">
        <x:v>1</x:v>
      </x:c>
      <x:c r="D8" s="85" t="n">
        <x:v>0</x:v>
      </x:c>
      <x:c r="E8" s="85" t="n">
        <x:v>0</x:v>
      </x:c>
      <x:c r="F8" s="85" t="n">
        <x:v>0</x:v>
      </x:c>
      <x:c r="G8" s="85" t="n">
        <x:v>1</x:v>
      </x:c>
      <x:c r="H8" s="85" t="n">
        <x:v>1</x:v>
      </x:c>
      <x:c r="I8" s="85" t="n">
        <x:v>2</x:v>
      </x:c>
      <x:c r="J8" s="85" t="n">
        <x:v>0</x:v>
      </x:c>
      <x:c r="K8" s="85" t="n">
        <x:v>0</x:v>
      </x:c>
      <x:c r="L8" s="85" t="n">
        <x:v>1</x:v>
      </x:c>
      <x:c r="M8" s="85" t="n">
        <x:v>0</x:v>
      </x:c>
      <x:c r="N8" s="85" t="n">
        <x:v>1</x:v>
      </x:c>
      <x:c r="O8" s="85" t="n">
        <x:v>0</x:v>
      </x:c>
      <x:c r="P8" s="85" t="n">
        <x:v>0</x:v>
      </x:c>
      <x:c r="Q8" s="85" t="n">
        <x:v>0</x:v>
      </x:c>
    </x:row>
    <x:row r="9" ht="22" customHeight="1">
      <x:c r="A9" s="85" t="n">
        <x:v>5</x:v>
      </x:c>
      <x:c r="B9" s="82" t="str">
        <x:v>Remco Evenepoel</x:v>
      </x:c>
      <x:c r="C9" s="85" t="n">
        <x:v>0</x:v>
      </x:c>
      <x:c r="D9" s="85" t="n">
        <x:v>2</x:v>
      </x:c>
      <x:c r="E9" s="85" t="n">
        <x:v>0</x:v>
      </x:c>
      <x:c r="F9" s="85" t="n">
        <x:v>0</x:v>
      </x:c>
      <x:c r="G9" s="85" t="n">
        <x:v>1</x:v>
      </x:c>
      <x:c r="H9" s="85" t="n">
        <x:v>0</x:v>
      </x:c>
      <x:c r="I9" s="85" t="n">
        <x:v>2</x:v>
      </x:c>
      <x:c r="J9" s="85" t="n">
        <x:v>0</x:v>
      </x:c>
      <x:c r="K9" s="85" t="n">
        <x:v>0</x:v>
      </x:c>
      <x:c r="L9" s="85" t="n">
        <x:v>0</x:v>
      </x:c>
      <x:c r="M9" s="85" t="n">
        <x:v>1</x:v>
      </x:c>
      <x:c r="N9" s="85" t="n">
        <x:v>5</x:v>
      </x:c>
      <x:c r="O9" s="85" t="n">
        <x:v>0</x:v>
      </x:c>
      <x:c r="P9" s="85" t="n">
        <x:v>1</x:v>
      </x:c>
      <x:c r="Q9" s="85" t="n">
        <x:v>1</x:v>
      </x:c>
    </x:row>
    <x:row r="10" ht="22" customHeight="1">
      <x:c r="A10" s="85" t="n">
        <x:v>6</x:v>
      </x:c>
      <x:c r="B10" s="82" t="str">
        <x:v>Alberto Contador</x:v>
      </x:c>
      <x:c r="C10" s="85" t="n">
        <x:v>2</x:v>
      </x:c>
      <x:c r="D10" s="85" t="n">
        <x:v>3</x:v>
      </x:c>
      <x:c r="E10" s="85" t="n">
        <x:v>0</x:v>
      </x:c>
      <x:c r="F10" s="85" t="n">
        <x:v>0</x:v>
      </x:c>
      <x:c r="G10" s="85" t="n">
        <x:v>1</x:v>
      </x:c>
      <x:c r="H10" s="85" t="n">
        <x:v>2</x:v>
      </x:c>
      <x:c r="I10" s="85" t="n">
        <x:v>2</x:v>
      </x:c>
      <x:c r="J10" s="85" t="n">
        <x:v>0</x:v>
      </x:c>
      <x:c r="K10" s="85" t="n">
        <x:v>0</x:v>
      </x:c>
      <x:c r="L10" s="85" t="n">
        <x:v>0</x:v>
      </x:c>
      <x:c r="M10" s="85" t="n">
        <x:v>3</x:v>
      </x:c>
      <x:c r="N10" s="85" t="n">
        <x:v>6</x:v>
      </x:c>
      <x:c r="O10" s="85" t="n">
        <x:v>0</x:v>
      </x:c>
      <x:c r="P10" s="85" t="n">
        <x:v>0</x:v>
      </x:c>
      <x:c r="Q10" s="85" t="n">
        <x:v>0</x:v>
      </x:c>
    </x:row>
    <x:row r="11" ht="22" customHeight="1">
      <x:c r="A11" s="85" t="n">
        <x:v>7</x:v>
      </x:c>
      <x:c r="B11" s="82" t="str">
        <x:v>Chris Froome</x:v>
      </x:c>
      <x:c r="C11" s="85" t="n">
        <x:v>4</x:v>
      </x:c>
      <x:c r="D11" s="85" t="n">
        <x:v>7</x:v>
      </x:c>
      <x:c r="E11" s="85" t="n">
        <x:v>0</x:v>
      </x:c>
      <x:c r="F11" s="85" t="n">
        <x:v>1</x:v>
      </x:c>
      <x:c r="G11" s="85" t="n">
        <x:v>0</x:v>
      </x:c>
      <x:c r="H11" s="85" t="n">
        <x:v>1</x:v>
      </x:c>
      <x:c r="I11" s="85" t="n">
        <x:v>2</x:v>
      </x:c>
      <x:c r="J11" s="85" t="n">
        <x:v>0</x:v>
      </x:c>
      <x:c r="K11" s="85" t="n">
        <x:v>1</x:v>
      </x:c>
      <x:c r="L11" s="85" t="n">
        <x:v>0</x:v>
      </x:c>
      <x:c r="M11" s="85" t="n">
        <x:v>2</x:v>
      </x:c>
      <x:c r="N11" s="85" t="n">
        <x:v>5</x:v>
      </x:c>
      <x:c r="O11" s="85" t="n">
        <x:v>0</x:v>
      </x:c>
      <x:c r="P11" s="85" t="n">
        <x:v>0</x:v>
      </x:c>
      <x:c r="Q11" s="85" t="n">
        <x:v>0</x:v>
      </x:c>
    </x:row>
    <x:row r="12" ht="22" customHeight="1">
      <x:c r="A12" s="85" t="n">
        <x:v>8</x:v>
      </x:c>
      <x:c r="B12" s="82" t="str">
        <x:v>Vincenzo Nibali</x:v>
      </x:c>
      <x:c r="C12" s="85" t="n">
        <x:v>1</x:v>
      </x:c>
      <x:c r="D12" s="85" t="n">
        <x:v>6</x:v>
      </x:c>
      <x:c r="E12" s="85" t="n">
        <x:v>0</x:v>
      </x:c>
      <x:c r="F12" s="85" t="n">
        <x:v>0</x:v>
      </x:c>
      <x:c r="G12" s="85" t="n">
        <x:v>0</x:v>
      </x:c>
      <x:c r="H12" s="85" t="n">
        <x:v>2</x:v>
      </x:c>
      <x:c r="I12" s="85" t="n">
        <x:v>5</x:v>
      </x:c>
      <x:c r="J12" s="85" t="n">
        <x:v>0</x:v>
      </x:c>
      <x:c r="K12" s="85" t="n">
        <x:v>0</x:v>
      </x:c>
      <x:c r="L12" s="85" t="n">
        <x:v>0</x:v>
      </x:c>
      <x:c r="M12" s="85" t="n">
        <x:v>1</x:v>
      </x:c>
      <x:c r="N12" s="85" t="n">
        <x:v>1</x:v>
      </x:c>
      <x:c r="O12" s="85" t="n">
        <x:v>0</x:v>
      </x:c>
      <x:c r="P12" s="85" t="n">
        <x:v>0</x:v>
      </x:c>
      <x:c r="Q12" s="85" t="n">
        <x:v>0</x:v>
      </x:c>
    </x:row>
    <x:row r="13" ht="22" customHeight="1">
      <x:c r="A13" s="85" t="n">
        <x:v>9</x:v>
      </x:c>
      <x:c r="B13" s="82" t="str">
        <x:v>Tadej Pogacar</x:v>
      </x:c>
      <x:c r="C13" s="85" t="n">
        <x:v>4</x:v>
      </x:c>
      <x:c r="D13" s="85" t="n">
        <x:v>21</x:v>
      </x:c>
      <x:c r="E13" s="85" t="n">
        <x:v>0</x:v>
      </x:c>
      <x:c r="F13" s="85" t="n">
        <x:v>3</x:v>
      </x:c>
      <x:c r="G13" s="85" t="n">
        <x:v>4</x:v>
      </x:c>
      <x:c r="H13" s="85" t="n">
        <x:v>1</x:v>
      </x:c>
      <x:c r="I13" s="85" t="n">
        <x:v>6</x:v>
      </x:c>
      <x:c r="J13" s="85" t="n">
        <x:v>0</x:v>
      </x:c>
      <x:c r="K13" s="85" t="n">
        <x:v>1</x:v>
      </x:c>
      <x:c r="L13" s="85" t="n">
        <x:v>0</x:v>
      </x:c>
      <x:c r="M13" s="85" t="n">
        <x:v>0</x:v>
      </x:c>
      <x:c r="N13" s="85" t="n">
        <x:v>3</x:v>
      </x:c>
      <x:c r="O13" s="85" t="n">
        <x:v>0</x:v>
      </x:c>
      <x:c r="P13" s="85" t="n">
        <x:v>0</x:v>
      </x:c>
      <x:c r="Q13" s="85" t="n">
        <x:v>1</x:v>
      </x:c>
    </x:row>
    <x:row r="14" ht="22" customHeight="1">
      <x:c r="A14" s="85" t="n">
        <x:v>10</x:v>
      </x:c>
      <x:c r="B14" s="82" t="str">
        <x:v>Jonas Vingegaard</x:v>
      </x:c>
      <x:c r="C14" s="85" t="n">
        <x:v>2</x:v>
      </x:c>
      <x:c r="D14" s="85" t="n">
        <x:v>4</x:v>
      </x:c>
      <x:c r="E14" s="85" t="n">
        <x:v>0</x:v>
      </x:c>
      <x:c r="F14" s="85" t="n">
        <x:v>1</x:v>
      </x:c>
      <x:c r="G14" s="85" t="n">
        <x:v>0</x:v>
      </x:c>
      <x:c r="H14" s="85" t="n">
        <x:v>1</x:v>
      </x:c>
      <x:c r="I14" s="85" t="n">
        <x:v>5</x:v>
      </x:c>
      <x:c r="J14" s="85" t="n">
        <x:v>0</x:v>
      </x:c>
      <x:c r="K14" s="85" t="n">
        <x:v>0</x:v>
      </x:c>
      <x:c r="L14" s="85" t="n">
        <x:v>0</x:v>
      </x:c>
      <x:c r="M14" s="85" t="n">
        <x:v>1</x:v>
      </x:c>
      <x:c r="N14" s="85" t="n">
        <x:v>5</x:v>
      </x:c>
      <x:c r="O14" s="85" t="n">
        <x:v>0</x:v>
      </x:c>
      <x:c r="P14" s="85" t="n">
        <x:v>0</x:v>
      </x:c>
      <x:c r="Q14" s="85" t="n">
        <x:v>0</x:v>
      </x:c>
    </x:row>
    <x:row r="15" ht="22" customHeight="1">
      <x:c r="A15" s="85" t="n">
        <x:v>11</x:v>
      </x:c>
      <x:c r="B15" s="82" t="str">
        <x:v>Mark Cavendish</x:v>
      </x:c>
      <x:c r="C15" s="85" t="n">
        <x:v>0</x:v>
      </x:c>
      <x:c r="D15" s="85" t="n">
        <x:v>35</x:v>
      </x:c>
      <x:c r="E15" s="85" t="n">
        <x:v>2</x:v>
      </x:c>
      <x:c r="F15" s="85" t="n">
        <x:v>0</x:v>
      </x:c>
      <x:c r="G15" s="85" t="n">
        <x:v>0</x:v>
      </x:c>
      <x:c r="H15" s="85" t="n">
        <x:v>0</x:v>
      </x:c>
      <x:c r="I15" s="85" t="n">
        <x:v>17</x:v>
      </x:c>
      <x:c r="J15" s="85" t="n">
        <x:v>1</x:v>
      </x:c>
      <x:c r="K15" s="85" t="n">
        <x:v>0</x:v>
      </x:c>
      <x:c r="L15" s="85" t="n">
        <x:v>0</x:v>
      </x:c>
      <x:c r="M15" s="85" t="n">
        <x:v>0</x:v>
      </x:c>
      <x:c r="N15" s="85" t="n">
        <x:v>3</x:v>
      </x:c>
      <x:c r="O15" s="85" t="n">
        <x:v>1</x:v>
      </x:c>
      <x:c r="P15" s="85" t="n">
        <x:v>0</x:v>
      </x:c>
      <x:c r="Q15" s="85" t="n">
        <x:v>0</x:v>
      </x:c>
    </x:row>
    <x:row r="16" ht="22" customHeight="1">
      <x:c r="A16" s="85" t="n">
        <x:v>12</x:v>
      </x:c>
      <x:c r="B16" s="82" t="str">
        <x:v>Mario Cipollini</x:v>
      </x:c>
      <x:c r="C16" s="85" t="n">
        <x:v>0</x:v>
      </x:c>
      <x:c r="D16" s="85" t="n">
        <x:v>12</x:v>
      </x:c>
      <x:c r="E16" s="85" t="n">
        <x:v>0</x:v>
      </x:c>
      <x:c r="F16" s="85" t="n">
        <x:v>0</x:v>
      </x:c>
      <x:c r="G16" s="85" t="n">
        <x:v>0</x:v>
      </x:c>
      <x:c r="H16" s="85" t="n">
        <x:v>0</x:v>
      </x:c>
      <x:c r="I16" s="85" t="n">
        <x:v>42</x:v>
      </x:c>
      <x:c r="J16" s="85" t="n">
        <x:v>3</x:v>
      </x:c>
      <x:c r="K16" s="85" t="n">
        <x:v>0</x:v>
      </x:c>
      <x:c r="L16" s="85" t="n">
        <x:v>0</x:v>
      </x:c>
      <x:c r="M16" s="85" t="n">
        <x:v>0</x:v>
      </x:c>
      <x:c r="N16" s="85" t="n">
        <x:v>3</x:v>
      </x:c>
      <x:c r="O16" s="85" t="n">
        <x:v>0</x:v>
      </x:c>
      <x:c r="P16" s="85" t="n">
        <x:v>0</x:v>
      </x:c>
      <x:c r="Q16" s="85" t="n">
        <x:v>0</x:v>
      </x:c>
    </x:row>
    <x:row r="17" ht="22" customHeight="1">
      <x:c r="A17" s="85" t="n">
        <x:v>13</x:v>
      </x:c>
      <x:c r="B17" s="82" t="str">
        <x:v>Alessandro Petacchi</x:v>
      </x:c>
      <x:c r="C17" s="85" t="n">
        <x:v>0</x:v>
      </x:c>
      <x:c r="D17" s="85" t="n">
        <x:v>6</x:v>
      </x:c>
      <x:c r="E17" s="85" t="n">
        <x:v>1</x:v>
      </x:c>
      <x:c r="F17" s="85" t="n">
        <x:v>0</x:v>
      </x:c>
      <x:c r="G17" s="85" t="n">
        <x:v>0</x:v>
      </x:c>
      <x:c r="H17" s="85" t="n">
        <x:v>0</x:v>
      </x:c>
      <x:c r="I17" s="85" t="n">
        <x:v>27</x:v>
      </x:c>
      <x:c r="J17" s="85" t="n">
        <x:v>1</x:v>
      </x:c>
      <x:c r="K17" s="85" t="n">
        <x:v>0</x:v>
      </x:c>
      <x:c r="L17" s="85" t="n">
        <x:v>0</x:v>
      </x:c>
      <x:c r="M17" s="85" t="n">
        <x:v>0</x:v>
      </x:c>
      <x:c r="N17" s="85" t="n">
        <x:v>20</x:v>
      </x:c>
      <x:c r="O17" s="85" t="n">
        <x:v>1</x:v>
      </x:c>
      <x:c r="P17" s="85" t="n">
        <x:v>0</x:v>
      </x:c>
      <x:c r="Q17" s="85" t="n">
        <x:v>0</x:v>
      </x:c>
    </x:row>
    <x:row r="18" ht="22" customHeight="1">
      <x:c r="A18" s="85" t="n">
        <x:v>14</x:v>
      </x:c>
      <x:c r="B18" s="82" t="str">
        <x:v>Andre Greipel</x:v>
      </x:c>
      <x:c r="C18" s="85" t="n">
        <x:v>0</x:v>
      </x:c>
      <x:c r="D18" s="85" t="n">
        <x:v>11</x:v>
      </x:c>
      <x:c r="E18" s="85" t="n">
        <x:v>0</x:v>
      </x:c>
      <x:c r="F18" s="85" t="n">
        <x:v>0</x:v>
      </x:c>
      <x:c r="G18" s="85" t="n">
        <x:v>0</x:v>
      </x:c>
      <x:c r="H18" s="85" t="n">
        <x:v>0</x:v>
      </x:c>
      <x:c r="I18" s="85" t="n">
        <x:v>7</x:v>
      </x:c>
      <x:c r="J18" s="85" t="n">
        <x:v>0</x:v>
      </x:c>
      <x:c r="K18" s="85" t="n">
        <x:v>0</x:v>
      </x:c>
      <x:c r="L18" s="85" t="n">
        <x:v>0</x:v>
      </x:c>
      <x:c r="M18" s="85" t="n">
        <x:v>0</x:v>
      </x:c>
      <x:c r="N18" s="85" t="n">
        <x:v>4</x:v>
      </x:c>
      <x:c r="O18" s="85" t="n">
        <x:v>1</x:v>
      </x:c>
      <x:c r="P18" s="85" t="n">
        <x:v>0</x:v>
      </x:c>
      <x:c r="Q18" s="85" t="n">
        <x:v>0</x:v>
      </x:c>
    </x:row>
    <x:row r="19" ht="22" customHeight="1">
      <x:c r="A19" s="85" t="n">
        <x:v>15</x:v>
      </x:c>
      <x:c r="B19" s="82" t="str">
        <x:v>Marcel Kittel</x:v>
      </x:c>
      <x:c r="C19" s="85" t="n">
        <x:v>0</x:v>
      </x:c>
      <x:c r="D19" s="85" t="n">
        <x:v>14</x:v>
      </x:c>
      <x:c r="E19" s="85" t="n">
        <x:v>0</x:v>
      </x:c>
      <x:c r="F19" s="85" t="n">
        <x:v>0</x:v>
      </x:c>
      <x:c r="G19" s="85" t="n">
        <x:v>0</x:v>
      </x:c>
      <x:c r="H19" s="85" t="n">
        <x:v>0</x:v>
      </x:c>
      <x:c r="I19" s="85" t="n">
        <x:v>4</x:v>
      </x:c>
      <x:c r="J19" s="85" t="n">
        <x:v>0</x:v>
      </x:c>
      <x:c r="K19" s="85" t="n">
        <x:v>0</x:v>
      </x:c>
      <x:c r="L19" s="85" t="n">
        <x:v>0</x:v>
      </x:c>
      <x:c r="M19" s="85" t="n">
        <x:v>0</x:v>
      </x:c>
      <x:c r="N19" s="85" t="n">
        <x:v>1</x:v>
      </x:c>
      <x:c r="O19" s="85" t="n">
        <x:v>0</x:v>
      </x:c>
      <x:c r="P19" s="85" t="n">
        <x:v>0</x:v>
      </x:c>
      <x:c r="Q19" s="85" t="n">
        <x:v>0</x:v>
      </x:c>
    </x:row>
    <x:row r="20" ht="22" customHeight="1">
      <x:c r="A20" s="85" t="n">
        <x:v>16</x:v>
      </x:c>
      <x:c r="B20" s="82" t="str">
        <x:v>Robbie McEwen</x:v>
      </x:c>
      <x:c r="C20" s="85" t="n">
        <x:v>0</x:v>
      </x:c>
      <x:c r="D20" s="85" t="n">
        <x:v>12</x:v>
      </x:c>
      <x:c r="E20" s="85" t="n">
        <x:v>3</x:v>
      </x:c>
      <x:c r="F20" s="85" t="n">
        <x:v>0</x:v>
      </x:c>
      <x:c r="G20" s="85" t="n">
        <x:v>0</x:v>
      </x:c>
      <x:c r="H20" s="85" t="n">
        <x:v>0</x:v>
      </x:c>
      <x:c r="I20" s="85" t="n">
        <x:v>12</x:v>
      </x:c>
      <x:c r="J20" s="85" t="n">
        <x:v>0</x:v>
      </x:c>
      <x:c r="K20" s="85" t="n">
        <x:v>0</x:v>
      </x:c>
      <x:c r="L20" s="85" t="n">
        <x:v>0</x:v>
      </x:c>
      <x:c r="M20" s="85" t="n">
        <x:v>0</x:v>
      </x:c>
      <x:c r="N20" s="85" t="n">
        <x:v>0</x:v>
      </x:c>
      <x:c r="O20" s="85" t="n">
        <x:v>0</x:v>
      </x:c>
      <x:c r="P20" s="85" t="n">
        <x:v>0</x:v>
      </x:c>
      <x:c r="Q20" s="85" t="n">
        <x:v>0</x:v>
      </x:c>
    </x:row>
    <x:row r="21" ht="22" customHeight="1">
      <x:c r="A21" s="85" t="n">
        <x:v>17</x:v>
      </x:c>
      <x:c r="B21" s="82" t="str">
        <x:v>Marco Pantani</x:v>
      </x:c>
      <x:c r="C21" s="85" t="n">
        <x:v>1</x:v>
      </x:c>
      <x:c r="D21" s="85" t="n">
        <x:v>8</x:v>
      </x:c>
      <x:c r="E21" s="85" t="n">
        <x:v>0</x:v>
      </x:c>
      <x:c r="F21" s="85" t="n">
        <x:v>0</x:v>
      </x:c>
      <x:c r="G21" s="85" t="n">
        <x:v>2</x:v>
      </x:c>
      <x:c r="H21" s="85" t="n">
        <x:v>1</x:v>
      </x:c>
      <x:c r="I21" s="85" t="n">
        <x:v>8</x:v>
      </x:c>
      <x:c r="J21" s="85" t="n">
        <x:v>0</x:v>
      </x:c>
      <x:c r="K21" s="85" t="n">
        <x:v>1</x:v>
      </x:c>
      <x:c r="L21" s="85" t="n">
        <x:v>0</x:v>
      </x:c>
      <x:c r="M21" s="85" t="n">
        <x:v>0</x:v>
      </x:c>
      <x:c r="N21" s="85" t="n">
        <x:v>0</x:v>
      </x:c>
      <x:c r="O21" s="85" t="n">
        <x:v>0</x:v>
      </x:c>
      <x:c r="P21" s="85" t="n">
        <x:v>0</x:v>
      </x:c>
      <x:c r="Q21" s="85" t="n">
        <x:v>0</x:v>
      </x:c>
    </x:row>
    <x:row r="22" ht="22" customHeight="1">
      <x:c r="A22" s="85" t="n">
        <x:v>18</x:v>
      </x:c>
      <x:c r="B22" s="82" t="str">
        <x:v>Nairo Quintana</x:v>
      </x:c>
      <x:c r="C22" s="85" t="n">
        <x:v>0</x:v>
      </x:c>
      <x:c r="D22" s="85" t="n">
        <x:v>3</x:v>
      </x:c>
      <x:c r="E22" s="85" t="n">
        <x:v>0</x:v>
      </x:c>
      <x:c r="F22" s="85" t="n">
        <x:v>1</x:v>
      </x:c>
      <x:c r="G22" s="85" t="n">
        <x:v>2</x:v>
      </x:c>
      <x:c r="H22" s="85" t="n">
        <x:v>1</x:v>
      </x:c>
      <x:c r="I22" s="85" t="n">
        <x:v>3</x:v>
      </x:c>
      <x:c r="J22" s="85" t="n">
        <x:v>0</x:v>
      </x:c>
      <x:c r="K22" s="85" t="n">
        <x:v>0</x:v>
      </x:c>
      <x:c r="L22" s="85" t="n">
        <x:v>1</x:v>
      </x:c>
      <x:c r="M22" s="85" t="n">
        <x:v>1</x:v>
      </x:c>
      <x:c r="N22" s="85" t="n">
        <x:v>2</x:v>
      </x:c>
      <x:c r="O22" s="85" t="n">
        <x:v>0</x:v>
      </x:c>
      <x:c r="P22" s="85" t="n">
        <x:v>0</x:v>
      </x:c>
      <x:c r="Q22" s="85" t="n">
        <x:v>0</x:v>
      </x:c>
    </x:row>
    <x:row r="23" ht="22" customHeight="1">
      <x:c r="A23" s="85" t="n">
        <x:v>19</x:v>
      </x:c>
      <x:c r="B23" s="82" t="str">
        <x:v>Andy Schleck</x:v>
      </x:c>
      <x:c r="C23" s="85" t="n">
        <x:v>1</x:v>
      </x:c>
      <x:c r="D23" s="85" t="n">
        <x:v>3</x:v>
      </x:c>
      <x:c r="E23" s="85" t="n">
        <x:v>0</x:v>
      </x:c>
      <x:c r="F23" s="85" t="n">
        <x:v>0</x:v>
      </x:c>
      <x:c r="G23" s="85" t="n">
        <x:v>3</x:v>
      </x:c>
      <x:c r="H23" s="85" t="n">
        <x:v>0</x:v>
      </x:c>
      <x:c r="I23" s="85" t="n">
        <x:v>0</x:v>
      </x:c>
      <x:c r="J23" s="85" t="n">
        <x:v>0</x:v>
      </x:c>
      <x:c r="K23" s="85" t="n">
        <x:v>0</x:v>
      </x:c>
      <x:c r="L23" s="85" t="n">
        <x:v>1</x:v>
      </x:c>
      <x:c r="M23" s="85" t="n">
        <x:v>0</x:v>
      </x:c>
      <x:c r="N23" s="85" t="n">
        <x:v>0</x:v>
      </x:c>
      <x:c r="O23" s="85" t="n">
        <x:v>0</x:v>
      </x:c>
      <x:c r="P23" s="85" t="n">
        <x:v>0</x:v>
      </x:c>
      <x:c r="Q23" s="85" t="n">
        <x:v>0</x:v>
      </x:c>
    </x:row>
    <x:row r="24" ht="22" customHeight="1">
      <x:c r="A24" s="85" t="n">
        <x:v>20</x:v>
      </x:c>
      <x:c r="B24" s="82" t="str">
        <x:v>Thibaut Pinot</x:v>
      </x:c>
      <x:c r="C24" s="85" t="n">
        <x:v>0</x:v>
      </x:c>
      <x:c r="D24" s="85" t="n">
        <x:v>3</x:v>
      </x:c>
      <x:c r="E24" s="85" t="n">
        <x:v>0</x:v>
      </x:c>
      <x:c r="F24" s="85" t="n">
        <x:v>0</x:v>
      </x:c>
      <x:c r="G24" s="85" t="n">
        <x:v>1</x:v>
      </x:c>
      <x:c r="H24" s="85" t="n">
        <x:v>0</x:v>
      </x:c>
      <x:c r="I24" s="85" t="n">
        <x:v>1</x:v>
      </x:c>
      <x:c r="J24" s="85" t="n">
        <x:v>0</x:v>
      </x:c>
      <x:c r="K24" s="85" t="n">
        <x:v>1</x:v>
      </x:c>
      <x:c r="L24" s="85" t="n">
        <x:v>0</x:v>
      </x:c>
      <x:c r="M24" s="85" t="n">
        <x:v>0</x:v>
      </x:c>
      <x:c r="N24" s="85" t="n">
        <x:v>2</x:v>
      </x:c>
      <x:c r="O24" s="85" t="n">
        <x:v>0</x:v>
      </x:c>
      <x:c r="P24" s="85" t="n">
        <x:v>0</x:v>
      </x:c>
      <x:c r="Q24" s="85" t="n">
        <x:v>0</x:v>
      </x:c>
    </x:row>
    <x:row r="25" ht="22" customHeight="1">
      <x:c r="A25" s="85" t="n">
        <x:v>21</x:v>
      </x:c>
      <x:c r="B25" s="82" t="str">
        <x:v>Romain Bardet</x:v>
      </x:c>
      <x:c r="C25" s="85" t="n">
        <x:v>0</x:v>
      </x:c>
      <x:c r="D25" s="85" t="n">
        <x:v>4</x:v>
      </x:c>
      <x:c r="E25" s="85" t="n">
        <x:v>0</x:v>
      </x:c>
      <x:c r="F25" s="85" t="n">
        <x:v>1</x:v>
      </x:c>
      <x:c r="G25" s="85" t="n">
        <x:v>0</x:v>
      </x:c>
      <x:c r="H25" s="85" t="n">
        <x:v>0</x:v>
      </x:c>
      <x:c r="I25" s="85" t="n">
        <x:v>0</x:v>
      </x:c>
      <x:c r="J25" s="85" t="n">
        <x:v>0</x:v>
      </x:c>
      <x:c r="K25" s="85" t="n">
        <x:v>0</x:v>
      </x:c>
      <x:c r="L25" s="85" t="n">
        <x:v>0</x:v>
      </x:c>
      <x:c r="M25" s="85" t="n">
        <x:v>0</x:v>
      </x:c>
      <x:c r="N25" s="85" t="n">
        <x:v>1</x:v>
      </x:c>
      <x:c r="O25" s="85" t="n">
        <x:v>0</x:v>
      </x:c>
      <x:c r="P25" s="85" t="n">
        <x:v>0</x:v>
      </x:c>
      <x:c r="Q25" s="85" t="n">
        <x:v>0</x:v>
      </x:c>
    </x:row>
    <x:row r="26" ht="22" customHeight="1">
      <x:c r="A26" s="85" t="n">
        <x:v>22</x:v>
      </x:c>
      <x:c r="B26" s="82" t="str">
        <x:v>Carlos Sastre</x:v>
      </x:c>
      <x:c r="C26" s="85" t="n">
        <x:v>1</x:v>
      </x:c>
      <x:c r="D26" s="85" t="n">
        <x:v>3</x:v>
      </x:c>
      <x:c r="E26" s="85" t="n">
        <x:v>0</x:v>
      </x:c>
      <x:c r="F26" s="85" t="n">
        <x:v>1</x:v>
      </x:c>
      <x:c r="G26" s="85" t="n">
        <x:v>0</x:v>
      </x:c>
      <x:c r="H26" s="85" t="n">
        <x:v>0</x:v>
      </x:c>
      <x:c r="I26" s="85" t="n">
        <x:v>2</x:v>
      </x:c>
      <x:c r="J26" s="85" t="n">
        <x:v>0</x:v>
      </x:c>
      <x:c r="K26" s="85" t="n">
        <x:v>0</x:v>
      </x:c>
      <x:c r="L26" s="85" t="n">
        <x:v>0</x:v>
      </x:c>
      <x:c r="M26" s="85" t="n">
        <x:v>0</x:v>
      </x:c>
      <x:c r="N26" s="85" t="n">
        <x:v>0</x:v>
      </x:c>
      <x:c r="O26" s="85" t="n">
        <x:v>0</x:v>
      </x:c>
      <x:c r="P26" s="85" t="n">
        <x:v>1</x:v>
      </x:c>
      <x:c r="Q26" s="85" t="n">
        <x:v>0</x:v>
      </x:c>
    </x:row>
    <x:row r="27" ht="22" customHeight="1">
      <x:c r="A27" s="85" t="n">
        <x:v>23</x:v>
      </x:c>
      <x:c r="B27" s="82" t="str">
        <x:v>Cadel Evans</x:v>
      </x:c>
      <x:c r="C27" s="85" t="n">
        <x:v>1</x:v>
      </x:c>
      <x:c r="D27" s="85" t="n">
        <x:v>2</x:v>
      </x:c>
      <x:c r="E27" s="85" t="n">
        <x:v>0</x:v>
      </x:c>
      <x:c r="F27" s="85" t="n">
        <x:v>0</x:v>
      </x:c>
      <x:c r="G27" s="85" t="n">
        <x:v>0</x:v>
      </x:c>
      <x:c r="H27" s="85" t="n">
        <x:v>0</x:v>
      </x:c>
      <x:c r="I27" s="85" t="n">
        <x:v>1</x:v>
      </x:c>
      <x:c r="J27" s="85" t="n">
        <x:v>1</x:v>
      </x:c>
      <x:c r="K27" s="85" t="n">
        <x:v>0</x:v>
      </x:c>
      <x:c r="L27" s="85" t="n">
        <x:v>0</x:v>
      </x:c>
      <x:c r="M27" s="85" t="n">
        <x:v>0</x:v>
      </x:c>
      <x:c r="N27" s="85" t="n">
        <x:v>0</x:v>
      </x:c>
      <x:c r="O27" s="85" t="n">
        <x:v>0</x:v>
      </x:c>
      <x:c r="P27" s="85" t="n">
        <x:v>0</x:v>
      </x:c>
      <x:c r="Q27" s="85" t="n">
        <x:v>0</x:v>
      </x:c>
    </x:row>
    <x:row r="28" ht="22" customHeight="1">
      <x:c r="A28" s="85" t="n">
        <x:v>24</x:v>
      </x:c>
      <x:c r="B28" s="82" t="str">
        <x:v>Joaquim Rodriguez</x:v>
      </x:c>
      <x:c r="C28" s="85" t="n">
        <x:v>0</x:v>
      </x:c>
      <x:c r="D28" s="85" t="n">
        <x:v>3</x:v>
      </x:c>
      <x:c r="E28" s="85" t="n">
        <x:v>0</x:v>
      </x:c>
      <x:c r="F28" s="85" t="n">
        <x:v>0</x:v>
      </x:c>
      <x:c r="G28" s="85" t="n">
        <x:v>0</x:v>
      </x:c>
      <x:c r="H28" s="85" t="n">
        <x:v>0</x:v>
      </x:c>
      <x:c r="I28" s="85" t="n">
        <x:v>2</x:v>
      </x:c>
      <x:c r="J28" s="85" t="n">
        <x:v>1</x:v>
      </x:c>
      <x:c r="K28" s="85" t="n">
        <x:v>0</x:v>
      </x:c>
      <x:c r="L28" s="85" t="n">
        <x:v>0</x:v>
      </x:c>
      <x:c r="M28" s="85" t="n">
        <x:v>0</x:v>
      </x:c>
      <x:c r="N28" s="85" t="n">
        <x:v>9</x:v>
      </x:c>
      <x:c r="O28" s="85" t="n">
        <x:v>0</x:v>
      </x:c>
      <x:c r="P28" s="85" t="n">
        <x:v>1</x:v>
      </x:c>
      <x:c r="Q28" s="85" t="n">
        <x:v>0</x:v>
      </x:c>
    </x:row>
    <x:row r="29" ht="22" customHeight="1">
      <x:c r="A29" s="85" t="n">
        <x:v>25</x:v>
      </x:c>
      <x:c r="B29" s="82" t="str">
        <x:v>Philippe Gilbert</x:v>
      </x:c>
      <x:c r="C29" s="85" t="n">
        <x:v>0</x:v>
      </x:c>
      <x:c r="D29" s="85" t="n">
        <x:v>1</x:v>
      </x:c>
      <x:c r="E29" s="85" t="n">
        <x:v>0</x:v>
      </x:c>
      <x:c r="F29" s="85" t="n">
        <x:v>0</x:v>
      </x:c>
      <x:c r="G29" s="85" t="n">
        <x:v>0</x:v>
      </x:c>
      <x:c r="H29" s="85" t="n">
        <x:v>0</x:v>
      </x:c>
      <x:c r="I29" s="85" t="n">
        <x:v>3</x:v>
      </x:c>
      <x:c r="J29" s="85" t="n">
        <x:v>0</x:v>
      </x:c>
      <x:c r="K29" s="85" t="n">
        <x:v>0</x:v>
      </x:c>
      <x:c r="L29" s="85" t="n">
        <x:v>0</x:v>
      </x:c>
      <x:c r="M29" s="85" t="n">
        <x:v>0</x:v>
      </x:c>
      <x:c r="N29" s="85" t="n">
        <x:v>7</x:v>
      </x:c>
      <x:c r="O29" s="85" t="n">
        <x:v>0</x:v>
      </x:c>
      <x:c r="P29" s="85" t="n">
        <x:v>0</x:v>
      </x:c>
      <x:c r="Q29" s="85" t="n">
        <x:v>0</x:v>
      </x:c>
    </x:row>
    <x:row r="30" ht="22" customHeight="1">
      <x:c r="A30" s="85" t="n">
        <x:v>26</x:v>
      </x:c>
      <x:c r="B30" s="82" t="str">
        <x:v>Alejandro Valverde</x:v>
      </x:c>
      <x:c r="C30" s="85" t="n">
        <x:v>0</x:v>
      </x:c>
      <x:c r="D30" s="85" t="n">
        <x:v>4</x:v>
      </x:c>
      <x:c r="E30" s="85" t="n">
        <x:v>0</x:v>
      </x:c>
      <x:c r="F30" s="85" t="n">
        <x:v>0</x:v>
      </x:c>
      <x:c r="G30" s="85" t="n">
        <x:v>0</x:v>
      </x:c>
      <x:c r="H30" s="85" t="n">
        <x:v>0</x:v>
      </x:c>
      <x:c r="I30" s="85" t="n">
        <x:v>1</x:v>
      </x:c>
      <x:c r="J30" s="85" t="n">
        <x:v>0</x:v>
      </x:c>
      <x:c r="K30" s="85" t="n">
        <x:v>0</x:v>
      </x:c>
      <x:c r="L30" s="85" t="n">
        <x:v>0</x:v>
      </x:c>
      <x:c r="M30" s="85" t="n">
        <x:v>1</x:v>
      </x:c>
      <x:c r="N30" s="85" t="n">
        <x:v>12</x:v>
      </x:c>
      <x:c r="O30" s="85" t="n">
        <x:v>4</x:v>
      </x:c>
      <x:c r="P30" s="85" t="n">
        <x:v>0</x:v>
      </x:c>
      <x:c r="Q30" s="85" t="n">
        <x:v>0</x:v>
      </x:c>
    </x:row>
    <x:row r="31" ht="22" customHeight="1">
      <x:c r="A31" s="85" t="n">
        <x:v>27</x:v>
      </x:c>
      <x:c r="B31" s="82" t="str">
        <x:v>Paolo Bettini</x:v>
      </x:c>
      <x:c r="C31" s="85" t="n">
        <x:v>0</x:v>
      </x:c>
      <x:c r="D31" s="85" t="n">
        <x:v>1</x:v>
      </x:c>
      <x:c r="E31" s="85" t="n">
        <x:v>0</x:v>
      </x:c>
      <x:c r="F31" s="85" t="n">
        <x:v>0</x:v>
      </x:c>
      <x:c r="G31" s="85" t="n">
        <x:v>0</x:v>
      </x:c>
      <x:c r="H31" s="85" t="n">
        <x:v>0</x:v>
      </x:c>
      <x:c r="I31" s="85" t="n">
        <x:v>2</x:v>
      </x:c>
      <x:c r="J31" s="85" t="n">
        <x:v>2</x:v>
      </x:c>
      <x:c r="K31" s="85" t="n">
        <x:v>0</x:v>
      </x:c>
      <x:c r="L31" s="85" t="n">
        <x:v>0</x:v>
      </x:c>
      <x:c r="M31" s="85" t="n">
        <x:v>0</x:v>
      </x:c>
      <x:c r="N31" s="85" t="n">
        <x:v>5</x:v>
      </x:c>
      <x:c r="O31" s="85" t="n">
        <x:v>0</x:v>
      </x:c>
      <x:c r="P31" s="85" t="n">
        <x:v>0</x:v>
      </x:c>
      <x:c r="Q31" s="85" t="n">
        <x:v>0</x:v>
      </x:c>
    </x:row>
    <x:row r="32" ht="22" customHeight="1">
      <x:c r="A32" s="85" t="n">
        <x:v>28</x:v>
      </x:c>
      <x:c r="B32" s="82" t="str">
        <x:v>Julian Alaphilippe</x:v>
      </x:c>
      <x:c r="C32" s="85" t="n">
        <x:v>0</x:v>
      </x:c>
      <x:c r="D32" s="85" t="n">
        <x:v>6</x:v>
      </x:c>
      <x:c r="E32" s="85" t="n">
        <x:v>0</x:v>
      </x:c>
      <x:c r="F32" s="85" t="n">
        <x:v>1</x:v>
      </x:c>
      <x:c r="G32" s="85" t="n">
        <x:v>0</x:v>
      </x:c>
      <x:c r="H32" s="85" t="n">
        <x:v>0</x:v>
      </x:c>
      <x:c r="I32" s="85" t="n">
        <x:v>1</x:v>
      </x:c>
      <x:c r="J32" s="85" t="n">
        <x:v>0</x:v>
      </x:c>
      <x:c r="K32" s="85" t="n">
        <x:v>0</x:v>
      </x:c>
      <x:c r="L32" s="85" t="n">
        <x:v>0</x:v>
      </x:c>
      <x:c r="M32" s="85" t="n">
        <x:v>0</x:v>
      </x:c>
      <x:c r="N32" s="85" t="n">
        <x:v>1</x:v>
      </x:c>
      <x:c r="O32" s="85" t="n">
        <x:v>0</x:v>
      </x:c>
      <x:c r="P32" s="85" t="n">
        <x:v>0</x:v>
      </x:c>
      <x:c r="Q32" s="85" t="n">
        <x:v>0</x:v>
      </x:c>
    </x:row>
    <x:row r="33" ht="22" customHeight="1">
      <x:c r="A33" s="85" t="n">
        <x:v>29</x:v>
      </x:c>
      <x:c r="B33" s="82" t="str">
        <x:v>Michele Bartoli</x:v>
      </x:c>
      <x:c r="C33" s="85" t="n">
        <x:v>0</x:v>
      </x:c>
      <x:c r="D33" s="85" t="n">
        <x:v>0</x:v>
      </x:c>
      <x:c r="E33" s="85" t="n">
        <x:v>0</x:v>
      </x:c>
      <x:c r="F33" s="85" t="n">
        <x:v>0</x:v>
      </x:c>
      <x:c r="G33" s="85" t="n">
        <x:v>0</x:v>
      </x:c>
      <x:c r="H33" s="85" t="n">
        <x:v>0</x:v>
      </x:c>
      <x:c r="I33" s="85" t="n">
        <x:v>2</x:v>
      </x:c>
      <x:c r="J33" s="85" t="n">
        <x:v>0</x:v>
      </x:c>
      <x:c r="K33" s="85" t="n">
        <x:v>0</x:v>
      </x:c>
      <x:c r="L33" s="85" t="n">
        <x:v>0</x:v>
      </x:c>
      <x:c r="M33" s="85" t="n">
        <x:v>0</x:v>
      </x:c>
      <x:c r="N33" s="85" t="n">
        <x:v>0</x:v>
      </x:c>
      <x:c r="O33" s="85" t="n">
        <x:v>0</x:v>
      </x:c>
      <x:c r="P33" s="85" t="n">
        <x:v>0</x:v>
      </x:c>
      <x:c r="Q33" s="85" t="n">
        <x:v>0</x:v>
      </x:c>
    </x:row>
    <x:row r="34" ht="22" customHeight="1">
      <x:c r="A34" s="85" t="n">
        <x:v>30</x:v>
      </x:c>
      <x:c r="B34" s="82" t="str">
        <x:v>Davide Rebellin</x:v>
      </x:c>
      <x:c r="C34" s="85" t="n">
        <x:v>0</x:v>
      </x:c>
      <x:c r="D34" s="85" t="n">
        <x:v>0</x:v>
      </x:c>
      <x:c r="E34" s="85" t="n">
        <x:v>0</x:v>
      </x:c>
      <x:c r="F34" s="85" t="n">
        <x:v>0</x:v>
      </x:c>
      <x:c r="G34" s="85" t="n">
        <x:v>0</x:v>
      </x:c>
      <x:c r="H34" s="85" t="n">
        <x:v>0</x:v>
      </x:c>
      <x:c r="I34" s="85" t="n">
        <x:v>1</x:v>
      </x:c>
      <x:c r="J34" s="85" t="n">
        <x:v>0</x:v>
      </x:c>
      <x:c r="K34" s="85" t="n">
        <x:v>0</x:v>
      </x:c>
      <x:c r="L34" s="85" t="n">
        <x:v>0</x:v>
      </x:c>
      <x:c r="M34" s="85" t="n">
        <x:v>0</x:v>
      </x:c>
      <x:c r="N34" s="85" t="n">
        <x:v>0</x:v>
      </x:c>
      <x:c r="O34" s="85" t="n">
        <x:v>0</x:v>
      </x:c>
      <x:c r="P34" s="85" t="n">
        <x:v>0</x:v>
      </x:c>
      <x:c r="Q34" s="85" t="n">
        <x:v>0</x:v>
      </x:c>
    </x:row>
    <x:row r="35" ht="22" customHeight="1">
      <x:c r="A35" s="85" t="n">
        <x:v>31</x:v>
      </x:c>
      <x:c r="B35" s="82" t="str">
        <x:v>Maurizio Fondriest</x:v>
      </x:c>
      <x:c r="C35" s="85" t="n">
        <x:v>0</x:v>
      </x:c>
      <x:c r="D35" s="85" t="n">
        <x:v>0</x:v>
      </x:c>
      <x:c r="E35" s="85" t="n">
        <x:v>0</x:v>
      </x:c>
      <x:c r="F35" s="85" t="n">
        <x:v>0</x:v>
      </x:c>
      <x:c r="G35" s="85" t="n">
        <x:v>0</x:v>
      </x:c>
      <x:c r="H35" s="85" t="n">
        <x:v>0</x:v>
      </x:c>
      <x:c r="I35" s="85" t="n">
        <x:v>2</x:v>
      </x:c>
      <x:c r="J35" s="85" t="n">
        <x:v>0</x:v>
      </x:c>
      <x:c r="K35" s="85" t="n">
        <x:v>0</x:v>
      </x:c>
      <x:c r="L35" s="85" t="n">
        <x:v>0</x:v>
      </x:c>
      <x:c r="M35" s="85" t="n">
        <x:v>0</x:v>
      </x:c>
      <x:c r="N35" s="85" t="n">
        <x:v>0</x:v>
      </x:c>
      <x:c r="O35" s="85" t="n">
        <x:v>0</x:v>
      </x:c>
      <x:c r="P35" s="85" t="n">
        <x:v>0</x:v>
      </x:c>
      <x:c r="Q35" s="85" t="n">
        <x:v>0</x:v>
      </x:c>
    </x:row>
    <x:row r="36" ht="22" customHeight="1">
      <x:c r="A36" s="85" t="n">
        <x:v>32</x:v>
      </x:c>
      <x:c r="B36" s="82" t="str">
        <x:v>Simon Gerrans</x:v>
      </x:c>
      <x:c r="C36" s="85" t="n">
        <x:v>0</x:v>
      </x:c>
      <x:c r="D36" s="85" t="n">
        <x:v>2</x:v>
      </x:c>
      <x:c r="E36" s="85" t="n">
        <x:v>0</x:v>
      </x:c>
      <x:c r="F36" s="85" t="n">
        <x:v>0</x:v>
      </x:c>
      <x:c r="G36" s="85" t="n">
        <x:v>0</x:v>
      </x:c>
      <x:c r="H36" s="85" t="n">
        <x:v>0</x:v>
      </x:c>
      <x:c r="I36" s="85" t="n">
        <x:v>1</x:v>
      </x:c>
      <x:c r="J36" s="85" t="n">
        <x:v>0</x:v>
      </x:c>
      <x:c r="K36" s="85" t="n">
        <x:v>0</x:v>
      </x:c>
      <x:c r="L36" s="85" t="n">
        <x:v>0</x:v>
      </x:c>
      <x:c r="M36" s="85" t="n">
        <x:v>0</x:v>
      </x:c>
      <x:c r="N36" s="85" t="n">
        <x:v>1</x:v>
      </x:c>
      <x:c r="O36" s="85" t="n">
        <x:v>0</x:v>
      </x:c>
      <x:c r="P36" s="85" t="n">
        <x:v>0</x:v>
      </x:c>
      <x:c r="Q36" s="85" t="n">
        <x:v>0</x:v>
      </x:c>
    </x:row>
    <x:row r="37" ht="22" customHeight="1">
      <x:c r="A37" s="85" t="n">
        <x:v>33</x:v>
      </x:c>
      <x:c r="B37" s="82" t="str">
        <x:v>Erik Zabel</x:v>
      </x:c>
      <x:c r="C37" s="85" t="n">
        <x:v>0</x:v>
      </x:c>
      <x:c r="D37" s="85" t="n">
        <x:v>12</x:v>
      </x:c>
      <x:c r="E37" s="85" t="n">
        <x:v>6</x:v>
      </x:c>
      <x:c r="F37" s="85" t="n">
        <x:v>0</x:v>
      </x:c>
      <x:c r="G37" s="85" t="n">
        <x:v>0</x:v>
      </x:c>
      <x:c r="H37" s="85" t="n">
        <x:v>0</x:v>
      </x:c>
      <x:c r="I37" s="85" t="n">
        <x:v>0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8</x:v>
      </x:c>
      <x:c r="O37" s="85" t="n">
        <x:v>3</x:v>
      </x:c>
      <x:c r="P37" s="85" t="n">
        <x:v>0</x:v>
      </x:c>
      <x:c r="Q37" s="85" t="n">
        <x:v>0</x:v>
      </x:c>
    </x:row>
    <x:row r="38" ht="22" customHeight="1">
      <x:c r="A38" s="85" t="n">
        <x:v>34</x:v>
      </x:c>
      <x:c r="B38" s="82" t="str">
        <x:v>Peter Sagan</x:v>
      </x:c>
      <x:c r="C38" s="85" t="n">
        <x:v>0</x:v>
      </x:c>
      <x:c r="D38" s="85" t="n">
        <x:v>12</x:v>
      </x:c>
      <x:c r="E38" s="85" t="n">
        <x:v>7</x:v>
      </x:c>
      <x:c r="F38" s="85" t="n">
        <x:v>0</x:v>
      </x:c>
      <x:c r="G38" s="85" t="n">
        <x:v>0</x:v>
      </x:c>
      <x:c r="H38" s="85" t="n">
        <x:v>0</x:v>
      </x:c>
      <x:c r="I38" s="85" t="n">
        <x:v>2</x:v>
      </x:c>
      <x:c r="J38" s="85" t="n">
        <x:v>1</x:v>
      </x:c>
      <x:c r="K38" s="85" t="n">
        <x:v>0</x:v>
      </x:c>
      <x:c r="L38" s="85" t="n">
        <x:v>0</x:v>
      </x:c>
      <x:c r="M38" s="85" t="n">
        <x:v>0</x:v>
      </x:c>
      <x:c r="N38" s="85" t="n">
        <x:v>4</x:v>
      </x:c>
      <x:c r="O38" s="85" t="n">
        <x:v>0</x:v>
      </x:c>
      <x:c r="P38" s="85" t="n">
        <x:v>0</x:v>
      </x:c>
      <x:c r="Q38" s="85" t="n">
        <x:v>0</x:v>
      </x:c>
    </x:row>
    <x:row r="39" ht="22" customHeight="1">
      <x:c r="A39" s="85" t="n">
        <x:v>35</x:v>
      </x:c>
      <x:c r="B39" s="82" t="str">
        <x:v>Johan Museeuw</x:v>
      </x:c>
      <x:c r="C39" s="85" t="n">
        <x:v>0</x:v>
      </x:c>
      <x:c r="D39" s="85" t="n">
        <x:v>2</x:v>
      </x:c>
      <x:c r="E39" s="85" t="n">
        <x:v>0</x:v>
      </x:c>
      <x:c r="F39" s="85" t="n">
        <x:v>0</x:v>
      </x:c>
      <x:c r="G39" s="85" t="n">
        <x:v>0</x:v>
      </x:c>
      <x:c r="H39" s="85" t="n">
        <x:v>0</x:v>
      </x:c>
      <x:c r="I39" s="85" t="n">
        <x:v>0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0</x:v>
      </x:c>
      <x:c r="O39" s="85" t="n">
        <x:v>0</x:v>
      </x:c>
      <x:c r="P39" s="85" t="n">
        <x:v>0</x:v>
      </x:c>
      <x:c r="Q39" s="85" t="n">
        <x:v>0</x:v>
      </x:c>
    </x:row>
    <x:row r="40" ht="22" customHeight="1">
      <x:c r="A40" s="85" t="n">
        <x:v>36</x:v>
      </x:c>
      <x:c r="B40" s="82" t="str">
        <x:v>Tom Boonen</x:v>
      </x:c>
      <x:c r="C40" s="85" t="n">
        <x:v>0</x:v>
      </x:c>
      <x:c r="D40" s="85" t="n">
        <x:v>6</x:v>
      </x:c>
      <x:c r="E40" s="85" t="n">
        <x:v>1</x:v>
      </x:c>
      <x:c r="F40" s="85" t="n">
        <x:v>0</x:v>
      </x:c>
      <x:c r="G40" s="85" t="n">
        <x:v>0</x:v>
      </x:c>
      <x:c r="H40" s="85" t="n">
        <x:v>0</x:v>
      </x:c>
      <x:c r="I40" s="85" t="n">
        <x:v>0</x:v>
      </x:c>
      <x:c r="J40" s="85" t="n">
        <x:v>0</x:v>
      </x:c>
      <x:c r="K40" s="85" t="n">
        <x:v>0</x:v>
      </x:c>
      <x:c r="L40" s="85" t="n">
        <x:v>0</x:v>
      </x:c>
      <x:c r="M40" s="85" t="n">
        <x:v>0</x:v>
      </x:c>
      <x:c r="N40" s="85" t="n">
        <x:v>2</x:v>
      </x:c>
      <x:c r="O40" s="85" t="n">
        <x:v>0</x:v>
      </x:c>
      <x:c r="P40" s="85" t="n">
        <x:v>0</x:v>
      </x:c>
      <x:c r="Q40" s="85" t="n">
        <x:v>0</x:v>
      </x:c>
    </x:row>
    <x:row r="41" ht="22" customHeight="1">
      <x:c r="A41" s="85" t="n">
        <x:v>37</x:v>
      </x:c>
      <x:c r="B41" s="82" t="str">
        <x:v>John Degenkolb</x:v>
      </x:c>
      <x:c r="C41" s="85" t="n">
        <x:v>0</x:v>
      </x:c>
      <x:c r="D41" s="85" t="n">
        <x:v>1</x:v>
      </x:c>
      <x:c r="E41" s="85" t="n">
        <x:v>0</x:v>
      </x:c>
      <x:c r="F41" s="85" t="n">
        <x:v>0</x:v>
      </x:c>
      <x:c r="G41" s="85" t="n">
        <x:v>0</x:v>
      </x:c>
      <x:c r="H41" s="85" t="n">
        <x:v>0</x:v>
      </x:c>
      <x:c r="I41" s="85" t="n">
        <x:v>1</x:v>
      </x:c>
      <x:c r="J41" s="85" t="n">
        <x:v>0</x:v>
      </x:c>
      <x:c r="K41" s="85" t="n">
        <x:v>0</x:v>
      </x:c>
      <x:c r="L41" s="85" t="n">
        <x:v>0</x:v>
      </x:c>
      <x:c r="M41" s="85" t="n">
        <x:v>0</x:v>
      </x:c>
      <x:c r="N41" s="85" t="n">
        <x:v>10</x:v>
      </x:c>
      <x:c r="O41" s="85" t="n">
        <x:v>1</x:v>
      </x:c>
      <x:c r="P41" s="85" t="n">
        <x:v>0</x:v>
      </x:c>
      <x:c r="Q41" s="85" t="n">
        <x:v>0</x:v>
      </x:c>
    </x:row>
    <x:row r="42" ht="22" customHeight="1">
      <x:c r="A42" s="85" t="n">
        <x:v>38</x:v>
      </x:c>
      <x:c r="B42" s="82" t="str">
        <x:v>Mathieu van der Poel</x:v>
      </x:c>
      <x:c r="C42" s="85" t="n">
        <x:v>0</x:v>
      </x:c>
      <x:c r="D42" s="85" t="n">
        <x:v>2</x:v>
      </x:c>
      <x:c r="E42" s="85" t="n">
        <x:v>0</x:v>
      </x:c>
      <x:c r="F42" s="85" t="n">
        <x:v>0</x:v>
      </x:c>
      <x:c r="G42" s="85" t="n">
        <x:v>0</x:v>
      </x:c>
      <x:c r="H42" s="85" t="n">
        <x:v>0</x:v>
      </x:c>
      <x:c r="I42" s="85" t="n">
        <x:v>1</x:v>
      </x:c>
      <x:c r="J42" s="85" t="n">
        <x:v>0</x:v>
      </x:c>
      <x:c r="K42" s="85" t="n">
        <x:v>0</x:v>
      </x:c>
      <x:c r="L42" s="85" t="n">
        <x:v>0</x:v>
      </x:c>
      <x:c r="M42" s="85" t="n">
        <x:v>0</x:v>
      </x:c>
      <x:c r="N42" s="85" t="n">
        <x:v>0</x:v>
      </x:c>
      <x:c r="O42" s="85" t="n">
        <x:v>0</x:v>
      </x:c>
      <x:c r="P42" s="85" t="n">
        <x:v>0</x:v>
      </x:c>
      <x:c r="Q42" s="85" t="n">
        <x:v>0</x:v>
      </x:c>
    </x:row>
    <x:row r="43" ht="22" customHeight="1">
      <x:c r="A43" s="85" t="n">
        <x:v>39</x:v>
      </x:c>
      <x:c r="B43" s="82" t="str">
        <x:v>Fabian Cancellara</x:v>
      </x:c>
      <x:c r="C43" s="85" t="n">
        <x:v>0</x:v>
      </x:c>
      <x:c r="D43" s="85" t="n">
        <x:v>8</x:v>
      </x:c>
      <x:c r="E43" s="85" t="n">
        <x:v>0</x:v>
      </x:c>
      <x:c r="F43" s="85" t="n">
        <x:v>0</x:v>
      </x:c>
      <x:c r="G43" s="85" t="n">
        <x:v>0</x:v>
      </x:c>
      <x:c r="H43" s="85" t="n">
        <x:v>0</x:v>
      </x:c>
      <x:c r="I43" s="85" t="n">
        <x:v>0</x:v>
      </x:c>
      <x:c r="J43" s="85" t="n">
        <x:v>0</x:v>
      </x:c>
      <x:c r="K43" s="85" t="n">
        <x:v>0</x:v>
      </x:c>
      <x:c r="L43" s="85" t="n">
        <x:v>0</x:v>
      </x:c>
      <x:c r="M43" s="85" t="n">
        <x:v>0</x:v>
      </x:c>
      <x:c r="N43" s="85" t="n">
        <x:v>3</x:v>
      </x:c>
      <x:c r="O43" s="85" t="n">
        <x:v>0</x:v>
      </x:c>
      <x:c r="P43" s="85" t="n">
        <x:v>0</x:v>
      </x:c>
      <x:c r="Q43" s="85" t="n">
        <x:v>0</x:v>
      </x:c>
    </x:row>
    <x:row r="44" ht="22" customHeight="1">
      <x:c r="A44" s="85" t="n">
        <x:v>40</x:v>
      </x:c>
      <x:c r="B44" s="82" t="str">
        <x:v>Laurent Jalabert</x:v>
      </x:c>
      <x:c r="C44" s="85" t="n">
        <x:v>0</x:v>
      </x:c>
      <x:c r="D44" s="85" t="n">
        <x:v>4</x:v>
      </x:c>
      <x:c r="E44" s="85" t="n">
        <x:v>2</x:v>
      </x:c>
      <x:c r="F44" s="85" t="n">
        <x:v>2</x:v>
      </x:c>
      <x:c r="G44" s="85" t="n">
        <x:v>0</x:v>
      </x:c>
      <x:c r="H44" s="85" t="n">
        <x:v>0</x:v>
      </x:c>
      <x:c r="I44" s="85" t="n">
        <x:v>3</x:v>
      </x:c>
      <x:c r="J44" s="85" t="n">
        <x:v>1</x:v>
      </x:c>
      <x:c r="K44" s="85" t="n">
        <x:v>0</x:v>
      </x:c>
      <x:c r="L44" s="85" t="n">
        <x:v>0</x:v>
      </x:c>
      <x:c r="M44" s="85" t="n">
        <x:v>1</x:v>
      </x:c>
      <x:c r="N44" s="85" t="n">
        <x:v>18</x:v>
      </x:c>
      <x:c r="O44" s="85" t="n">
        <x:v>4</x:v>
      </x:c>
      <x:c r="P44" s="85" t="n">
        <x:v>1</x:v>
      </x:c>
      <x:c r="Q44" s="85" t="n">
        <x:v>0</x:v>
      </x:c>
    </x:row>
    <x:row r="45" ht="22" customHeight="1">
      <x:c r="A45" s="85" t="n">
        <x:v>41</x:v>
      </x:c>
      <x:c r="B45" s="82" t="str">
        <x:v>Bradley Wiggins</x:v>
      </x:c>
      <x:c r="C45" s="85" t="n">
        <x:v>1</x:v>
      </x:c>
      <x:c r="D45" s="85" t="n">
        <x:v>2</x:v>
      </x:c>
      <x:c r="E45" s="85" t="n">
        <x:v>0</x:v>
      </x:c>
      <x:c r="F45" s="85" t="n">
        <x:v>0</x:v>
      </x:c>
      <x:c r="G45" s="85" t="n">
        <x:v>0</x:v>
      </x:c>
      <x:c r="H45" s="85" t="n">
        <x:v>0</x:v>
      </x:c>
      <x:c r="I45" s="85" t="n">
        <x:v>1</x:v>
      </x:c>
      <x:c r="J45" s="85" t="n">
        <x:v>0</x:v>
      </x:c>
      <x:c r="K45" s="85" t="n">
        <x:v>0</x:v>
      </x:c>
      <x:c r="L45" s="85" t="n">
        <x:v>0</x:v>
      </x:c>
      <x:c r="M45" s="85" t="n">
        <x:v>0</x:v>
      </x:c>
      <x:c r="N45" s="85" t="n">
        <x:v>0</x:v>
      </x:c>
      <x:c r="O45" s="85" t="n">
        <x:v>0</x:v>
      </x:c>
      <x:c r="P45" s="85" t="n">
        <x:v>0</x:v>
      </x:c>
      <x:c r="Q45" s="85" t="n">
        <x:v>0</x:v>
      </x:c>
    </x:row>
    <x:row r="46" ht="22" customHeight="1">
      <x:c r="A46" s="85" t="n">
        <x:v>42</x:v>
      </x:c>
      <x:c r="B46" s="82" t="str">
        <x:v>Tony Martin</x:v>
      </x:c>
      <x:c r="C46" s="85" t="n">
        <x:v>0</x:v>
      </x:c>
      <x:c r="D46" s="85" t="n">
        <x:v>5</x:v>
      </x:c>
      <x:c r="E46" s="85" t="n">
        <x:v>0</x:v>
      </x:c>
      <x:c r="F46" s="85" t="n">
        <x:v>0</x:v>
      </x:c>
      <x:c r="G46" s="85" t="n">
        <x:v>0</x:v>
      </x:c>
      <x:c r="H46" s="85" t="n">
        <x:v>0</x:v>
      </x:c>
      <x:c r="I46" s="85" t="n">
        <x:v>0</x:v>
      </x:c>
      <x:c r="J46" s="85" t="n">
        <x:v>0</x:v>
      </x:c>
      <x:c r="K46" s="85" t="n">
        <x:v>0</x:v>
      </x:c>
      <x:c r="L46" s="85" t="n">
        <x:v>0</x:v>
      </x:c>
      <x:c r="M46" s="85" t="n">
        <x:v>0</x:v>
      </x:c>
      <x:c r="N46" s="85" t="n">
        <x:v>2</x:v>
      </x:c>
      <x:c r="O46" s="85" t="n">
        <x:v>0</x:v>
      </x:c>
      <x:c r="P46" s="85" t="n">
        <x:v>0</x:v>
      </x:c>
      <x:c r="Q46" s="85" t="n">
        <x:v>0</x:v>
      </x:c>
    </x:row>
    <x:row r="47" ht="22" customHeight="1">
      <x:c r="A47" s="85" t="n">
        <x:v>43</x:v>
      </x:c>
      <x:c r="B47" s="82" t="str">
        <x:v>Filippo Ganna</x:v>
      </x:c>
      <x:c r="C47" s="85" t="n">
        <x:v>0</x:v>
      </x:c>
      <x:c r="D47" s="85" t="n">
        <x:v>0</x:v>
      </x:c>
      <x:c r="E47" s="85" t="n">
        <x:v>0</x:v>
      </x:c>
      <x:c r="F47" s="85" t="n">
        <x:v>0</x:v>
      </x:c>
      <x:c r="G47" s="85" t="n">
        <x:v>0</x:v>
      </x:c>
      <x:c r="H47" s="85" t="n">
        <x:v>0</x:v>
      </x:c>
      <x:c r="I47" s="85" t="n">
        <x:v>8</x:v>
      </x:c>
      <x:c r="J47" s="85" t="n">
        <x:v>0</x:v>
      </x:c>
      <x:c r="K47" s="85" t="n">
        <x:v>0</x:v>
      </x:c>
      <x:c r="L47" s="85" t="n">
        <x:v>0</x:v>
      </x:c>
      <x:c r="M47" s="85" t="n">
        <x:v>0</x:v>
      </x:c>
      <x:c r="N47" s="85" t="n">
        <x:v>2</x:v>
      </x:c>
      <x:c r="O47" s="85" t="n">
        <x:v>0</x:v>
      </x:c>
      <x:c r="P47" s="85" t="n">
        <x:v>0</x:v>
      </x:c>
      <x:c r="Q47" s="85" t="n">
        <x:v>0</x:v>
      </x:c>
    </x:row>
    <x:row r="48" ht="22" customHeight="1">
      <x:c r="A48" s="85" t="n">
        <x:v>44</x:v>
      </x:c>
      <x:c r="B48" s="82" t="str">
        <x:v>Chris Boardman</x:v>
      </x:c>
      <x:c r="C48" s="85" t="n">
        <x:v>0</x:v>
      </x:c>
      <x:c r="D48" s="85" t="n">
        <x:v>3</x:v>
      </x:c>
      <x:c r="E48" s="85" t="n">
        <x:v>0</x:v>
      </x:c>
      <x:c r="F48" s="85" t="n">
        <x:v>0</x:v>
      </x:c>
      <x:c r="G48" s="85" t="n">
        <x:v>0</x:v>
      </x:c>
      <x:c r="H48" s="85" t="n">
        <x:v>0</x:v>
      </x:c>
      <x:c r="I48" s="85" t="n">
        <x:v>0</x:v>
      </x:c>
      <x:c r="J48" s="85" t="n">
        <x:v>0</x:v>
      </x:c>
      <x:c r="K48" s="85" t="n">
        <x:v>0</x:v>
      </x:c>
      <x:c r="L48" s="85" t="n">
        <x:v>0</x:v>
      </x:c>
      <x:c r="M48" s="85" t="n">
        <x:v>0</x:v>
      </x:c>
      <x:c r="N48" s="85" t="n">
        <x:v>0</x:v>
      </x:c>
      <x:c r="O48" s="85" t="n">
        <x:v>0</x:v>
      </x:c>
      <x:c r="P48" s="85" t="n">
        <x:v>0</x:v>
      </x:c>
      <x:c r="Q48" s="85" t="n">
        <x:v>0</x:v>
      </x:c>
    </x:row>
    <x:row r="49" ht="22" customHeight="1">
      <x:c r="A49" s="85" t="n">
        <x:v>45</x:v>
      </x:c>
      <x:c r="B49" s="82" t="str">
        <x:v>Rohan Dennis</x:v>
      </x:c>
      <x:c r="C49" s="85" t="n">
        <x:v>0</x:v>
      </x:c>
      <x:c r="D49" s="85" t="n">
        <x:v>1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  <x:c r="I49" s="85" t="n">
        <x:v>1</x:v>
      </x:c>
      <x:c r="J49" s="85" t="n">
        <x:v>0</x:v>
      </x:c>
      <x:c r="K49" s="85" t="n">
        <x:v>0</x:v>
      </x:c>
      <x:c r="L49" s="85" t="n">
        <x:v>0</x:v>
      </x:c>
      <x:c r="M49" s="85" t="n">
        <x:v>0</x:v>
      </x:c>
      <x:c r="N49" s="85" t="n">
        <x:v>2</x:v>
      </x:c>
      <x:c r="O49" s="85" t="n">
        <x:v>0</x:v>
      </x:c>
      <x:c r="P49" s="85" t="n">
        <x:v>0</x:v>
      </x:c>
      <x:c r="Q49" s="85" t="n">
        <x:v>0</x:v>
      </x:c>
    </x:row>
    <x:row r="50" ht="22" customHeight="1">
      <x:c r="A50" s="85" t="n">
        <x:v>46</x:v>
      </x:c>
      <x:c r="B50" s="82" t="str">
        <x:v>Luis Leon Sanchez</x:v>
      </x:c>
      <x:c r="C50" s="85" t="n">
        <x:v>0</x:v>
      </x:c>
      <x:c r="D50" s="85" t="n">
        <x:v>4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  <x:c r="I50" s="85" t="n">
        <x:v>0</x:v>
      </x:c>
      <x:c r="J50" s="85" t="n">
        <x:v>0</x:v>
      </x:c>
      <x:c r="K50" s="85" t="n">
        <x:v>0</x:v>
      </x:c>
      <x:c r="L50" s="85" t="n">
        <x:v>0</x:v>
      </x:c>
      <x:c r="M50" s="85" t="n">
        <x:v>0</x:v>
      </x:c>
      <x:c r="N50" s="85" t="n">
        <x:v>0</x:v>
      </x:c>
      <x:c r="O50" s="85" t="n">
        <x:v>0</x:v>
      </x:c>
      <x:c r="P50" s="85" t="n">
        <x:v>1</x:v>
      </x:c>
      <x:c r="Q50" s="85" t="n">
        <x:v>0</x:v>
      </x:c>
    </x:row>
    <x:row r="51" ht="22" customHeight="1">
      <x:c r="A51" s="85" t="n">
        <x:v>47</x:v>
      </x:c>
      <x:c r="B51" s="82" t="str">
        <x:v>Richard Virenque</x:v>
      </x:c>
      <x:c r="C51" s="85" t="n">
        <x:v>0</x:v>
      </x:c>
      <x:c r="D51" s="85" t="n">
        <x:v>7</x:v>
      </x:c>
      <x:c r="E51" s="85" t="n">
        <x:v>0</x:v>
      </x:c>
      <x:c r="F51" s="85" t="n">
        <x:v>7</x:v>
      </x:c>
      <x:c r="G51" s="85" t="n">
        <x:v>0</x:v>
      </x:c>
      <x:c r="H51" s="85" t="n">
        <x:v>0</x:v>
      </x:c>
      <x:c r="I51" s="85" t="n">
        <x:v>1</x:v>
      </x:c>
      <x:c r="J51" s="85" t="n">
        <x:v>0</x:v>
      </x:c>
      <x:c r="K51" s="85" t="n">
        <x:v>0</x:v>
      </x:c>
      <x:c r="L51" s="85" t="n">
        <x:v>0</x:v>
      </x:c>
      <x:c r="M51" s="85" t="n">
        <x:v>0</x:v>
      </x:c>
      <x:c r="N51" s="85" t="n">
        <x:v>0</x:v>
      </x:c>
      <x:c r="O51" s="85" t="n">
        <x:v>0</x:v>
      </x:c>
      <x:c r="P51" s="85" t="n">
        <x:v>0</x:v>
      </x:c>
      <x:c r="Q51" s="85" t="n">
        <x:v>0</x:v>
      </x:c>
    </x:row>
    <x:row r="52" ht="22" customHeight="1">
      <x:c r="A52" s="85" t="n">
        <x:v>48</x:v>
      </x:c>
      <x:c r="B52" s="82" t="str">
        <x:v>Thomas De Gendt</x:v>
      </x:c>
      <x:c r="C52" s="85" t="n">
        <x:v>0</x:v>
      </x:c>
      <x:c r="D52" s="85" t="n">
        <x:v>2</x:v>
      </x:c>
      <x:c r="E52" s="85" t="n">
        <x:v>0</x:v>
      </x:c>
      <x:c r="F52" s="85" t="n">
        <x:v>0</x:v>
      </x:c>
      <x:c r="G52" s="85" t="n">
        <x:v>0</x:v>
      </x:c>
      <x:c r="H52" s="85" t="n">
        <x:v>0</x:v>
      </x:c>
      <x:c r="I52" s="85" t="n">
        <x:v>2</x:v>
      </x:c>
      <x:c r="J52" s="85" t="n">
        <x:v>0</x:v>
      </x:c>
      <x:c r="K52" s="85" t="n">
        <x:v>0</x:v>
      </x:c>
      <x:c r="L52" s="85" t="n">
        <x:v>0</x:v>
      </x:c>
      <x:c r="M52" s="85" t="n">
        <x:v>0</x:v>
      </x:c>
      <x:c r="N52" s="85" t="n">
        <x:v>1</x:v>
      </x:c>
      <x:c r="O52" s="85" t="n">
        <x:v>0</x:v>
      </x:c>
      <x:c r="P52" s="85" t="n">
        <x:v>1</x:v>
      </x:c>
      <x:c r="Q52" s="85" t="n">
        <x:v>0</x:v>
      </x:c>
    </x:row>
    <x:row r="53" ht="22" customHeight="1">
      <x:c r="A53" s="85" t="n">
        <x:v>49</x:v>
      </x:c>
      <x:c r="B53" s="82" t="str">
        <x:v>Claudio Chiappucci</x:v>
      </x:c>
      <x:c r="C53" s="85" t="n">
        <x:v>0</x:v>
      </x:c>
      <x:c r="D53" s="85" t="n">
        <x:v>3</x:v>
      </x:c>
      <x:c r="E53" s="85" t="n">
        <x:v>0</x:v>
      </x:c>
      <x:c r="F53" s="85" t="n">
        <x:v>2</x:v>
      </x:c>
      <x:c r="G53" s="85" t="n">
        <x:v>0</x:v>
      </x:c>
      <x:c r="H53" s="85" t="n">
        <x:v>0</x:v>
      </x:c>
      <x:c r="I53" s="85" t="n">
        <x:v>1</x:v>
      </x:c>
      <x:c r="J53" s="85" t="n">
        <x:v>1</x:v>
      </x:c>
      <x:c r="K53" s="85" t="n">
        <x:v>3</x:v>
      </x:c>
      <x:c r="L53" s="85" t="n">
        <x:v>0</x:v>
      </x:c>
      <x:c r="M53" s="85" t="n">
        <x:v>0</x:v>
      </x:c>
      <x:c r="N53" s="85" t="n">
        <x:v>0</x:v>
      </x:c>
      <x:c r="O53" s="85" t="n">
        <x:v>0</x:v>
      </x:c>
      <x:c r="P53" s="85" t="n">
        <x:v>0</x:v>
      </x:c>
      <x:c r="Q53" s="85" t="n">
        <x:v>0</x:v>
      </x:c>
    </x:row>
    <x:row r="54" ht="22" customHeight="1">
      <x:c r="A54" s="85" t="n">
        <x:v>50</x:v>
      </x:c>
      <x:c r="B54" s="82" t="str">
        <x:v>Richard Carapaz</x:v>
      </x:c>
      <x:c r="C54" s="85" t="n">
        <x:v>0</x:v>
      </x:c>
      <x:c r="D54" s="85" t="n">
        <x:v>1</x:v>
      </x:c>
      <x:c r="E54" s="85" t="n">
        <x:v>0</x:v>
      </x:c>
      <x:c r="F54" s="85" t="n">
        <x:v>1</x:v>
      </x:c>
      <x:c r="G54" s="85" t="n">
        <x:v>0</x:v>
      </x:c>
      <x:c r="H54" s="85" t="n">
        <x:v>1</x:v>
      </x:c>
      <x:c r="I54" s="85" t="n">
        <x:v>4</x:v>
      </x:c>
      <x:c r="J54" s="85" t="n">
        <x:v>0</x:v>
      </x:c>
      <x:c r="K54" s="85" t="n">
        <x:v>0</x:v>
      </x:c>
      <x:c r="L54" s="85" t="n">
        <x:v>0</x:v>
      </x:c>
      <x:c r="M54" s="85" t="n">
        <x:v>0</x:v>
      </x:c>
      <x:c r="N54" s="85" t="n">
        <x:v>3</x:v>
      </x:c>
      <x:c r="O54" s="85" t="n">
        <x:v>0</x:v>
      </x:c>
      <x:c r="P54" s="85" t="n">
        <x:v>1</x:v>
      </x:c>
      <x:c r="Q54" s="85" t="n">
        <x:v>0</x:v>
      </x:c>
    </x:row>
    <x:row r="55" ht="22" customHeight="1">
      <x:c r="A55" s="85" t="n">
        <x:v>51</x:v>
      </x:c>
      <x:c r="B55" s="82" t="str">
        <x:v>Sepp Kuss</x:v>
      </x:c>
      <x:c r="C55" s="85" t="n">
        <x:v>0</x:v>
      </x:c>
      <x:c r="D55" s="85" t="n">
        <x:v>1</x:v>
      </x:c>
      <x:c r="E55" s="85" t="n">
        <x:v>0</x:v>
      </x:c>
      <x:c r="F55" s="85" t="n">
        <x:v>0</x:v>
      </x:c>
      <x:c r="G55" s="85" t="n">
        <x:v>0</x:v>
      </x:c>
      <x:c r="H55" s="85" t="n">
        <x:v>0</x:v>
      </x:c>
      <x:c r="I55" s="85" t="n">
        <x:v>1</x:v>
      </x:c>
      <x:c r="J55" s="85" t="n">
        <x:v>0</x:v>
      </x:c>
      <x:c r="K55" s="85" t="n">
        <x:v>0</x:v>
      </x:c>
      <x:c r="L55" s="85" t="n">
        <x:v>0</x:v>
      </x:c>
      <x:c r="M55" s="85" t="n">
        <x:v>1</x:v>
      </x:c>
      <x:c r="N55" s="85" t="n">
        <x:v>2</x:v>
      </x:c>
      <x:c r="O55" s="85" t="n">
        <x:v>0</x:v>
      </x:c>
      <x:c r="P55" s="85" t="n">
        <x:v>0</x:v>
      </x:c>
      <x:c r="Q55" s="85" t="n">
        <x:v>0</x:v>
      </x:c>
    </x:row>
    <x:row r="56" ht="22" customHeight="1">
      <x:c r="A56" s="85" t="n">
        <x:v>52</x:v>
      </x:c>
      <x:c r="B56" s="82" t="str">
        <x:v>Wout Poels</x:v>
      </x:c>
      <x:c r="C56" s="85" t="n">
        <x:v>0</x:v>
      </x:c>
      <x:c r="D56" s="85" t="n">
        <x:v>1</x:v>
      </x:c>
      <x:c r="E56" s="85" t="n">
        <x:v>0</x:v>
      </x:c>
      <x:c r="F56" s="85" t="n">
        <x:v>0</x:v>
      </x:c>
      <x:c r="G56" s="85" t="n">
        <x:v>0</x:v>
      </x:c>
      <x:c r="H56" s="85" t="n">
        <x:v>0</x:v>
      </x:c>
      <x:c r="I56" s="85" t="n">
        <x:v>0</x:v>
      </x:c>
      <x:c r="J56" s="85" t="n">
        <x:v>0</x:v>
      </x:c>
      <x:c r="K56" s="85" t="n">
        <x:v>0</x:v>
      </x:c>
      <x:c r="L56" s="85" t="n">
        <x:v>0</x:v>
      </x:c>
      <x:c r="M56" s="85" t="n">
        <x:v>0</x:v>
      </x:c>
      <x:c r="N56" s="85" t="n">
        <x:v>1</x:v>
      </x:c>
      <x:c r="O56" s="85" t="n">
        <x:v>0</x:v>
      </x:c>
      <x:c r="P56" s="85" t="n">
        <x:v>0</x:v>
      </x:c>
      <x:c r="Q56" s="85" t="n">
        <x:v>0</x:v>
      </x:c>
    </x:row>
    <x:row r="57" ht="22" customHeight="1">
      <x:c r="A57" s="85" t="n">
        <x:v>53</x:v>
      </x:c>
      <x:c r="B57" s="82" t="str">
        <x:v>Michal Kwiatkowski</x:v>
      </x:c>
      <x:c r="C57" s="85" t="n">
        <x:v>0</x:v>
      </x:c>
      <x:c r="D57" s="85" t="n">
        <x:v>2</x:v>
      </x:c>
      <x:c r="E57" s="85" t="n">
        <x:v>0</x:v>
      </x:c>
      <x:c r="F57" s="85" t="n">
        <x:v>0</x:v>
      </x:c>
      <x:c r="G57" s="85" t="n">
        <x:v>0</x:v>
      </x:c>
      <x:c r="H57" s="85" t="n">
        <x:v>0</x:v>
      </x:c>
      <x:c r="I57" s="85" t="n">
        <x:v>0</x:v>
      </x:c>
      <x:c r="J57" s="85" t="n">
        <x:v>0</x:v>
      </x:c>
      <x:c r="K57" s="85" t="n">
        <x:v>0</x:v>
      </x:c>
      <x:c r="L57" s="85" t="n">
        <x:v>0</x:v>
      </x:c>
      <x:c r="M57" s="85" t="n">
        <x:v>0</x:v>
      </x:c>
      <x:c r="N57" s="85" t="n">
        <x:v>0</x:v>
      </x:c>
      <x:c r="O57" s="85" t="n">
        <x:v>0</x:v>
      </x:c>
      <x:c r="P57" s="85" t="n">
        <x:v>0</x:v>
      </x:c>
      <x:c r="Q57" s="85" t="n">
        <x:v>0</x:v>
      </x:c>
    </x:row>
    <x:row r="58" ht="22" customHeight="1">
      <x:c r="A58" s="85" t="n">
        <x:v>54</x:v>
      </x:c>
      <x:c r="B58" s="82" t="str">
        <x:v>Richie Porte</x:v>
      </x:c>
      <x:c r="C58" s="85" t="n">
        <x:v>0</x:v>
      </x:c>
      <x:c r="D58" s="85" t="n">
        <x:v>0</x:v>
      </x:c>
      <x:c r="E58" s="85" t="n">
        <x:v>0</x:v>
      </x:c>
      <x:c r="F58" s="85" t="n">
        <x:v>0</x:v>
      </x:c>
      <x:c r="G58" s="85" t="n">
        <x:v>0</x:v>
      </x:c>
      <x:c r="H58" s="85" t="n">
        <x:v>0</x:v>
      </x:c>
      <x:c r="I58" s="85" t="n">
        <x:v>0</x:v>
      </x:c>
      <x:c r="J58" s="85" t="n">
        <x:v>0</x:v>
      </x:c>
      <x:c r="K58" s="85" t="n">
        <x:v>0</x:v>
      </x:c>
      <x:c r="L58" s="85" t="n">
        <x:v>1</x:v>
      </x:c>
      <x:c r="M58" s="85" t="n">
        <x:v>0</x:v>
      </x:c>
      <x:c r="N58" s="85" t="n">
        <x:v>0</x:v>
      </x:c>
      <x:c r="O58" s="85" t="n">
        <x:v>0</x:v>
      </x:c>
      <x:c r="P58" s="85" t="n">
        <x:v>0</x:v>
      </x:c>
      <x:c r="Q58" s="85" t="n">
        <x:v>0</x:v>
      </x:c>
    </x:row>
    <x:row r="59" ht="22" customHeight="1">
      <x:c r="A59" s="85" t="n">
        <x:v>55</x:v>
      </x:c>
      <x:c r="B59" s="82" t="str">
        <x:v>Mikel Nieve</x:v>
      </x:c>
      <x:c r="C59" s="85" t="n">
        <x:v>0</x:v>
      </x:c>
      <x:c r="D59" s="85" t="n">
        <x:v>0</x:v>
      </x:c>
      <x:c r="E59" s="85" t="n">
        <x:v>0</x:v>
      </x:c>
      <x:c r="F59" s="85" t="n">
        <x:v>0</x:v>
      </x:c>
      <x:c r="G59" s="85" t="n">
        <x:v>0</x:v>
      </x:c>
      <x:c r="H59" s="85" t="n">
        <x:v>0</x:v>
      </x:c>
      <x:c r="I59" s="85" t="n">
        <x:v>3</x:v>
      </x:c>
      <x:c r="J59" s="85" t="n">
        <x:v>0</x:v>
      </x:c>
      <x:c r="K59" s="85" t="n">
        <x:v>1</x:v>
      </x:c>
      <x:c r="L59" s="85" t="n">
        <x:v>0</x:v>
      </x:c>
      <x:c r="M59" s="85" t="n">
        <x:v>0</x:v>
      </x:c>
      <x:c r="N59" s="85" t="n">
        <x:v>1</x:v>
      </x:c>
      <x:c r="O59" s="85" t="n">
        <x:v>0</x:v>
      </x:c>
      <x:c r="P59" s="85" t="n">
        <x:v>0</x:v>
      </x:c>
      <x:c r="Q59" s="85" t="n">
        <x:v>0</x:v>
      </x:c>
    </x:row>
    <x:row r="60" ht="22" customHeight="1">
      <x:c r="A60" s="85" t="n">
        <x:v>56</x:v>
      </x:c>
      <x:c r="B60" s="82" t="str">
        <x:v>Andrey Amador</x:v>
      </x:c>
      <x:c r="C60" s="85" t="n">
        <x:v>0</x:v>
      </x:c>
      <x:c r="D60" s="85" t="n">
        <x:v>0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  <x:c r="I60" s="85" t="n">
        <x:v>1</x:v>
      </x:c>
      <x:c r="J60" s="85" t="n">
        <x:v>0</x:v>
      </x:c>
      <x:c r="K60" s="85" t="n">
        <x:v>0</x:v>
      </x:c>
      <x:c r="L60" s="85" t="n">
        <x:v>0</x:v>
      </x:c>
      <x:c r="M60" s="85" t="n">
        <x:v>0</x:v>
      </x:c>
      <x:c r="N60" s="85" t="n">
        <x:v>0</x:v>
      </x:c>
      <x:c r="O60" s="85" t="n">
        <x:v>0</x:v>
      </x:c>
      <x:c r="P60" s="85" t="n">
        <x:v>0</x:v>
      </x:c>
      <x:c r="Q60" s="85" t="n">
        <x:v>0</x:v>
      </x:c>
    </x:row>
    <x:row r="61" ht="22" customHeight="1">
      <x:c r="A61" s="85" t="n">
        <x:v>57</x:v>
      </x:c>
      <x:c r="B61" s="82" t="str">
        <x:v>Winner Anacona</x:v>
      </x:c>
      <x:c r="C61" s="85" t="n">
        <x:v>0</x:v>
      </x:c>
      <x:c r="D61" s="85" t="n">
        <x:v>0</x:v>
      </x:c>
      <x:c r="E61" s="85" t="n">
        <x:v>0</x:v>
      </x:c>
      <x:c r="F61" s="85" t="n">
        <x:v>0</x:v>
      </x:c>
      <x:c r="G61" s="85" t="n">
        <x:v>0</x:v>
      </x:c>
      <x:c r="H61" s="85" t="n">
        <x:v>0</x:v>
      </x:c>
      <x:c r="I61" s="85" t="n">
        <x:v>0</x:v>
      </x:c>
      <x:c r="J61" s="85" t="n">
        <x:v>0</x:v>
      </x:c>
      <x:c r="K61" s="85" t="n">
        <x:v>0</x:v>
      </x:c>
      <x:c r="L61" s="85" t="n">
        <x:v>0</x:v>
      </x:c>
      <x:c r="M61" s="85" t="n">
        <x:v>0</x:v>
      </x:c>
      <x:c r="N61" s="85" t="n">
        <x:v>1</x:v>
      </x:c>
      <x:c r="O61" s="85" t="n">
        <x:v>0</x:v>
      </x:c>
      <x:c r="P61" s="85" t="n">
        <x:v>0</x:v>
      </x:c>
      <x:c r="Q61" s="85" t="n">
        <x:v>0</x:v>
      </x:c>
    </x:row>
    <x:row r="62" ht="22" customHeight="1">
      <x:c r="A62" s="85" t="n">
        <x:v>58</x:v>
      </x:c>
      <x:c r="B62" s="82" t="str">
        <x:v>Robert Gesink</x:v>
      </x:c>
      <x:c r="C62" s="85" t="n">
        <x:v>0</x:v>
      </x:c>
      <x:c r="D62" s="85" t="n">
        <x:v>0</x:v>
      </x:c>
      <x:c r="E62" s="85" t="n">
        <x:v>0</x:v>
      </x:c>
      <x:c r="F62" s="85" t="n">
        <x:v>0</x:v>
      </x:c>
      <x:c r="G62" s="85" t="n">
        <x:v>0</x:v>
      </x:c>
      <x:c r="H62" s="85" t="n">
        <x:v>0</x:v>
      </x:c>
      <x:c r="I62" s="85" t="n">
        <x:v>0</x:v>
      </x:c>
      <x:c r="J62" s="85" t="n">
        <x:v>0</x:v>
      </x:c>
      <x:c r="K62" s="85" t="n">
        <x:v>0</x:v>
      </x:c>
      <x:c r="L62" s="85" t="n">
        <x:v>0</x:v>
      </x:c>
      <x:c r="M62" s="85" t="n">
        <x:v>0</x:v>
      </x:c>
      <x:c r="N62" s="85" t="n">
        <x:v>1</x:v>
      </x:c>
      <x:c r="O62" s="85" t="n">
        <x:v>0</x:v>
      </x:c>
      <x:c r="P62" s="85" t="n">
        <x:v>0</x:v>
      </x:c>
      <x:c r="Q62" s="85" t="n">
        <x:v>0</x:v>
      </x:c>
    </x:row>
    <x:row r="63" ht="22" customHeight="1">
      <x:c r="A63" s="85" t="n">
        <x:v>59</x:v>
      </x:c>
      <x:c r="B63" s="82" t="str">
        <x:v>Laurens De Plus</x:v>
      </x:c>
      <x:c r="C63" s="85" t="n">
        <x:v>0</x:v>
      </x:c>
      <x:c r="D63" s="85" t="n">
        <x:v>0</x:v>
      </x:c>
      <x:c r="E63" s="85" t="n">
        <x:v>0</x:v>
      </x:c>
      <x:c r="F63" s="85" t="n">
        <x:v>0</x:v>
      </x:c>
      <x:c r="G63" s="85" t="n">
        <x:v>0</x:v>
      </x:c>
      <x:c r="H63" s="85" t="n">
        <x:v>0</x:v>
      </x:c>
      <x:c r="I63" s="85" t="n">
        <x:v>0</x:v>
      </x:c>
      <x:c r="J63" s="85" t="n">
        <x:v>0</x:v>
      </x:c>
      <x:c r="K63" s="85" t="n">
        <x:v>0</x:v>
      </x:c>
      <x:c r="L63" s="85" t="n">
        <x:v>0</x:v>
      </x:c>
      <x:c r="M63" s="85" t="n">
        <x:v>0</x:v>
      </x:c>
      <x:c r="N63" s="85" t="n">
        <x:v>0</x:v>
      </x:c>
      <x:c r="O63" s="85" t="n">
        <x:v>0</x:v>
      </x:c>
      <x:c r="P63" s="85" t="n">
        <x:v>0</x:v>
      </x:c>
      <x:c r="Q63" s="85" t="n">
        <x:v>0</x:v>
      </x:c>
    </x:row>
    <x:row r="64" ht="22" customHeight="1">
      <x:c r="A64" s="85" t="n">
        <x:v>60</x:v>
      </x:c>
      <x:c r="B64" s="82" t="str">
        <x:v>Wilco Kelderman</x:v>
      </x:c>
      <x:c r="C64" s="85" t="n">
        <x:v>0</x:v>
      </x:c>
      <x:c r="D64" s="85" t="n">
        <x:v>0</x:v>
      </x:c>
      <x:c r="E64" s="85" t="n">
        <x:v>0</x:v>
      </x:c>
      <x:c r="F64" s="85" t="n">
        <x:v>0</x:v>
      </x:c>
      <x:c r="G64" s="85" t="n">
        <x:v>0</x:v>
      </x:c>
      <x:c r="H64" s="85" t="n">
        <x:v>0</x:v>
      </x:c>
      <x:c r="I64" s="85" t="n">
        <x:v>0</x:v>
      </x:c>
      <x:c r="J64" s="85" t="n">
        <x:v>0</x:v>
      </x:c>
      <x:c r="K64" s="85" t="n">
        <x:v>0</x:v>
      </x:c>
      <x:c r="L64" s="85" t="n">
        <x:v>0</x:v>
      </x:c>
      <x:c r="M64" s="85" t="n">
        <x:v>0</x:v>
      </x:c>
      <x:c r="N64" s="85" t="n">
        <x:v>0</x:v>
      </x:c>
      <x:c r="O64" s="85" t="n">
        <x:v>0</x:v>
      </x:c>
      <x:c r="P64" s="85" t="n">
        <x:v>0</x:v>
      </x:c>
      <x:c r="Q64" s="85" t="n">
        <x:v>0</x:v>
      </x:c>
    </x:row>
    <x:row r="65" ht="22" customHeight="1">
      <x:c r="A65" s="85" t="n">
        <x:v>61</x:v>
      </x:c>
      <x:c r="B65" s="82" t="str">
        <x:v>Tao Geoghegan Hart</x:v>
      </x:c>
      <x:c r="C65" s="85" t="n">
        <x:v>0</x:v>
      </x:c>
      <x:c r="D65" s="85" t="n">
        <x:v>0</x:v>
      </x:c>
      <x:c r="E65" s="85" t="n">
        <x:v>0</x:v>
      </x:c>
      <x:c r="F65" s="85" t="n">
        <x:v>0</x:v>
      </x:c>
      <x:c r="G65" s="85" t="n">
        <x:v>0</x:v>
      </x:c>
      <x:c r="H65" s="85" t="n">
        <x:v>1</x:v>
      </x:c>
      <x:c r="I65" s="85" t="n">
        <x:v>2</x:v>
      </x:c>
      <x:c r="J65" s="85" t="n">
        <x:v>0</x:v>
      </x:c>
      <x:c r="K65" s="85" t="n">
        <x:v>0</x:v>
      </x:c>
      <x:c r="L65" s="85" t="n">
        <x:v>1</x:v>
      </x:c>
      <x:c r="M65" s="85" t="n">
        <x:v>0</x:v>
      </x:c>
      <x:c r="N65" s="85" t="n">
        <x:v>0</x:v>
      </x:c>
      <x:c r="O65" s="85" t="n">
        <x:v>0</x:v>
      </x:c>
      <x:c r="P65" s="85" t="n">
        <x:v>0</x:v>
      </x:c>
      <x:c r="Q65" s="85" t="n">
        <x:v>0</x:v>
      </x:c>
    </x:row>
    <x:row r="66" ht="22" customHeight="1">
      <x:c r="A66" s="85" t="n">
        <x:v>62</x:v>
      </x:c>
      <x:c r="B66" s="82" t="str">
        <x:v>Jose Luis Rubiera</x:v>
      </x:c>
      <x:c r="C66" s="85" t="n">
        <x:v>0</x:v>
      </x:c>
      <x:c r="D66" s="85" t="n">
        <x:v>0</x:v>
      </x:c>
      <x:c r="E66" s="85" t="n">
        <x:v>0</x:v>
      </x:c>
      <x:c r="F66" s="85" t="n">
        <x:v>0</x:v>
      </x:c>
      <x:c r="G66" s="85" t="n">
        <x:v>0</x:v>
      </x:c>
      <x:c r="H66" s="85" t="n">
        <x:v>0</x:v>
      </x:c>
      <x:c r="I66" s="85" t="n">
        <x:v>2</x:v>
      </x:c>
      <x:c r="J66" s="85" t="n">
        <x:v>0</x:v>
      </x:c>
      <x:c r="K66" s="85" t="n">
        <x:v>0</x:v>
      </x:c>
      <x:c r="L66" s="85" t="n">
        <x:v>0</x:v>
      </x:c>
      <x:c r="M66" s="85" t="n">
        <x:v>0</x:v>
      </x:c>
      <x:c r="N66" s="85" t="n">
        <x:v>0</x:v>
      </x:c>
      <x:c r="O66" s="85" t="n">
        <x:v>0</x:v>
      </x:c>
      <x:c r="P66" s="85" t="n">
        <x:v>0</x:v>
      </x:c>
      <x:c r="Q66" s="85" t="n">
        <x:v>0</x:v>
      </x:c>
    </x:row>
    <x:row r="67" ht="22" customHeight="1">
      <x:c r="A67" s="85" t="n">
        <x:v>63</x:v>
      </x:c>
      <x:c r="B67" s="82" t="str">
        <x:v>Daniel Navarro</x:v>
      </x:c>
      <x:c r="C67" s="85" t="n">
        <x:v>0</x:v>
      </x:c>
      <x:c r="D67" s="85" t="n">
        <x:v>0</x:v>
      </x:c>
      <x:c r="E67" s="85" t="n">
        <x:v>0</x:v>
      </x:c>
      <x:c r="F67" s="85" t="n">
        <x:v>0</x:v>
      </x:c>
      <x:c r="G67" s="85" t="n">
        <x:v>0</x:v>
      </x:c>
      <x:c r="H67" s="85" t="n">
        <x:v>0</x:v>
      </x:c>
      <x:c r="I67" s="85" t="n">
        <x:v>0</x:v>
      </x:c>
      <x:c r="J67" s="85" t="n">
        <x:v>0</x:v>
      </x:c>
      <x:c r="K67" s="85" t="n">
        <x:v>0</x:v>
      </x:c>
      <x:c r="L67" s="85" t="n">
        <x:v>0</x:v>
      </x:c>
      <x:c r="M67" s="85" t="n">
        <x:v>0</x:v>
      </x:c>
      <x:c r="N67" s="85" t="n">
        <x:v>1</x:v>
      </x:c>
      <x:c r="O67" s="85" t="n">
        <x:v>0</x:v>
      </x:c>
      <x:c r="P67" s="85" t="n">
        <x:v>0</x:v>
      </x:c>
      <x:c r="Q67" s="85" t="n">
        <x:v>0</x:v>
      </x:c>
    </x:row>
    <x:row r="68" ht="22" customHeight="1">
      <x:c r="A68" s="85" t="n">
        <x:v>64</x:v>
      </x:c>
      <x:c r="B68" s="82" t="str">
        <x:v>Sergio Henao</x:v>
      </x:c>
      <x:c r="C68" s="85" t="n">
        <x:v>0</x:v>
      </x:c>
      <x:c r="D68" s="85" t="n">
        <x:v>0</x:v>
      </x:c>
      <x:c r="E68" s="85" t="n">
        <x:v>0</x:v>
      </x:c>
      <x:c r="F68" s="85" t="n">
        <x:v>0</x:v>
      </x:c>
      <x:c r="G68" s="85" t="n">
        <x:v>0</x:v>
      </x:c>
      <x:c r="H68" s="85" t="n">
        <x:v>0</x:v>
      </x:c>
      <x:c r="I68" s="85" t="n">
        <x:v>0</x:v>
      </x:c>
      <x:c r="J68" s="85" t="n">
        <x:v>0</x:v>
      </x:c>
      <x:c r="K68" s="85" t="n">
        <x:v>0</x:v>
      </x:c>
      <x:c r="L68" s="85" t="n">
        <x:v>0</x:v>
      </x:c>
      <x:c r="M68" s="85" t="n">
        <x:v>0</x:v>
      </x:c>
      <x:c r="N68" s="85" t="n">
        <x:v>0</x:v>
      </x:c>
      <x:c r="O68" s="85" t="n">
        <x:v>0</x:v>
      </x:c>
      <x:c r="P68" s="85" t="n">
        <x:v>0</x:v>
      </x:c>
      <x:c r="Q68" s="85" t="n">
        <x:v>0</x:v>
      </x:c>
    </x:row>
    <x:row r="69" ht="22" customHeight="1">
      <x:c r="A69" s="85" t="n">
        <x:v>65</x:v>
      </x:c>
      <x:c r="B69" s="82" t="str">
        <x:v>Tanel Kangert</x:v>
      </x:c>
      <x:c r="C69" s="85" t="n">
        <x:v>0</x:v>
      </x:c>
      <x:c r="D69" s="85" t="n">
        <x:v>0</x:v>
      </x:c>
      <x:c r="E69" s="85" t="n">
        <x:v>0</x:v>
      </x:c>
      <x:c r="F69" s="85" t="n">
        <x:v>0</x:v>
      </x:c>
      <x:c r="G69" s="85" t="n">
        <x:v>0</x:v>
      </x:c>
      <x:c r="H69" s="85" t="n">
        <x:v>0</x:v>
      </x:c>
      <x:c r="I69" s="85" t="n">
        <x:v>0</x:v>
      </x:c>
      <x:c r="J69" s="85" t="n">
        <x:v>0</x:v>
      </x:c>
      <x:c r="K69" s="85" t="n">
        <x:v>0</x:v>
      </x:c>
      <x:c r="L69" s="85" t="n">
        <x:v>0</x:v>
      </x:c>
      <x:c r="M69" s="85" t="n">
        <x:v>0</x:v>
      </x:c>
      <x:c r="N69" s="85" t="n">
        <x:v>0</x:v>
      </x:c>
      <x:c r="O69" s="85" t="n">
        <x:v>0</x:v>
      </x:c>
      <x:c r="P69" s="85" t="n">
        <x:v>0</x:v>
      </x:c>
      <x:c r="Q69" s="85" t="n">
        <x:v>0</x:v>
      </x:c>
    </x:row>
    <x:row r="70" ht="22" customHeight="1">
      <x:c r="A70" s="85" t="n">
        <x:v>66</x:v>
      </x:c>
      <x:c r="B70" s="82" t="str">
        <x:v>Mikel Landa</x:v>
      </x:c>
      <x:c r="C70" s="85" t="n">
        <x:v>0</x:v>
      </x:c>
      <x:c r="D70" s="85" t="n">
        <x:v>0</x:v>
      </x:c>
      <x:c r="E70" s="85" t="n">
        <x:v>0</x:v>
      </x:c>
      <x:c r="F70" s="85" t="n">
        <x:v>0</x:v>
      </x:c>
      <x:c r="G70" s="85" t="n">
        <x:v>0</x:v>
      </x:c>
      <x:c r="H70" s="85" t="n">
        <x:v>0</x:v>
      </x:c>
      <x:c r="I70" s="85" t="n">
        <x:v>3</x:v>
      </x:c>
      <x:c r="J70" s="85" t="n">
        <x:v>0</x:v>
      </x:c>
      <x:c r="K70" s="85" t="n">
        <x:v>1</x:v>
      </x:c>
      <x:c r="L70" s="85" t="n">
        <x:v>0</x:v>
      </x:c>
      <x:c r="M70" s="85" t="n">
        <x:v>0</x:v>
      </x:c>
      <x:c r="N70" s="85" t="n">
        <x:v>1</x:v>
      </x:c>
      <x:c r="O70" s="85" t="n">
        <x:v>0</x:v>
      </x:c>
      <x:c r="P70" s="85" t="n">
        <x:v>0</x:v>
      </x:c>
      <x:c r="Q70" s="85" t="n">
        <x:v>0</x:v>
      </x:c>
    </x:row>
    <x:row r="71" ht="22" customHeight="1">
      <x:c r="A71" s="85" t="n">
        <x:v>67</x:v>
      </x:c>
      <x:c r="B71" s="82" t="str">
        <x:v>Adam Yates</x:v>
      </x:c>
      <x:c r="C71" s="85" t="n">
        <x:v>0</x:v>
      </x:c>
      <x:c r="D71" s="85" t="n">
        <x:v>1</x:v>
      </x:c>
      <x:c r="E71" s="85" t="n">
        <x:v>0</x:v>
      </x:c>
      <x:c r="F71" s="85" t="n">
        <x:v>0</x:v>
      </x:c>
      <x:c r="G71" s="85" t="n">
        <x:v>1</x:v>
      </x:c>
      <x:c r="H71" s="85" t="n">
        <x:v>0</x:v>
      </x:c>
      <x:c r="I71" s="85" t="n">
        <x:v>0</x:v>
      </x:c>
      <x:c r="J71" s="85" t="n">
        <x:v>0</x:v>
      </x:c>
      <x:c r="K71" s="85" t="n">
        <x:v>0</x:v>
      </x:c>
      <x:c r="L71" s="85" t="n">
        <x:v>0</x:v>
      </x:c>
      <x:c r="M71" s="85" t="n">
        <x:v>0</x:v>
      </x:c>
      <x:c r="N71" s="85" t="n">
        <x:v>1</x:v>
      </x:c>
      <x:c r="O71" s="85" t="n">
        <x:v>0</x:v>
      </x:c>
      <x:c r="P71" s="85" t="n">
        <x:v>0</x:v>
      </x:c>
      <x:c r="Q71" s="85" t="n">
        <x:v>0</x:v>
      </x:c>
    </x:row>
    <x:row r="72" ht="22" customHeight="1">
      <x:c r="A72" s="85" t="n">
        <x:v>68</x:v>
      </x:c>
      <x:c r="B72" s="82" t="str">
        <x:v>Rafal Majka</x:v>
      </x:c>
      <x:c r="C72" s="85" t="n">
        <x:v>0</x:v>
      </x:c>
      <x:c r="D72" s="85" t="n">
        <x:v>3</x:v>
      </x:c>
      <x:c r="E72" s="85" t="n">
        <x:v>0</x:v>
      </x:c>
      <x:c r="F72" s="85" t="n">
        <x:v>2</x:v>
      </x:c>
      <x:c r="G72" s="85" t="n">
        <x:v>0</x:v>
      </x:c>
      <x:c r="H72" s="85" t="n">
        <x:v>0</x:v>
      </x:c>
      <x:c r="I72" s="85" t="n">
        <x:v>0</x:v>
      </x:c>
      <x:c r="J72" s="85" t="n">
        <x:v>0</x:v>
      </x:c>
      <x:c r="K72" s="85" t="n">
        <x:v>0</x:v>
      </x:c>
      <x:c r="L72" s="85" t="n">
        <x:v>0</x:v>
      </x:c>
      <x:c r="M72" s="85" t="n">
        <x:v>0</x:v>
      </x:c>
      <x:c r="N72" s="85" t="n">
        <x:v>2</x:v>
      </x:c>
      <x:c r="O72" s="85" t="n">
        <x:v>0</x:v>
      </x:c>
      <x:c r="P72" s="85" t="n">
        <x:v>0</x:v>
      </x:c>
      <x:c r="Q72" s="85" t="n">
        <x:v>0</x:v>
      </x:c>
    </x:row>
    <x:row r="73" ht="22" customHeight="1">
      <x:c r="A73" s="85" t="n">
        <x:v>69</x:v>
      </x:c>
      <x:c r="B73" s="82" t="str">
        <x:v>Carlos Verona</x:v>
      </x:c>
      <x:c r="C73" s="85" t="n">
        <x:v>0</x:v>
      </x:c>
      <x:c r="D73" s="85" t="n">
        <x:v>0</x:v>
      </x:c>
      <x:c r="E73" s="85" t="n">
        <x:v>0</x:v>
      </x:c>
      <x:c r="F73" s="85" t="n">
        <x:v>0</x:v>
      </x:c>
      <x:c r="G73" s="85" t="n">
        <x:v>0</x:v>
      </x:c>
      <x:c r="H73" s="85" t="n">
        <x:v>0</x:v>
      </x:c>
      <x:c r="I73" s="85" t="n">
        <x:v>1</x:v>
      </x:c>
      <x:c r="J73" s="85" t="n">
        <x:v>0</x:v>
      </x:c>
      <x:c r="K73" s="85" t="n">
        <x:v>0</x:v>
      </x:c>
      <x:c r="L73" s="85" t="n">
        <x:v>0</x:v>
      </x:c>
      <x:c r="M73" s="85" t="n">
        <x:v>0</x:v>
      </x:c>
      <x:c r="N73" s="85" t="n">
        <x:v>0</x:v>
      </x:c>
      <x:c r="O73" s="85" t="n">
        <x:v>0</x:v>
      </x:c>
      <x:c r="P73" s="85" t="n">
        <x:v>0</x:v>
      </x:c>
      <x:c r="Q73" s="85" t="n">
        <x:v>0</x:v>
      </x:c>
    </x:row>
    <x:row r="74" ht="22" customHeight="1">
      <x:c r="A74" s="85" t="n">
        <x:v>70</x:v>
      </x:c>
      <x:c r="B74" s="82" t="str">
        <x:v>Marc Soler</x:v>
      </x:c>
      <x:c r="C74" s="85" t="n">
        <x:v>0</x:v>
      </x:c>
      <x:c r="D74" s="85" t="n">
        <x:v>0</x:v>
      </x:c>
      <x:c r="E74" s="85" t="n">
        <x:v>0</x:v>
      </x:c>
      <x:c r="F74" s="85" t="n">
        <x:v>0</x:v>
      </x:c>
      <x:c r="G74" s="85" t="n">
        <x:v>0</x:v>
      </x:c>
      <x:c r="H74" s="85" t="n">
        <x:v>0</x:v>
      </x:c>
      <x:c r="I74" s="85" t="n">
        <x:v>0</x:v>
      </x:c>
      <x:c r="J74" s="85" t="n">
        <x:v>0</x:v>
      </x:c>
      <x:c r="K74" s="85" t="n">
        <x:v>0</x:v>
      </x:c>
      <x:c r="L74" s="85" t="n">
        <x:v>0</x:v>
      </x:c>
      <x:c r="M74" s="85" t="n">
        <x:v>0</x:v>
      </x:c>
      <x:c r="N74" s="85" t="n">
        <x:v>4</x:v>
      </x:c>
      <x:c r="O74" s="85" t="n">
        <x:v>0</x:v>
      </x:c>
      <x:c r="P74" s="85" t="n">
        <x:v>0</x:v>
      </x:c>
      <x:c r="Q74" s="85" t="n">
        <x:v>0</x:v>
      </x:c>
    </x:row>
    <x:row r="75" ht="22" customHeight="1">
      <x:c r="A75" s="85" t="n">
        <x:v>71</x:v>
      </x:c>
      <x:c r="B75" s="82" t="str">
        <x:v>Brandon McNulty</x:v>
      </x:c>
      <x:c r="C75" s="85" t="n">
        <x:v>0</x:v>
      </x:c>
      <x:c r="D75" s="85" t="n">
        <x:v>0</x:v>
      </x:c>
      <x:c r="E75" s="85" t="n">
        <x:v>0</x:v>
      </x:c>
      <x:c r="F75" s="85" t="n">
        <x:v>0</x:v>
      </x:c>
      <x:c r="G75" s="85" t="n">
        <x:v>0</x:v>
      </x:c>
      <x:c r="H75" s="85" t="n">
        <x:v>0</x:v>
      </x:c>
      <x:c r="I75" s="85" t="n">
        <x:v>1</x:v>
      </x:c>
      <x:c r="J75" s="85" t="n">
        <x:v>0</x:v>
      </x:c>
      <x:c r="K75" s="85" t="n">
        <x:v>0</x:v>
      </x:c>
      <x:c r="L75" s="85" t="n">
        <x:v>0</x:v>
      </x:c>
      <x:c r="M75" s="85" t="n">
        <x:v>0</x:v>
      </x:c>
      <x:c r="N75" s="85" t="n">
        <x:v>1</x:v>
      </x:c>
      <x:c r="O75" s="85" t="n">
        <x:v>0</x:v>
      </x:c>
      <x:c r="P75" s="85" t="n">
        <x:v>0</x:v>
      </x:c>
      <x:c r="Q75" s="85" t="n">
        <x:v>0</x:v>
      </x:c>
    </x:row>
    <x:row r="76" ht="22" customHeight="1">
      <x:c r="A76" s="85" t="n">
        <x:v>72</x:v>
      </x:c>
      <x:c r="B76" s="82" t="str">
        <x:v>Pavel Sivakov</x:v>
      </x:c>
      <x:c r="C76" s="85" t="n">
        <x:v>0</x:v>
      </x:c>
      <x:c r="D76" s="85" t="n">
        <x:v>0</x:v>
      </x:c>
      <x:c r="E76" s="85" t="n">
        <x:v>0</x:v>
      </x:c>
      <x:c r="F76" s="85" t="n">
        <x:v>0</x:v>
      </x:c>
      <x:c r="G76" s="85" t="n">
        <x:v>0</x:v>
      </x:c>
      <x:c r="H76" s="85" t="n">
        <x:v>0</x:v>
      </x:c>
      <x:c r="I76" s="85" t="n">
        <x:v>0</x:v>
      </x:c>
      <x:c r="J76" s="85" t="n">
        <x:v>0</x:v>
      </x:c>
      <x:c r="K76" s="85" t="n">
        <x:v>0</x:v>
      </x:c>
      <x:c r="L76" s="85" t="n">
        <x:v>0</x:v>
      </x:c>
      <x:c r="M76" s="85" t="n">
        <x:v>0</x:v>
      </x:c>
      <x:c r="N76" s="85" t="n">
        <x:v>0</x:v>
      </x:c>
      <x:c r="O76" s="85" t="n">
        <x:v>0</x:v>
      </x:c>
      <x:c r="P76" s="85" t="n">
        <x:v>0</x:v>
      </x:c>
      <x:c r="Q76" s="85" t="n">
        <x:v>0</x:v>
      </x:c>
    </x:row>
    <x:row r="77" ht="22" customHeight="1">
      <x:c r="A77" s="85" t="n">
        <x:v>73</x:v>
      </x:c>
      <x:c r="B77" s="82" t="str">
        <x:v>Thymen Arensman</x:v>
      </x:c>
      <x:c r="C77" s="85" t="n">
        <x:v>0</x:v>
      </x:c>
      <x:c r="D77" s="85" t="n">
        <x:v>2</x:v>
      </x:c>
      <x:c r="E77" s="85" t="n">
        <x:v>0</x:v>
      </x:c>
      <x:c r="F77" s="85" t="n">
        <x:v>0</x:v>
      </x:c>
      <x:c r="G77" s="85" t="n">
        <x:v>0</x:v>
      </x:c>
      <x:c r="H77" s="85" t="n">
        <x:v>0</x:v>
      </x:c>
      <x:c r="I77" s="85" t="n">
        <x:v>0</x:v>
      </x:c>
      <x:c r="J77" s="85" t="n">
        <x:v>0</x:v>
      </x:c>
      <x:c r="K77" s="85" t="n">
        <x:v>0</x:v>
      </x:c>
      <x:c r="L77" s="85" t="n">
        <x:v>0</x:v>
      </x:c>
      <x:c r="M77" s="85" t="n">
        <x:v>0</x:v>
      </x:c>
      <x:c r="N77" s="85" t="n">
        <x:v>1</x:v>
      </x:c>
      <x:c r="O77" s="85" t="n">
        <x:v>0</x:v>
      </x:c>
      <x:c r="P77" s="85" t="n">
        <x:v>0</x:v>
      </x:c>
      <x:c r="Q77" s="85" t="n">
        <x:v>0</x:v>
      </x:c>
    </x:row>
    <x:row r="78" ht="22" customHeight="1">
      <x:c r="A78" s="85" t="n">
        <x:v>74</x:v>
      </x:c>
      <x:c r="B78" s="82" t="str">
        <x:v>Ben O'Connor</x:v>
      </x:c>
      <x:c r="C78" s="85" t="n">
        <x:v>0</x:v>
      </x:c>
      <x:c r="D78" s="85" t="n">
        <x:v>2</x:v>
      </x:c>
      <x:c r="E78" s="85" t="n">
        <x:v>0</x:v>
      </x:c>
      <x:c r="F78" s="85" t="n">
        <x:v>0</x:v>
      </x:c>
      <x:c r="G78" s="85" t="n">
        <x:v>0</x:v>
      </x:c>
      <x:c r="H78" s="85" t="n">
        <x:v>0</x:v>
      </x:c>
      <x:c r="I78" s="85" t="n">
        <x:v>1</x:v>
      </x:c>
      <x:c r="J78" s="85" t="n">
        <x:v>0</x:v>
      </x:c>
      <x:c r="K78" s="85" t="n">
        <x:v>0</x:v>
      </x:c>
      <x:c r="L78" s="85" t="n">
        <x:v>0</x:v>
      </x:c>
      <x:c r="M78" s="85" t="n">
        <x:v>0</x:v>
      </x:c>
      <x:c r="N78" s="85" t="n">
        <x:v>1</x:v>
      </x:c>
      <x:c r="O78" s="85" t="n">
        <x:v>0</x:v>
      </x:c>
      <x:c r="P78" s="85" t="n">
        <x:v>0</x:v>
      </x:c>
      <x:c r="Q78" s="85" t="n">
        <x:v>0</x:v>
      </x:c>
    </x:row>
    <x:row r="79" ht="22" customHeight="1">
      <x:c r="A79" s="85" t="n">
        <x:v>75</x:v>
      </x:c>
      <x:c r="B79" s="82" t="str">
        <x:v>Santiago Buitrago</x:v>
      </x:c>
      <x:c r="C79" s="85" t="n">
        <x:v>0</x:v>
      </x:c>
      <x:c r="D79" s="85" t="n">
        <x:v>0</x:v>
      </x:c>
      <x:c r="E79" s="85" t="n">
        <x:v>0</x:v>
      </x:c>
      <x:c r="F79" s="85" t="n">
        <x:v>0</x:v>
      </x:c>
      <x:c r="G79" s="85" t="n">
        <x:v>0</x:v>
      </x:c>
      <x:c r="H79" s="85" t="n">
        <x:v>0</x:v>
      </x:c>
      <x:c r="I79" s="85" t="n">
        <x:v>2</x:v>
      </x:c>
      <x:c r="J79" s="85" t="n">
        <x:v>0</x:v>
      </x:c>
      <x:c r="K79" s="85" t="n">
        <x:v>0</x:v>
      </x:c>
      <x:c r="L79" s="85" t="n">
        <x:v>0</x:v>
      </x:c>
      <x:c r="M79" s="85" t="n">
        <x:v>0</x:v>
      </x:c>
      <x:c r="N79" s="85" t="n">
        <x:v>0</x:v>
      </x:c>
      <x:c r="O79" s="85" t="n">
        <x:v>0</x:v>
      </x:c>
      <x:c r="P79" s="85" t="n">
        <x:v>0</x:v>
      </x:c>
      <x:c r="Q79" s="85" t="n">
        <x:v>0</x:v>
      </x:c>
    </x:row>
    <x:row r="80" ht="22" customHeight="1">
      <x:c r="A80" s="85" t="n">
        <x:v>76</x:v>
      </x:c>
      <x:c r="B80" s="82" t="str">
        <x:v>Damiano Caruso</x:v>
      </x:c>
      <x:c r="C80" s="85" t="n">
        <x:v>0</x:v>
      </x:c>
      <x:c r="D80" s="85" t="n">
        <x:v>0</x:v>
      </x:c>
      <x:c r="E80" s="85" t="n">
        <x:v>0</x:v>
      </x:c>
      <x:c r="F80" s="85" t="n">
        <x:v>0</x:v>
      </x:c>
      <x:c r="G80" s="85" t="n">
        <x:v>0</x:v>
      </x:c>
      <x:c r="H80" s="85" t="n">
        <x:v>0</x:v>
      </x:c>
      <x:c r="I80" s="85" t="n">
        <x:v>1</x:v>
      </x:c>
      <x:c r="J80" s="85" t="n">
        <x:v>0</x:v>
      </x:c>
      <x:c r="K80" s="85" t="n">
        <x:v>0</x:v>
      </x:c>
      <x:c r="L80" s="85" t="n">
        <x:v>0</x:v>
      </x:c>
      <x:c r="M80" s="85" t="n">
        <x:v>0</x:v>
      </x:c>
      <x:c r="N80" s="85" t="n">
        <x:v>1</x:v>
      </x:c>
      <x:c r="O80" s="85" t="n">
        <x:v>0</x:v>
      </x:c>
      <x:c r="P80" s="85" t="n">
        <x:v>0</x:v>
      </x:c>
      <x:c r="Q80" s="85" t="n">
        <x:v>0</x:v>
      </x:c>
    </x:row>
    <x:row r="81" ht="22" customHeight="1">
      <x:c r="A81" s="85" t="n">
        <x:v>77</x:v>
      </x:c>
      <x:c r="B81" s="82" t="str">
        <x:v>Domenico Pozzovivo</x:v>
      </x:c>
      <x:c r="C81" s="85" t="n">
        <x:v>0</x:v>
      </x:c>
      <x:c r="D81" s="85" t="n">
        <x:v>0</x:v>
      </x:c>
      <x:c r="E81" s="85" t="n">
        <x:v>0</x:v>
      </x:c>
      <x:c r="F81" s="85" t="n">
        <x:v>0</x:v>
      </x:c>
      <x:c r="G81" s="85" t="n">
        <x:v>0</x:v>
      </x:c>
      <x:c r="H81" s="85" t="n">
        <x:v>0</x:v>
      </x:c>
      <x:c r="I81" s="85" t="n">
        <x:v>1</x:v>
      </x:c>
      <x:c r="J81" s="85" t="n">
        <x:v>0</x:v>
      </x:c>
      <x:c r="K81" s="85" t="n">
        <x:v>0</x:v>
      </x:c>
      <x:c r="L81" s="85" t="n">
        <x:v>0</x:v>
      </x:c>
      <x:c r="M81" s="85" t="n">
        <x:v>0</x:v>
      </x:c>
      <x:c r="N81" s="85" t="n">
        <x:v>0</x:v>
      </x:c>
      <x:c r="O81" s="85" t="n">
        <x:v>0</x:v>
      </x:c>
      <x:c r="P81" s="85" t="n">
        <x:v>0</x:v>
      </x:c>
      <x:c r="Q81" s="85" t="n">
        <x:v>0</x:v>
      </x:c>
    </x:row>
    <x:row r="82" ht="22" customHeight="1">
      <x:c r="A82" s="85" t="n">
        <x:v>78</x:v>
      </x:c>
      <x:c r="B82" s="82" t="str">
        <x:v>Roman Kreuziger</x:v>
      </x:c>
      <x:c r="C82" s="85" t="n">
        <x:v>0</x:v>
      </x:c>
      <x:c r="D82" s="85" t="n">
        <x:v>0</x:v>
      </x:c>
      <x:c r="E82" s="85" t="n">
        <x:v>0</x:v>
      </x:c>
      <x:c r="F82" s="85" t="n">
        <x:v>0</x:v>
      </x:c>
      <x:c r="G82" s="85" t="n">
        <x:v>0</x:v>
      </x:c>
      <x:c r="H82" s="85" t="n">
        <x:v>0</x:v>
      </x:c>
      <x:c r="I82" s="85" t="n">
        <x:v>1</x:v>
      </x:c>
      <x:c r="J82" s="85" t="n">
        <x:v>0</x:v>
      </x:c>
      <x:c r="K82" s="85" t="n">
        <x:v>0</x:v>
      </x:c>
      <x:c r="L82" s="85" t="n">
        <x:v>1</x:v>
      </x:c>
      <x:c r="M82" s="85" t="n">
        <x:v>0</x:v>
      </x:c>
      <x:c r="N82" s="85" t="n">
        <x:v>0</x:v>
      </x:c>
      <x:c r="O82" s="85" t="n">
        <x:v>0</x:v>
      </x:c>
      <x:c r="P82" s="85" t="n">
        <x:v>0</x:v>
      </x:c>
      <x:c r="Q82" s="85" t="n">
        <x:v>0</x:v>
      </x:c>
    </x:row>
    <x:row r="83" ht="22" customHeight="1">
      <x:c r="A83" s="85" t="n">
        <x:v>79</x:v>
      </x:c>
      <x:c r="B83" s="82" t="str">
        <x:v>Haimar Zubeldia</x:v>
      </x:c>
      <x:c r="C83" s="85" t="n">
        <x:v>0</x:v>
      </x:c>
      <x:c r="D83" s="85" t="n">
        <x:v>0</x:v>
      </x:c>
      <x:c r="E83" s="85" t="n">
        <x:v>0</x:v>
      </x:c>
      <x:c r="F83" s="85" t="n">
        <x:v>0</x:v>
      </x:c>
      <x:c r="G83" s="85" t="n">
        <x:v>0</x:v>
      </x:c>
      <x:c r="H83" s="85" t="n">
        <x:v>0</x:v>
      </x:c>
      <x:c r="I83" s="85" t="n">
        <x:v>0</x:v>
      </x:c>
      <x:c r="J83" s="85" t="n">
        <x:v>0</x:v>
      </x:c>
      <x:c r="K83" s="85" t="n">
        <x:v>0</x:v>
      </x:c>
      <x:c r="L83" s="85" t="n">
        <x:v>0</x:v>
      </x:c>
      <x:c r="M83" s="85" t="n">
        <x:v>0</x:v>
      </x:c>
      <x:c r="N83" s="85" t="n">
        <x:v>0</x:v>
      </x:c>
      <x:c r="O83" s="85" t="n">
        <x:v>0</x:v>
      </x:c>
      <x:c r="P83" s="85" t="n">
        <x:v>0</x:v>
      </x:c>
      <x:c r="Q83" s="85" t="n">
        <x:v>0</x:v>
      </x:c>
    </x:row>
    <x:row r="84" ht="22" customHeight="1">
      <x:c r="A84" s="85" t="n">
        <x:v>80</x:v>
      </x:c>
      <x:c r="B84" s="82" t="str">
        <x:v>Igor Anton</x:v>
      </x:c>
      <x:c r="C84" s="85" t="n">
        <x:v>0</x:v>
      </x:c>
      <x:c r="D84" s="85" t="n">
        <x:v>0</x:v>
      </x:c>
      <x:c r="E84" s="85" t="n">
        <x:v>0</x:v>
      </x:c>
      <x:c r="F84" s="85" t="n">
        <x:v>0</x:v>
      </x:c>
      <x:c r="G84" s="85" t="n">
        <x:v>0</x:v>
      </x:c>
      <x:c r="H84" s="85" t="n">
        <x:v>0</x:v>
      </x:c>
      <x:c r="I84" s="85" t="n">
        <x:v>1</x:v>
      </x:c>
      <x:c r="J84" s="85" t="n">
        <x:v>0</x:v>
      </x:c>
      <x:c r="K84" s="85" t="n">
        <x:v>0</x:v>
      </x:c>
      <x:c r="L84" s="85" t="n">
        <x:v>0</x:v>
      </x:c>
      <x:c r="M84" s="85" t="n">
        <x:v>0</x:v>
      </x:c>
      <x:c r="N84" s="85" t="n">
        <x:v>4</x:v>
      </x:c>
      <x:c r="O84" s="85" t="n">
        <x:v>0</x:v>
      </x:c>
      <x:c r="P84" s="85" t="n">
        <x:v>0</x:v>
      </x:c>
      <x:c r="Q84" s="85" t="n">
        <x:v>0</x:v>
      </x:c>
    </x:row>
    <x:row r="85" ht="22" customHeight="1">
      <x:c r="A85" s="85" t="n">
        <x:v>81</x:v>
      </x:c>
      <x:c r="B85" s="82" t="str">
        <x:v>Pierre Rolland</x:v>
      </x:c>
      <x:c r="C85" s="85" t="n">
        <x:v>0</x:v>
      </x:c>
      <x:c r="D85" s="85" t="n">
        <x:v>2</x:v>
      </x:c>
      <x:c r="E85" s="85" t="n">
        <x:v>0</x:v>
      </x:c>
      <x:c r="F85" s="85" t="n">
        <x:v>0</x:v>
      </x:c>
      <x:c r="G85" s="85" t="n">
        <x:v>1</x:v>
      </x:c>
      <x:c r="H85" s="85" t="n">
        <x:v>0</x:v>
      </x:c>
      <x:c r="I85" s="85" t="n">
        <x:v>1</x:v>
      </x:c>
      <x:c r="J85" s="85" t="n">
        <x:v>0</x:v>
      </x:c>
      <x:c r="K85" s="85" t="n">
        <x:v>0</x:v>
      </x:c>
      <x:c r="L85" s="85" t="n">
        <x:v>0</x:v>
      </x:c>
      <x:c r="M85" s="85" t="n">
        <x:v>0</x:v>
      </x:c>
      <x:c r="N85" s="85" t="n">
        <x:v>0</x:v>
      </x:c>
      <x:c r="O85" s="85" t="n">
        <x:v>0</x:v>
      </x:c>
      <x:c r="P85" s="85" t="n">
        <x:v>0</x:v>
      </x:c>
      <x:c r="Q85" s="85" t="n">
        <x:v>0</x:v>
      </x:c>
    </x:row>
    <x:row r="86" ht="22" customHeight="1">
      <x:c r="A86" s="85" t="n">
        <x:v>82</x:v>
      </x:c>
      <x:c r="B86" s="82" t="str">
        <x:v>Rein Taaramae</x:v>
      </x:c>
      <x:c r="C86" s="85" t="n">
        <x:v>0</x:v>
      </x:c>
      <x:c r="D86" s="85" t="n">
        <x:v>0</x:v>
      </x:c>
      <x:c r="E86" s="85" t="n">
        <x:v>0</x:v>
      </x:c>
      <x:c r="F86" s="85" t="n">
        <x:v>0</x:v>
      </x:c>
      <x:c r="G86" s="85" t="n">
        <x:v>0</x:v>
      </x:c>
      <x:c r="H86" s="85" t="n">
        <x:v>0</x:v>
      </x:c>
      <x:c r="I86" s="85" t="n">
        <x:v>1</x:v>
      </x:c>
      <x:c r="J86" s="85" t="n">
        <x:v>0</x:v>
      </x:c>
      <x:c r="K86" s="85" t="n">
        <x:v>0</x:v>
      </x:c>
      <x:c r="L86" s="85" t="n">
        <x:v>0</x:v>
      </x:c>
      <x:c r="M86" s="85" t="n">
        <x:v>0</x:v>
      </x:c>
      <x:c r="N86" s="85" t="n">
        <x:v>2</x:v>
      </x:c>
      <x:c r="O86" s="85" t="n">
        <x:v>0</x:v>
      </x:c>
      <x:c r="P86" s="85" t="n">
        <x:v>0</x:v>
      </x:c>
      <x:c r="Q86" s="85" t="n">
        <x:v>0</x:v>
      </x:c>
    </x:row>
    <x:row r="87" ht="22" customHeight="1">
      <x:c r="A87" s="85" t="n">
        <x:v>83</x:v>
      </x:c>
      <x:c r="B87" s="82" t="str">
        <x:v>Tim Declercq</x:v>
      </x:c>
      <x:c r="C87" s="85" t="n">
        <x:v>0</x:v>
      </x:c>
      <x:c r="D87" s="85" t="n">
        <x:v>0</x:v>
      </x:c>
      <x:c r="E87" s="85" t="n">
        <x:v>0</x:v>
      </x:c>
      <x:c r="F87" s="85" t="n">
        <x:v>0</x:v>
      </x:c>
      <x:c r="G87" s="85" t="n">
        <x:v>0</x:v>
      </x:c>
      <x:c r="H87" s="85" t="n">
        <x:v>0</x:v>
      </x:c>
      <x:c r="I87" s="85" t="n">
        <x:v>0</x:v>
      </x:c>
      <x:c r="J87" s="85" t="n">
        <x:v>0</x:v>
      </x:c>
      <x:c r="K87" s="85" t="n">
        <x:v>0</x:v>
      </x:c>
      <x:c r="L87" s="85" t="n">
        <x:v>0</x:v>
      </x:c>
      <x:c r="M87" s="85" t="n">
        <x:v>0</x:v>
      </x:c>
      <x:c r="N87" s="85" t="n">
        <x:v>0</x:v>
      </x:c>
      <x:c r="O87" s="85" t="n">
        <x:v>0</x:v>
      </x:c>
      <x:c r="P87" s="85" t="n">
        <x:v>0</x:v>
      </x:c>
      <x:c r="Q87" s="85" t="n">
        <x:v>0</x:v>
      </x:c>
    </x:row>
    <x:row r="88" ht="22" customHeight="1">
      <x:c r="A88" s="85" t="n">
        <x:v>84</x:v>
      </x:c>
      <x:c r="B88" s="82" t="str">
        <x:v>Nils Politt</x:v>
      </x:c>
      <x:c r="C88" s="85" t="n">
        <x:v>0</x:v>
      </x:c>
      <x:c r="D88" s="85" t="n">
        <x:v>1</x:v>
      </x:c>
      <x:c r="E88" s="85" t="n">
        <x:v>0</x:v>
      </x:c>
      <x:c r="F88" s="85" t="n">
        <x:v>0</x:v>
      </x:c>
      <x:c r="G88" s="85" t="n">
        <x:v>0</x:v>
      </x:c>
      <x:c r="H88" s="85" t="n">
        <x:v>0</x:v>
      </x:c>
      <x:c r="I88" s="85" t="n">
        <x:v>0</x:v>
      </x:c>
      <x:c r="J88" s="85" t="n">
        <x:v>0</x:v>
      </x:c>
      <x:c r="K88" s="85" t="n">
        <x:v>0</x:v>
      </x:c>
      <x:c r="L88" s="85" t="n">
        <x:v>0</x:v>
      </x:c>
      <x:c r="M88" s="85" t="n">
        <x:v>0</x:v>
      </x:c>
      <x:c r="N88" s="85" t="n">
        <x:v>0</x:v>
      </x:c>
      <x:c r="O88" s="85" t="n">
        <x:v>0</x:v>
      </x:c>
      <x:c r="P88" s="85" t="n">
        <x:v>0</x:v>
      </x:c>
      <x:c r="Q88" s="85" t="n">
        <x:v>0</x:v>
      </x:c>
    </x:row>
    <x:row r="89" ht="22" customHeight="1">
      <x:c r="A89" s="85" t="n">
        <x:v>85</x:v>
      </x:c>
      <x:c r="B89" s="82" t="str">
        <x:v>Luke Durbridge</x:v>
      </x:c>
      <x:c r="C89" s="85" t="n">
        <x:v>0</x:v>
      </x:c>
      <x:c r="D89" s="85" t="n">
        <x:v>0</x:v>
      </x:c>
      <x:c r="E89" s="85" t="n">
        <x:v>0</x:v>
      </x:c>
      <x:c r="F89" s="85" t="n">
        <x:v>0</x:v>
      </x:c>
      <x:c r="G89" s="85" t="n">
        <x:v>0</x:v>
      </x:c>
      <x:c r="H89" s="85" t="n">
        <x:v>0</x:v>
      </x:c>
      <x:c r="I89" s="85" t="n">
        <x:v>0</x:v>
      </x:c>
      <x:c r="J89" s="85" t="n">
        <x:v>0</x:v>
      </x:c>
      <x:c r="K89" s="85" t="n">
        <x:v>0</x:v>
      </x:c>
      <x:c r="L89" s="85" t="n">
        <x:v>0</x:v>
      </x:c>
      <x:c r="M89" s="85" t="n">
        <x:v>0</x:v>
      </x:c>
      <x:c r="N89" s="85" t="n">
        <x:v>0</x:v>
      </x:c>
      <x:c r="O89" s="85" t="n">
        <x:v>0</x:v>
      </x:c>
      <x:c r="P89" s="85" t="n">
        <x:v>0</x:v>
      </x:c>
      <x:c r="Q89" s="85" t="n">
        <x:v>0</x:v>
      </x:c>
    </x:row>
    <x:row r="90" ht="22" customHeight="1">
      <x:c r="A90" s="85" t="n">
        <x:v>86</x:v>
      </x:c>
      <x:c r="B90" s="82" t="str">
        <x:v>Mads Pedersen</x:v>
      </x:c>
      <x:c r="C90" s="85" t="n">
        <x:v>0</x:v>
      </x:c>
      <x:c r="D90" s="85" t="n">
        <x:v>2</x:v>
      </x:c>
      <x:c r="E90" s="85" t="n">
        <x:v>0</x:v>
      </x:c>
      <x:c r="F90" s="85" t="n">
        <x:v>0</x:v>
      </x:c>
      <x:c r="G90" s="85" t="n">
        <x:v>0</x:v>
      </x:c>
      <x:c r="H90" s="85" t="n">
        <x:v>0</x:v>
      </x:c>
      <x:c r="I90" s="85" t="n">
        <x:v>5</x:v>
      </x:c>
      <x:c r="J90" s="85" t="n">
        <x:v>1</x:v>
      </x:c>
      <x:c r="K90" s="85" t="n">
        <x:v>0</x:v>
      </x:c>
      <x:c r="L90" s="85" t="n">
        <x:v>0</x:v>
      </x:c>
      <x:c r="M90" s="85" t="n">
        <x:v>0</x:v>
      </x:c>
      <x:c r="N90" s="85" t="n">
        <x:v>4</x:v>
      </x:c>
      <x:c r="O90" s="85" t="n">
        <x:v>2</x:v>
      </x:c>
      <x:c r="P90" s="85" t="n">
        <x:v>0</x:v>
      </x:c>
      <x:c r="Q90" s="85" t="n">
        <x:v>0</x:v>
      </x:c>
    </x:row>
    <x:row r="91" ht="22" customHeight="1">
      <x:c r="A91" s="85" t="n">
        <x:v>87</x:v>
      </x:c>
      <x:c r="B91" s="82" t="str">
        <x:v>Michael Hepburn</x:v>
      </x:c>
      <x:c r="C91" s="85" t="n">
        <x:v>0</x:v>
      </x:c>
      <x:c r="D91" s="85" t="n">
        <x:v>0</x:v>
      </x:c>
      <x:c r="E91" s="85" t="n">
        <x:v>0</x:v>
      </x:c>
      <x:c r="F91" s="85" t="n">
        <x:v>0</x:v>
      </x:c>
      <x:c r="G91" s="85" t="n">
        <x:v>0</x:v>
      </x:c>
      <x:c r="H91" s="85" t="n">
        <x:v>0</x:v>
      </x:c>
      <x:c r="I91" s="85" t="n">
        <x:v>0</x:v>
      </x:c>
      <x:c r="J91" s="85" t="n">
        <x:v>0</x:v>
      </x:c>
      <x:c r="K91" s="85" t="n">
        <x:v>0</x:v>
      </x:c>
      <x:c r="L91" s="85" t="n">
        <x:v>0</x:v>
      </x:c>
      <x:c r="M91" s="85" t="n">
        <x:v>0</x:v>
      </x:c>
      <x:c r="N91" s="85" t="n">
        <x:v>0</x:v>
      </x:c>
      <x:c r="O91" s="85" t="n">
        <x:v>0</x:v>
      </x:c>
      <x:c r="P91" s="85" t="n">
        <x:v>0</x:v>
      </x:c>
      <x:c r="Q91" s="85" t="n">
        <x:v>0</x:v>
      </x:c>
    </x:row>
    <x:row r="92" ht="22" customHeight="1">
      <x:c r="A92" s="85" t="n">
        <x:v>88</x:v>
      </x:c>
      <x:c r="B92" s="82" t="str">
        <x:v>Viatcheslav Ekimov</x:v>
      </x:c>
      <x:c r="C92" s="85" t="n">
        <x:v>0</x:v>
      </x:c>
      <x:c r="D92" s="85" t="n">
        <x:v>1</x:v>
      </x:c>
      <x:c r="E92" s="85" t="n">
        <x:v>0</x:v>
      </x:c>
      <x:c r="F92" s="85" t="n">
        <x:v>0</x:v>
      </x:c>
      <x:c r="G92" s="85" t="n">
        <x:v>0</x:v>
      </x:c>
      <x:c r="H92" s="85" t="n">
        <x:v>0</x:v>
      </x:c>
      <x:c r="I92" s="85" t="n">
        <x:v>0</x:v>
      </x:c>
      <x:c r="J92" s="85" t="n">
        <x:v>0</x:v>
      </x:c>
      <x:c r="K92" s="85" t="n">
        <x:v>0</x:v>
      </x:c>
      <x:c r="L92" s="85" t="n">
        <x:v>0</x:v>
      </x:c>
      <x:c r="M92" s="85" t="n">
        <x:v>0</x:v>
      </x:c>
      <x:c r="N92" s="85" t="n">
        <x:v>1</x:v>
      </x:c>
      <x:c r="O92" s="85" t="n">
        <x:v>0</x:v>
      </x:c>
      <x:c r="P92" s="85" t="n">
        <x:v>0</x:v>
      </x:c>
      <x:c r="Q92" s="85" t="n">
        <x:v>0</x:v>
      </x:c>
    </x:row>
    <x:row r="93" ht="22" customHeight="1">
      <x:c r="A93" s="85" t="n">
        <x:v>89</x:v>
      </x:c>
      <x:c r="B93" s="82" t="str">
        <x:v>Jasper Philipsen</x:v>
      </x:c>
      <x:c r="C93" s="85" t="n">
        <x:v>0</x:v>
      </x:c>
      <x:c r="D93" s="85" t="n">
        <x:v>10</x:v>
      </x:c>
      <x:c r="E93" s="85" t="n">
        <x:v>1</x:v>
      </x:c>
      <x:c r="F93" s="85" t="n">
        <x:v>0</x:v>
      </x:c>
      <x:c r="G93" s="85" t="n">
        <x:v>0</x:v>
      </x:c>
      <x:c r="H93" s="85" t="n">
        <x:v>0</x:v>
      </x:c>
      <x:c r="I93" s="85" t="n">
        <x:v>0</x:v>
      </x:c>
      <x:c r="J93" s="85" t="n">
        <x:v>0</x:v>
      </x:c>
      <x:c r="K93" s="85" t="n">
        <x:v>0</x:v>
      </x:c>
      <x:c r="L93" s="85" t="n">
        <x:v>0</x:v>
      </x:c>
      <x:c r="M93" s="85" t="n">
        <x:v>0</x:v>
      </x:c>
      <x:c r="N93" s="85" t="n">
        <x:v>6</x:v>
      </x:c>
      <x:c r="O93" s="85" t="n">
        <x:v>0</x:v>
      </x:c>
      <x:c r="P93" s="85" t="n">
        <x:v>0</x:v>
      </x:c>
      <x:c r="Q93" s="85" t="n">
        <x:v>0</x:v>
      </x:c>
    </x:row>
    <x:row r="94" ht="22" customHeight="1">
      <x:c r="A94" s="85" t="n">
        <x:v>90</x:v>
      </x:c>
      <x:c r="B94" s="82" t="str">
        <x:v>Matteo Tosatto</x:v>
      </x:c>
      <x:c r="C94" s="85" t="n">
        <x:v>0</x:v>
      </x:c>
      <x:c r="D94" s="85" t="n">
        <x:v>1</x:v>
      </x:c>
      <x:c r="E94" s="85" t="n">
        <x:v>0</x:v>
      </x:c>
      <x:c r="F94" s="85" t="n">
        <x:v>0</x:v>
      </x:c>
      <x:c r="G94" s="85" t="n">
        <x:v>0</x:v>
      </x:c>
      <x:c r="H94" s="85" t="n">
        <x:v>0</x:v>
      </x:c>
      <x:c r="I94" s="85" t="n">
        <x:v>1</x:v>
      </x:c>
      <x:c r="J94" s="85" t="n">
        <x:v>0</x:v>
      </x:c>
      <x:c r="K94" s="85" t="n">
        <x:v>0</x:v>
      </x:c>
      <x:c r="L94" s="85" t="n">
        <x:v>0</x:v>
      </x:c>
      <x:c r="M94" s="85" t="n">
        <x:v>0</x:v>
      </x:c>
      <x:c r="N94" s="85" t="n">
        <x:v>0</x:v>
      </x:c>
      <x:c r="O94" s="85" t="n">
        <x:v>0</x:v>
      </x:c>
      <x:c r="P94" s="85" t="n">
        <x:v>0</x:v>
      </x:c>
      <x:c r="Q94" s="85" t="n">
        <x:v>0</x:v>
      </x:c>
    </x:row>
    <x:row r="95" ht="22" customHeight="1">
      <x:c r="A95" s="85" t="n">
        <x:v>91</x:v>
      </x:c>
      <x:c r="B95" s="82" t="str">
        <x:v>Nathan Van Hooydonck</x:v>
      </x:c>
      <x:c r="C95" s="85" t="n">
        <x:v>0</x:v>
      </x:c>
      <x:c r="D95" s="85" t="n">
        <x:v>0</x:v>
      </x:c>
      <x:c r="E95" s="85" t="n">
        <x:v>0</x:v>
      </x:c>
      <x:c r="F95" s="85" t="n">
        <x:v>0</x:v>
      </x:c>
      <x:c r="G95" s="85" t="n">
        <x:v>0</x:v>
      </x:c>
      <x:c r="H95" s="85" t="n">
        <x:v>0</x:v>
      </x:c>
      <x:c r="I95" s="85" t="n">
        <x:v>0</x:v>
      </x:c>
      <x:c r="J95" s="85" t="n">
        <x:v>0</x:v>
      </x:c>
      <x:c r="K95" s="85" t="n">
        <x:v>0</x:v>
      </x:c>
      <x:c r="L95" s="85" t="n">
        <x:v>0</x:v>
      </x:c>
      <x:c r="M95" s="85" t="n">
        <x:v>0</x:v>
      </x:c>
      <x:c r="N95" s="85" t="n">
        <x:v>0</x:v>
      </x:c>
      <x:c r="O95" s="85" t="n">
        <x:v>0</x:v>
      </x:c>
      <x:c r="P95" s="85" t="n">
        <x:v>0</x:v>
      </x:c>
      <x:c r="Q95" s="85" t="n">
        <x:v>0</x:v>
      </x:c>
    </x:row>
    <x:row r="96" ht="22" customHeight="1">
      <x:c r="A96" s="85" t="n">
        <x:v>92</x:v>
      </x:c>
      <x:c r="B96" s="82" t="str">
        <x:v>Dylan van Baarle</x:v>
      </x:c>
      <x:c r="C96" s="85" t="n">
        <x:v>0</x:v>
      </x:c>
      <x:c r="D96" s="85" t="n">
        <x:v>0</x:v>
      </x:c>
      <x:c r="E96" s="85" t="n">
        <x:v>0</x:v>
      </x:c>
      <x:c r="F96" s="85" t="n">
        <x:v>0</x:v>
      </x:c>
      <x:c r="G96" s="85" t="n">
        <x:v>0</x:v>
      </x:c>
      <x:c r="H96" s="85" t="n">
        <x:v>0</x:v>
      </x:c>
      <x:c r="I96" s="85" t="n">
        <x:v>0</x:v>
      </x:c>
      <x:c r="J96" s="85" t="n">
        <x:v>0</x:v>
      </x:c>
      <x:c r="K96" s="85" t="n">
        <x:v>0</x:v>
      </x:c>
      <x:c r="L96" s="85" t="n">
        <x:v>0</x:v>
      </x:c>
      <x:c r="M96" s="85" t="n">
        <x:v>0</x:v>
      </x:c>
      <x:c r="N96" s="85" t="n">
        <x:v>0</x:v>
      </x:c>
      <x:c r="O96" s="85" t="n">
        <x:v>0</x:v>
      </x:c>
      <x:c r="P96" s="85" t="n">
        <x:v>0</x:v>
      </x:c>
      <x:c r="Q96" s="85" t="n">
        <x:v>0</x:v>
      </x:c>
    </x:row>
    <x:row r="97" ht="22" customHeight="1">
      <x:c r="A97" s="85" t="n">
        <x:v>93</x:v>
      </x:c>
      <x:c r="B97" s="82" t="str">
        <x:v>Stefan Kung</x:v>
      </x:c>
      <x:c r="C97" s="85" t="n">
        <x:v>0</x:v>
      </x:c>
      <x:c r="D97" s="85" t="n">
        <x:v>0</x:v>
      </x:c>
      <x:c r="E97" s="85" t="n">
        <x:v>0</x:v>
      </x:c>
      <x:c r="F97" s="85" t="n">
        <x:v>0</x:v>
      </x:c>
      <x:c r="G97" s="85" t="n">
        <x:v>0</x:v>
      </x:c>
      <x:c r="H97" s="85" t="n">
        <x:v>0</x:v>
      </x:c>
      <x:c r="I97" s="85" t="n">
        <x:v>0</x:v>
      </x:c>
      <x:c r="J97" s="85" t="n">
        <x:v>0</x:v>
      </x:c>
      <x:c r="K97" s="85" t="n">
        <x:v>0</x:v>
      </x:c>
      <x:c r="L97" s="85" t="n">
        <x:v>0</x:v>
      </x:c>
      <x:c r="M97" s="85" t="n">
        <x:v>0</x:v>
      </x:c>
      <x:c r="N97" s="85" t="n">
        <x:v>1</x:v>
      </x:c>
      <x:c r="O97" s="85" t="n">
        <x:v>0</x:v>
      </x:c>
      <x:c r="P97" s="85" t="n">
        <x:v>0</x:v>
      </x:c>
      <x:c r="Q97" s="85" t="n">
        <x:v>0</x:v>
      </x:c>
    </x:row>
    <x:row r="98" ht="22" customHeight="1">
      <x:c r="A98" s="85" t="n">
        <x:v>94</x:v>
      </x:c>
      <x:c r="B98" s="82" t="str">
        <x:v>Yves Lampaert</x:v>
      </x:c>
      <x:c r="C98" s="85" t="n">
        <x:v>0</x:v>
      </x:c>
      <x:c r="D98" s="85" t="n">
        <x:v>1</x:v>
      </x:c>
      <x:c r="E98" s="85" t="n">
        <x:v>0</x:v>
      </x:c>
      <x:c r="F98" s="85" t="n">
        <x:v>0</x:v>
      </x:c>
      <x:c r="G98" s="85" t="n">
        <x:v>0</x:v>
      </x:c>
      <x:c r="H98" s="85" t="n">
        <x:v>0</x:v>
      </x:c>
      <x:c r="I98" s="85" t="n">
        <x:v>0</x:v>
      </x:c>
      <x:c r="J98" s="85" t="n">
        <x:v>0</x:v>
      </x:c>
      <x:c r="K98" s="85" t="n">
        <x:v>0</x:v>
      </x:c>
      <x:c r="L98" s="85" t="n">
        <x:v>0</x:v>
      </x:c>
      <x:c r="M98" s="85" t="n">
        <x:v>0</x:v>
      </x:c>
      <x:c r="N98" s="85" t="n">
        <x:v>1</x:v>
      </x:c>
      <x:c r="O98" s="85" t="n">
        <x:v>0</x:v>
      </x:c>
      <x:c r="P98" s="85" t="n">
        <x:v>0</x:v>
      </x:c>
      <x:c r="Q98" s="85" t="n">
        <x:v>0</x:v>
      </x:c>
    </x:row>
    <x:row r="99" ht="22" customHeight="1">
      <x:c r="A99" s="85" t="n">
        <x:v>95</x:v>
      </x:c>
      <x:c r="B99" s="82" t="str">
        <x:v>Kasper Asgreen</x:v>
      </x:c>
      <x:c r="C99" s="85" t="n">
        <x:v>0</x:v>
      </x:c>
      <x:c r="D99" s="85" t="n">
        <x:v>1</x:v>
      </x:c>
      <x:c r="E99" s="85" t="n">
        <x:v>0</x:v>
      </x:c>
      <x:c r="F99" s="85" t="n">
        <x:v>0</x:v>
      </x:c>
      <x:c r="G99" s="85" t="n">
        <x:v>0</x:v>
      </x:c>
      <x:c r="H99" s="85" t="n">
        <x:v>0</x:v>
      </x:c>
      <x:c r="I99" s="85" t="n">
        <x:v>1</x:v>
      </x:c>
      <x:c r="J99" s="85" t="n">
        <x:v>0</x:v>
      </x:c>
      <x:c r="K99" s="85" t="n">
        <x:v>0</x:v>
      </x:c>
      <x:c r="L99" s="85" t="n">
        <x:v>0</x:v>
      </x:c>
      <x:c r="M99" s="85" t="n">
        <x:v>0</x:v>
      </x:c>
      <x:c r="N99" s="85" t="n">
        <x:v>0</x:v>
      </x:c>
      <x:c r="O99" s="85" t="n">
        <x:v>0</x:v>
      </x:c>
      <x:c r="P99" s="85" t="n">
        <x:v>0</x:v>
      </x:c>
      <x:c r="Q99" s="85" t="n">
        <x:v>0</x:v>
      </x:c>
    </x:row>
    <x:row r="100" ht="22" customHeight="1">
      <x:c r="A100" s="85" t="n">
        <x:v>96</x:v>
      </x:c>
      <x:c r="B100" s="82" t="str">
        <x:v>Matteo Trentin</x:v>
      </x:c>
      <x:c r="C100" s="85" t="n">
        <x:v>0</x:v>
      </x:c>
      <x:c r="D100" s="85" t="n">
        <x:v>3</x:v>
      </x:c>
      <x:c r="E100" s="85" t="n">
        <x:v>0</x:v>
      </x:c>
      <x:c r="F100" s="85" t="n">
        <x:v>0</x:v>
      </x:c>
      <x:c r="G100" s="85" t="n">
        <x:v>0</x:v>
      </x:c>
      <x:c r="H100" s="85" t="n">
        <x:v>0</x:v>
      </x:c>
      <x:c r="I100" s="85" t="n">
        <x:v>1</x:v>
      </x:c>
      <x:c r="J100" s="85" t="n">
        <x:v>0</x:v>
      </x:c>
      <x:c r="K100" s="85" t="n">
        <x:v>0</x:v>
      </x:c>
      <x:c r="L100" s="85" t="n">
        <x:v>0</x:v>
      </x:c>
      <x:c r="M100" s="85" t="n">
        <x:v>0</x:v>
      </x:c>
      <x:c r="N100" s="85" t="n">
        <x:v>4</x:v>
      </x:c>
      <x:c r="O100" s="85" t="n">
        <x:v>0</x:v>
      </x:c>
      <x:c r="P100" s="85" t="n">
        <x:v>0</x:v>
      </x:c>
      <x:c r="Q100" s="85" t="n">
        <x:v>0</x:v>
      </x:c>
    </x:row>
    <x:row r="101" ht="22" customHeight="1">
      <x:c r="A101" s="85" t="n">
        <x:v>97</x:v>
      </x:c>
      <x:c r="B101" s="82" t="str">
        <x:v>Marcus Burghardt</x:v>
      </x:c>
      <x:c r="C101" s="85" t="n">
        <x:v>0</x:v>
      </x:c>
      <x:c r="D101" s="85" t="n">
        <x:v>1</x:v>
      </x:c>
      <x:c r="E101" s="85" t="n">
        <x:v>0</x:v>
      </x:c>
      <x:c r="F101" s="85" t="n">
        <x:v>0</x:v>
      </x:c>
      <x:c r="G101" s="85" t="n">
        <x:v>0</x:v>
      </x:c>
      <x:c r="H101" s="85" t="n">
        <x:v>0</x:v>
      </x:c>
      <x:c r="I101" s="85" t="n">
        <x:v>0</x:v>
      </x:c>
      <x:c r="J101" s="85" t="n">
        <x:v>0</x:v>
      </x:c>
      <x:c r="K101" s="85" t="n">
        <x:v>0</x:v>
      </x:c>
      <x:c r="L101" s="85" t="n">
        <x:v>0</x:v>
      </x:c>
      <x:c r="M101" s="85" t="n">
        <x:v>0</x:v>
      </x:c>
      <x:c r="N101" s="85" t="n">
        <x:v>0</x:v>
      </x:c>
      <x:c r="O101" s="85" t="n">
        <x:v>0</x:v>
      </x:c>
      <x:c r="P101" s="85" t="n">
        <x:v>0</x:v>
      </x:c>
      <x:c r="Q101" s="85" t="n">
        <x:v>0</x:v>
      </x:c>
    </x:row>
    <x:row r="102" ht="22" customHeight="1">
      <x:c r="A102" s="85" t="n">
        <x:v>98</x:v>
      </x:c>
      <x:c r="B102" s="82" t="str">
        <x:v>Ian Stannard</x:v>
      </x:c>
      <x:c r="C102" s="85" t="n">
        <x:v>0</x:v>
      </x:c>
      <x:c r="D102" s="85" t="n">
        <x:v>0</x:v>
      </x:c>
      <x:c r="E102" s="85" t="n">
        <x:v>0</x:v>
      </x:c>
      <x:c r="F102" s="85" t="n">
        <x:v>0</x:v>
      </x:c>
      <x:c r="G102" s="85" t="n">
        <x:v>0</x:v>
      </x:c>
      <x:c r="H102" s="85" t="n">
        <x:v>0</x:v>
      </x:c>
      <x:c r="I102" s="85" t="n">
        <x:v>0</x:v>
      </x:c>
      <x:c r="J102" s="85" t="n">
        <x:v>0</x:v>
      </x:c>
      <x:c r="K102" s="85" t="n">
        <x:v>0</x:v>
      </x:c>
      <x:c r="L102" s="85" t="n">
        <x:v>0</x:v>
      </x:c>
      <x:c r="M102" s="85" t="n">
        <x:v>0</x:v>
      </x:c>
      <x:c r="N102" s="85" t="n">
        <x:v>0</x:v>
      </x:c>
      <x:c r="O102" s="85" t="n">
        <x:v>0</x:v>
      </x:c>
      <x:c r="P102" s="85" t="n">
        <x:v>0</x:v>
      </x:c>
      <x:c r="Q102" s="85" t="n">
        <x:v>0</x:v>
      </x:c>
    </x:row>
    <x:row r="103" ht="22" customHeight="1">
      <x:c r="A103" s="85" t="n">
        <x:v>99</x:v>
      </x:c>
      <x:c r="B103" s="82" t="str">
        <x:v>Eros Poli</x:v>
      </x:c>
      <x:c r="C103" s="85" t="n">
        <x:v>0</x:v>
      </x:c>
      <x:c r="D103" s="85" t="n">
        <x:v>1</x:v>
      </x:c>
      <x:c r="E103" s="85" t="n">
        <x:v>0</x:v>
      </x:c>
      <x:c r="F103" s="85" t="n">
        <x:v>0</x:v>
      </x:c>
      <x:c r="G103" s="85" t="n">
        <x:v>0</x:v>
      </x:c>
      <x:c r="H103" s="85" t="n">
        <x:v>0</x:v>
      </x:c>
      <x:c r="I103" s="85" t="n">
        <x:v>0</x:v>
      </x:c>
      <x:c r="J103" s="85" t="n">
        <x:v>0</x:v>
      </x:c>
      <x:c r="K103" s="85" t="n">
        <x:v>0</x:v>
      </x:c>
      <x:c r="L103" s="85" t="n">
        <x:v>0</x:v>
      </x:c>
      <x:c r="M103" s="85" t="n">
        <x:v>0</x:v>
      </x:c>
      <x:c r="N103" s="85" t="n">
        <x:v>0</x:v>
      </x:c>
      <x:c r="O103" s="85" t="n">
        <x:v>0</x:v>
      </x:c>
      <x:c r="P103" s="85" t="n">
        <x:v>0</x:v>
      </x:c>
      <x:c r="Q103" s="85" t="n">
        <x:v>0</x:v>
      </x:c>
    </x:row>
    <x:row r="104" ht="22" customHeight="1">
      <x:c r="A104" s="85" t="n">
        <x:v>100</x:v>
      </x:c>
      <x:c r="B104" s="82" t="str">
        <x:v>Jens Voigt</x:v>
      </x:c>
      <x:c r="C104" s="85" t="n">
        <x:v>0</x:v>
      </x:c>
      <x:c r="D104" s="85" t="n">
        <x:v>2</x:v>
      </x:c>
      <x:c r="E104" s="85" t="n">
        <x:v>0</x:v>
      </x:c>
      <x:c r="F104" s="85" t="n">
        <x:v>0</x:v>
      </x:c>
      <x:c r="G104" s="85" t="n">
        <x:v>0</x:v>
      </x:c>
      <x:c r="H104" s="85" t="n">
        <x:v>0</x:v>
      </x:c>
      <x:c r="I104" s="85" t="n">
        <x:v>1</x:v>
      </x:c>
      <x:c r="J104" s="85" t="n">
        <x:v>0</x:v>
      </x:c>
      <x:c r="K104" s="85" t="n">
        <x:v>0</x:v>
      </x:c>
      <x:c r="L104" s="85" t="n">
        <x:v>0</x:v>
      </x:c>
      <x:c r="M104" s="85" t="n">
        <x:v>0</x:v>
      </x:c>
      <x:c r="N104" s="85" t="n">
        <x:v>0</x:v>
      </x:c>
      <x:c r="O104" s="85" t="n">
        <x:v>0</x:v>
      </x:c>
      <x:c r="P104" s="85" t="n">
        <x:v>0</x:v>
      </x:c>
      <x:c r="Q104" s="85" t="n">
        <x:v>0</x:v>
      </x:c>
    </x:row>
    <x:row r="105" ht="22" customHeight="1">
      <x:c r="A105" s="85" t="n">
        <x:v>101</x:v>
      </x:c>
      <x:c r="B105" s="82" t="str">
        <x:v>Stuart O'Grady</x:v>
      </x:c>
      <x:c r="C105" s="85" t="n">
        <x:v>0</x:v>
      </x:c>
      <x:c r="D105" s="85" t="n">
        <x:v>2</x:v>
      </x:c>
      <x:c r="E105" s="85" t="n">
        <x:v>0</x:v>
      </x:c>
      <x:c r="F105" s="85" t="n">
        <x:v>0</x:v>
      </x:c>
      <x:c r="G105" s="85" t="n">
        <x:v>0</x:v>
      </x:c>
      <x:c r="H105" s="85" t="n">
        <x:v>0</x:v>
      </x:c>
      <x:c r="I105" s="85" t="n">
        <x:v>0</x:v>
      </x:c>
      <x:c r="J105" s="85" t="n">
        <x:v>0</x:v>
      </x:c>
      <x:c r="K105" s="85" t="n">
        <x:v>0</x:v>
      </x:c>
      <x:c r="L105" s="85" t="n">
        <x:v>0</x:v>
      </x:c>
      <x:c r="M105" s="85" t="n">
        <x:v>0</x:v>
      </x:c>
      <x:c r="N105" s="85" t="n">
        <x:v>0</x:v>
      </x:c>
      <x:c r="O105" s="85" t="n">
        <x:v>0</x:v>
      </x:c>
      <x:c r="P105" s="85" t="n">
        <x:v>0</x:v>
      </x:c>
      <x:c r="Q105" s="85" t="n">
        <x:v>0</x:v>
      </x:c>
    </x:row>
    <x:row r="106" ht="22" customHeight="1">
      <x:c r="A106" s="85" t="n">
        <x:v>102</x:v>
      </x:c>
      <x:c r="B106" s="82" t="str">
        <x:v>Jack Bauer</x:v>
      </x:c>
      <x:c r="C106" s="85" t="n">
        <x:v>0</x:v>
      </x:c>
      <x:c r="D106" s="85" t="n">
        <x:v>0</x:v>
      </x:c>
      <x:c r="E106" s="85" t="n">
        <x:v>0</x:v>
      </x:c>
      <x:c r="F106" s="85" t="n">
        <x:v>0</x:v>
      </x:c>
      <x:c r="G106" s="85" t="n">
        <x:v>0</x:v>
      </x:c>
      <x:c r="H106" s="85" t="n">
        <x:v>0</x:v>
      </x:c>
      <x:c r="I106" s="85" t="n">
        <x:v>0</x:v>
      </x:c>
      <x:c r="J106" s="85" t="n">
        <x:v>0</x:v>
      </x:c>
      <x:c r="K106" s="85" t="n">
        <x:v>0</x:v>
      </x:c>
      <x:c r="L106" s="85" t="n">
        <x:v>0</x:v>
      </x:c>
      <x:c r="M106" s="85" t="n">
        <x:v>0</x:v>
      </x:c>
      <x:c r="N106" s="85" t="n">
        <x:v>0</x:v>
      </x:c>
      <x:c r="O106" s="85" t="n">
        <x:v>0</x:v>
      </x:c>
      <x:c r="P106" s="85" t="n">
        <x:v>0</x:v>
      </x:c>
      <x:c r="Q106" s="85" t="n">
        <x:v>0</x:v>
      </x:c>
    </x:row>
    <x:row r="107" ht="22" customHeight="1">
      <x:c r="A107" s="85" t="n">
        <x:v>103</x:v>
      </x:c>
      <x:c r="B107" s="82" t="str">
        <x:v>Salvatore Puccio</x:v>
      </x:c>
      <x:c r="C107" s="85" t="n">
        <x:v>0</x:v>
      </x:c>
      <x:c r="D107" s="85" t="n">
        <x:v>0</x:v>
      </x:c>
      <x:c r="E107" s="85" t="n">
        <x:v>0</x:v>
      </x:c>
      <x:c r="F107" s="85" t="n">
        <x:v>0</x:v>
      </x:c>
      <x:c r="G107" s="85" t="n">
        <x:v>0</x:v>
      </x:c>
      <x:c r="H107" s="85" t="n">
        <x:v>0</x:v>
      </x:c>
      <x:c r="I107" s="85" t="n">
        <x:v>0</x:v>
      </x:c>
      <x:c r="J107" s="85" t="n">
        <x:v>0</x:v>
      </x:c>
      <x:c r="K107" s="85" t="n">
        <x:v>0</x:v>
      </x:c>
      <x:c r="L107" s="85" t="n">
        <x:v>0</x:v>
      </x:c>
      <x:c r="M107" s="85" t="n">
        <x:v>0</x:v>
      </x:c>
      <x:c r="N107" s="85" t="n">
        <x:v>0</x:v>
      </x:c>
      <x:c r="O107" s="85" t="n">
        <x:v>0</x:v>
      </x:c>
      <x:c r="P107" s="85" t="n">
        <x:v>0</x:v>
      </x:c>
      <x:c r="Q107" s="85" t="n">
        <x:v>0</x:v>
      </x:c>
    </x:row>
    <x:row r="108" ht="22" customHeight="1">
      <x:c r="A108" s="85" t="n">
        <x:v>104</x:v>
      </x:c>
      <x:c r="B108" s="82" t="str">
        <x:v>Biniam Girmay</x:v>
      </x:c>
      <x:c r="C108" s="85" t="n">
        <x:v>0</x:v>
      </x:c>
      <x:c r="D108" s="85" t="n">
        <x:v>3</x:v>
      </x:c>
      <x:c r="E108" s="85" t="n">
        <x:v>1</x:v>
      </x:c>
      <x:c r="F108" s="85" t="n">
        <x:v>0</x:v>
      </x:c>
      <x:c r="G108" s="85" t="n">
        <x:v>0</x:v>
      </x:c>
      <x:c r="H108" s="85" t="n">
        <x:v>0</x:v>
      </x:c>
      <x:c r="I108" s="85" t="n">
        <x:v>1</x:v>
      </x:c>
      <x:c r="J108" s="85" t="n">
        <x:v>0</x:v>
      </x:c>
      <x:c r="K108" s="85" t="n">
        <x:v>0</x:v>
      </x:c>
      <x:c r="L108" s="85" t="n">
        <x:v>0</x:v>
      </x:c>
      <x:c r="M108" s="85" t="n">
        <x:v>0</x:v>
      </x:c>
      <x:c r="N108" s="85" t="n">
        <x:v>0</x:v>
      </x:c>
      <x:c r="O108" s="85" t="n">
        <x:v>0</x:v>
      </x:c>
      <x:c r="P108" s="85" t="n">
        <x:v>0</x:v>
      </x:c>
      <x:c r="Q108" s="85" t="n">
        <x:v>0</x:v>
      </x:c>
    </x:row>
    <x:row r="109" ht="22" customHeight="1">
      <x:c r="A109" s="85" t="n">
        <x:v>105</x:v>
      </x:c>
      <x:c r="B109" s="82" t="str">
        <x:v>Tom Pidcock</x:v>
      </x:c>
      <x:c r="C109" s="85" t="n">
        <x:v>0</x:v>
      </x:c>
      <x:c r="D109" s="85" t="n">
        <x:v>1</x:v>
      </x:c>
      <x:c r="E109" s="85" t="n">
        <x:v>0</x:v>
      </x:c>
      <x:c r="F109" s="85" t="n">
        <x:v>0</x:v>
      </x:c>
      <x:c r="G109" s="85" t="n">
        <x:v>0</x:v>
      </x:c>
      <x:c r="H109" s="85" t="n">
        <x:v>0</x:v>
      </x:c>
      <x:c r="I109" s="85" t="n">
        <x:v>0</x:v>
      </x:c>
      <x:c r="J109" s="85" t="n">
        <x:v>0</x:v>
      </x:c>
      <x:c r="K109" s="85" t="n">
        <x:v>0</x:v>
      </x:c>
      <x:c r="L109" s="85" t="n">
        <x:v>0</x:v>
      </x:c>
      <x:c r="M109" s="85" t="n">
        <x:v>0</x:v>
      </x:c>
      <x:c r="N109" s="85" t="n">
        <x:v>0</x:v>
      </x:c>
      <x:c r="O109" s="85" t="n">
        <x:v>0</x:v>
      </x:c>
      <x:c r="P109" s="85" t="n">
        <x:v>0</x:v>
      </x:c>
      <x:c r="Q109" s="85" t="n">
        <x:v>0</x:v>
      </x:c>
    </x:row>
    <x:row r="110" ht="22" customHeight="1">
      <x:c r="A110" s="85" t="n">
        <x:v>106</x:v>
      </x:c>
      <x:c r="B110" s="82" t="str">
        <x:v>Joao Almeida</x:v>
      </x:c>
      <x:c r="C110" s="85" t="n">
        <x:v>0</x:v>
      </x:c>
      <x:c r="D110" s="85" t="n">
        <x:v>0</x:v>
      </x:c>
      <x:c r="E110" s="85" t="n">
        <x:v>0</x:v>
      </x:c>
      <x:c r="F110" s="85" t="n">
        <x:v>0</x:v>
      </x:c>
      <x:c r="G110" s="85" t="n">
        <x:v>0</x:v>
      </x:c>
      <x:c r="H110" s="85" t="n">
        <x:v>0</x:v>
      </x:c>
      <x:c r="I110" s="85" t="n">
        <x:v>1</x:v>
      </x:c>
      <x:c r="J110" s="85" t="n">
        <x:v>0</x:v>
      </x:c>
      <x:c r="K110" s="85" t="n">
        <x:v>0</x:v>
      </x:c>
      <x:c r="L110" s="85" t="n">
        <x:v>1</x:v>
      </x:c>
      <x:c r="M110" s="85" t="n">
        <x:v>0</x:v>
      </x:c>
      <x:c r="N110" s="85" t="n">
        <x:v>1</x:v>
      </x:c>
      <x:c r="O110" s="85" t="n">
        <x:v>0</x:v>
      </x:c>
      <x:c r="P110" s="85" t="n">
        <x:v>0</x:v>
      </x:c>
      <x:c r="Q110" s="85" t="n">
        <x:v>0</x:v>
      </x:c>
    </x:row>
    <x:row r="111" ht="22" customHeight="1">
      <x:c r="A111" s="85" t="n">
        <x:v>107</x:v>
      </x:c>
      <x:c r="B111" s="82" t="str">
        <x:v>Maciej Bodnar</x:v>
      </x:c>
      <x:c r="C111" s="85" t="n">
        <x:v>0</x:v>
      </x:c>
      <x:c r="D111" s="85" t="n">
        <x:v>1</x:v>
      </x:c>
      <x:c r="E111" s="85" t="n">
        <x:v>0</x:v>
      </x:c>
      <x:c r="F111" s="85" t="n">
        <x:v>0</x:v>
      </x:c>
      <x:c r="G111" s="85" t="n">
        <x:v>0</x:v>
      </x:c>
      <x:c r="H111" s="85" t="n">
        <x:v>0</x:v>
      </x:c>
      <x:c r="I111" s="85" t="n">
        <x:v>0</x:v>
      </x:c>
      <x:c r="J111" s="85" t="n">
        <x:v>0</x:v>
      </x:c>
      <x:c r="K111" s="85" t="n">
        <x:v>0</x:v>
      </x:c>
      <x:c r="L111" s="85" t="n">
        <x:v>0</x:v>
      </x:c>
      <x:c r="M111" s="85" t="n">
        <x:v>0</x:v>
      </x:c>
      <x:c r="N111" s="85" t="n">
        <x:v>0</x:v>
      </x:c>
      <x:c r="O111" s="85" t="n">
        <x:v>0</x:v>
      </x:c>
      <x:c r="P111" s="85" t="n">
        <x:v>0</x:v>
      </x:c>
      <x:c r="Q111" s="85" t="n">
        <x:v>0</x:v>
      </x:c>
    </x:row>
    <x:row r="112" ht="22" customHeight="1">
      <x:c r="A112" s="85" t="n">
        <x:v>108</x:v>
      </x:c>
      <x:c r="B112" s="82" t="str">
        <x:v>Jos van Emden</x:v>
      </x:c>
      <x:c r="C112" s="85" t="n">
        <x:v>0</x:v>
      </x:c>
      <x:c r="D112" s="85" t="n">
        <x:v>0</x:v>
      </x:c>
      <x:c r="E112" s="85" t="n">
        <x:v>0</x:v>
      </x:c>
      <x:c r="F112" s="85" t="n">
        <x:v>0</x:v>
      </x:c>
      <x:c r="G112" s="85" t="n">
        <x:v>0</x:v>
      </x:c>
      <x:c r="H112" s="85" t="n">
        <x:v>0</x:v>
      </x:c>
      <x:c r="I112" s="85" t="n">
        <x:v>1</x:v>
      </x:c>
      <x:c r="J112" s="85" t="n">
        <x:v>0</x:v>
      </x:c>
      <x:c r="K112" s="85" t="n">
        <x:v>0</x:v>
      </x:c>
      <x:c r="L112" s="85" t="n">
        <x:v>0</x:v>
      </x:c>
      <x:c r="M112" s="85" t="n">
        <x:v>0</x:v>
      </x:c>
      <x:c r="N112" s="85" t="n">
        <x:v>0</x:v>
      </x:c>
      <x:c r="O112" s="85" t="n">
        <x:v>0</x:v>
      </x:c>
      <x:c r="P112" s="85" t="n">
        <x:v>0</x:v>
      </x:c>
      <x:c r="Q112" s="85" t="n">
        <x:v>0</x:v>
      </x:c>
    </x:row>
    <x:row r="113" ht="22" customHeight="1">
      <x:c r="A113" s="85" t="n">
        <x:v>109</x:v>
      </x:c>
      <x:c r="B113" s="82" t="str">
        <x:v>Maarten Tjallingii</x:v>
      </x:c>
      <x:c r="C113" s="85" t="n">
        <x:v>0</x:v>
      </x:c>
      <x:c r="D113" s="85" t="n">
        <x:v>0</x:v>
      </x:c>
      <x:c r="E113" s="85" t="n">
        <x:v>0</x:v>
      </x:c>
      <x:c r="F113" s="85" t="n">
        <x:v>0</x:v>
      </x:c>
      <x:c r="G113" s="85" t="n">
        <x:v>0</x:v>
      </x:c>
      <x:c r="H113" s="85" t="n">
        <x:v>0</x:v>
      </x:c>
      <x:c r="I113" s="85" t="n">
        <x:v>0</x:v>
      </x:c>
      <x:c r="J113" s="85" t="n">
        <x:v>0</x:v>
      </x:c>
      <x:c r="K113" s="85" t="n">
        <x:v>0</x:v>
      </x:c>
      <x:c r="L113" s="85" t="n">
        <x:v>0</x:v>
      </x:c>
      <x:c r="M113" s="85" t="n">
        <x:v>0</x:v>
      </x:c>
      <x:c r="N113" s="85" t="n">
        <x:v>0</x:v>
      </x:c>
      <x:c r="O113" s="85" t="n">
        <x:v>0</x:v>
      </x:c>
      <x:c r="P113" s="85" t="n">
        <x:v>0</x:v>
      </x:c>
      <x:c r="Q113" s="85" t="n">
        <x:v>0</x:v>
      </x:c>
    </x:row>
    <x:row r="114" ht="22" customHeight="1">
      <x:c r="A114" s="85" t="n">
        <x:v>110</x:v>
      </x:c>
      <x:c r="B114" s="82" t="str">
        <x:v>Lars Bak</x:v>
      </x:c>
      <x:c r="C114" s="85" t="n">
        <x:v>0</x:v>
      </x:c>
      <x:c r="D114" s="85" t="n">
        <x:v>0</x:v>
      </x:c>
      <x:c r="E114" s="85" t="n">
        <x:v>0</x:v>
      </x:c>
      <x:c r="F114" s="85" t="n">
        <x:v>0</x:v>
      </x:c>
      <x:c r="G114" s="85" t="n">
        <x:v>0</x:v>
      </x:c>
      <x:c r="H114" s="85" t="n">
        <x:v>0</x:v>
      </x:c>
      <x:c r="I114" s="85" t="n">
        <x:v>1</x:v>
      </x:c>
      <x:c r="J114" s="85" t="n">
        <x:v>0</x:v>
      </x:c>
      <x:c r="K114" s="85" t="n">
        <x:v>0</x:v>
      </x:c>
      <x:c r="L114" s="85" t="n">
        <x:v>0</x:v>
      </x:c>
      <x:c r="M114" s="85" t="n">
        <x:v>0</x:v>
      </x:c>
      <x:c r="N114" s="85" t="n">
        <x:v>0</x:v>
      </x:c>
      <x:c r="O114" s="85" t="n">
        <x:v>0</x:v>
      </x:c>
      <x:c r="P114" s="85" t="n">
        <x:v>0</x:v>
      </x:c>
      <x:c r="Q114" s="85" t="n">
        <x:v>0</x:v>
      </x:c>
    </x:row>
    <x:row r="115" ht="22" customHeight="1">
      <x:c r="A115" s="85" t="n">
        <x:v>111</x:v>
      </x:c>
      <x:c r="B115" s="82" t="str">
        <x:v>Juan Ayuso</x:v>
      </x:c>
      <x:c r="C115" s="85" t="n">
        <x:v>0</x:v>
      </x:c>
      <x:c r="D115" s="85" t="n">
        <x:v>0</x:v>
      </x:c>
      <x:c r="E115" s="85" t="n">
        <x:v>0</x:v>
      </x:c>
      <x:c r="F115" s="85" t="n">
        <x:v>0</x:v>
      </x:c>
      <x:c r="G115" s="85" t="n">
        <x:v>0</x:v>
      </x:c>
      <x:c r="H115" s="85" t="n">
        <x:v>0</x:v>
      </x:c>
      <x:c r="I115" s="85" t="n">
        <x:v>1</x:v>
      </x:c>
      <x:c r="J115" s="85" t="n">
        <x:v>0</x:v>
      </x:c>
      <x:c r="K115" s="85" t="n">
        <x:v>0</x:v>
      </x:c>
      <x:c r="L115" s="85" t="n">
        <x:v>0</x:v>
      </x:c>
      <x:c r="M115" s="85" t="n">
        <x:v>0</x:v>
      </x:c>
      <x:c r="N115" s="85" t="n">
        <x:v>2</x:v>
      </x:c>
      <x:c r="O115" s="85" t="n">
        <x:v>0</x:v>
      </x:c>
      <x:c r="P115" s="85" t="n">
        <x:v>0</x:v>
      </x:c>
      <x:c r="Q115" s="85" t="n">
        <x:v>1</x:v>
      </x:c>
    </x:row>
    <x:row r="116" ht="22" customHeight="1">
      <x:c r="A116" s="85" t="n">
        <x:v>112</x:v>
      </x:c>
      <x:c r="B116" s="82" t="str">
        <x:v>Dries Devenyns</x:v>
      </x:c>
      <x:c r="C116" s="85" t="n">
        <x:v>0</x:v>
      </x:c>
      <x:c r="D116" s="85" t="n">
        <x:v>0</x:v>
      </x:c>
      <x:c r="E116" s="85" t="n">
        <x:v>0</x:v>
      </x:c>
      <x:c r="F116" s="85" t="n">
        <x:v>0</x:v>
      </x:c>
      <x:c r="G116" s="85" t="n">
        <x:v>0</x:v>
      </x:c>
      <x:c r="H116" s="85" t="n">
        <x:v>0</x:v>
      </x:c>
      <x:c r="I116" s="85" t="n">
        <x:v>0</x:v>
      </x:c>
      <x:c r="J116" s="85" t="n">
        <x:v>0</x:v>
      </x:c>
      <x:c r="K116" s="85" t="n">
        <x:v>0</x:v>
      </x:c>
      <x:c r="L116" s="85" t="n">
        <x:v>0</x:v>
      </x:c>
      <x:c r="M116" s="85" t="n">
        <x:v>0</x:v>
      </x:c>
      <x:c r="N116" s="85" t="n">
        <x:v>0</x:v>
      </x:c>
      <x:c r="O116" s="85" t="n">
        <x:v>0</x:v>
      </x:c>
      <x:c r="P116" s="85" t="n">
        <x:v>0</x:v>
      </x:c>
      <x:c r="Q116" s="85" t="n">
        <x:v>0</x:v>
      </x:c>
    </x:row>
    <x:row r="117" ht="22" customHeight="1">
      <x:c r="A117" s="85" t="n">
        <x:v>113</x:v>
      </x:c>
      <x:c r="B117" s="82" t="str">
        <x:v>Vegard Stake Laengen</x:v>
      </x:c>
      <x:c r="C117" s="85" t="n">
        <x:v>0</x:v>
      </x:c>
      <x:c r="D117" s="85" t="n">
        <x:v>0</x:v>
      </x:c>
      <x:c r="E117" s="85" t="n">
        <x:v>0</x:v>
      </x:c>
      <x:c r="F117" s="85" t="n">
        <x:v>0</x:v>
      </x:c>
      <x:c r="G117" s="85" t="n">
        <x:v>0</x:v>
      </x:c>
      <x:c r="H117" s="85" t="n">
        <x:v>0</x:v>
      </x:c>
      <x:c r="I117" s="85" t="n">
        <x:v>0</x:v>
      </x:c>
      <x:c r="J117" s="85" t="n">
        <x:v>0</x:v>
      </x:c>
      <x:c r="K117" s="85" t="n">
        <x:v>0</x:v>
      </x:c>
      <x:c r="L117" s="85" t="n">
        <x:v>0</x:v>
      </x:c>
      <x:c r="M117" s="85" t="n">
        <x:v>0</x:v>
      </x:c>
      <x:c r="N117" s="85" t="n">
        <x:v>0</x:v>
      </x:c>
      <x:c r="O117" s="85" t="n">
        <x:v>0</x:v>
      </x:c>
      <x:c r="P117" s="85" t="n">
        <x:v>0</x:v>
      </x:c>
      <x:c r="Q117" s="85" t="n">
        <x:v>0</x:v>
      </x:c>
    </x:row>
    <x:row r="118" ht="22" customHeight="1">
      <x:c r="A118" s="85" t="n">
        <x:v>114</x:v>
      </x:c>
      <x:c r="B118" s="82" t="str">
        <x:v>Mikkel Bjerg</x:v>
      </x:c>
      <x:c r="C118" s="85" t="n">
        <x:v>0</x:v>
      </x:c>
      <x:c r="D118" s="85" t="n">
        <x:v>0</x:v>
      </x:c>
      <x:c r="E118" s="85" t="n">
        <x:v>0</x:v>
      </x:c>
      <x:c r="F118" s="85" t="n">
        <x:v>0</x:v>
      </x:c>
      <x:c r="G118" s="85" t="n">
        <x:v>0</x:v>
      </x:c>
      <x:c r="H118" s="85" t="n">
        <x:v>0</x:v>
      </x:c>
      <x:c r="I118" s="85" t="n">
        <x:v>0</x:v>
      </x:c>
      <x:c r="J118" s="85" t="n">
        <x:v>0</x:v>
      </x:c>
      <x:c r="K118" s="85" t="n">
        <x:v>0</x:v>
      </x:c>
      <x:c r="L118" s="85" t="n">
        <x:v>0</x:v>
      </x:c>
      <x:c r="M118" s="85" t="n">
        <x:v>0</x:v>
      </x:c>
      <x:c r="N118" s="85" t="n">
        <x:v>0</x:v>
      </x:c>
      <x:c r="O118" s="85" t="n">
        <x:v>0</x:v>
      </x:c>
      <x:c r="P118" s="85" t="n">
        <x:v>0</x:v>
      </x:c>
      <x:c r="Q118" s="85" t="n">
        <x:v>0</x:v>
      </x:c>
    </x:row>
    <x:row r="119" ht="22" customHeight="1">
      <x:c r="A119" s="85" t="n">
        <x:v>115</x:v>
      </x:c>
      <x:c r="B119" s="82" t="str">
        <x:v>Luke Rowe</x:v>
      </x:c>
      <x:c r="C119" s="85" t="n">
        <x:v>0</x:v>
      </x:c>
      <x:c r="D119" s="85" t="n">
        <x:v>0</x:v>
      </x:c>
      <x:c r="E119" s="85" t="n">
        <x:v>0</x:v>
      </x:c>
      <x:c r="F119" s="85" t="n">
        <x:v>0</x:v>
      </x:c>
      <x:c r="G119" s="85" t="n">
        <x:v>0</x:v>
      </x:c>
      <x:c r="H119" s="85" t="n">
        <x:v>0</x:v>
      </x:c>
      <x:c r="I119" s="85" t="n">
        <x:v>0</x:v>
      </x:c>
      <x:c r="J119" s="85" t="n">
        <x:v>0</x:v>
      </x:c>
      <x:c r="K119" s="85" t="n">
        <x:v>0</x:v>
      </x:c>
      <x:c r="L119" s="85" t="n">
        <x:v>0</x:v>
      </x:c>
      <x:c r="M119" s="85" t="n">
        <x:v>0</x:v>
      </x:c>
      <x:c r="N119" s="85" t="n">
        <x:v>0</x:v>
      </x:c>
      <x:c r="O119" s="85" t="n">
        <x:v>0</x:v>
      </x:c>
      <x:c r="P119" s="85" t="n">
        <x:v>0</x:v>
      </x:c>
      <x:c r="Q119" s="85" t="n">
        <x:v>0</x:v>
      </x:c>
    </x:row>
    <x:row r="120" ht="22" customHeight="1">
      <x:c r="A120" s="85" t="n">
        <x:v>116</x:v>
      </x:c>
      <x:c r="B120" s="82" t="str">
        <x:v>Fumiyuki Beppu</x:v>
      </x:c>
      <x:c r="C120" s="85" t="n">
        <x:v>0</x:v>
      </x:c>
      <x:c r="D120" s="85" t="n">
        <x:v>0</x:v>
      </x:c>
      <x:c r="E120" s="85" t="n">
        <x:v>0</x:v>
      </x:c>
      <x:c r="F120" s="85" t="n">
        <x:v>0</x:v>
      </x:c>
      <x:c r="G120" s="85" t="n">
        <x:v>0</x:v>
      </x:c>
      <x:c r="H120" s="85" t="n">
        <x:v>0</x:v>
      </x:c>
      <x:c r="I120" s="85" t="n">
        <x:v>0</x:v>
      </x:c>
      <x:c r="J120" s="85" t="n">
        <x:v>0</x:v>
      </x:c>
      <x:c r="K120" s="85" t="n">
        <x:v>0</x:v>
      </x:c>
      <x:c r="L120" s="85" t="n">
        <x:v>0</x:v>
      </x:c>
      <x:c r="M120" s="85" t="n">
        <x:v>0</x:v>
      </x:c>
      <x:c r="N120" s="85" t="n">
        <x:v>0</x:v>
      </x:c>
      <x:c r="O120" s="85" t="n">
        <x:v>0</x:v>
      </x:c>
      <x:c r="P120" s="85" t="n">
        <x:v>0</x:v>
      </x:c>
      <x:c r="Q120" s="85" t="n">
        <x:v>0</x:v>
      </x:c>
    </x:row>
    <x:row r="121" ht="22" customHeight="1">
      <x:c r="A121" s="85" t="n">
        <x:v>117</x:v>
      </x:c>
      <x:c r="B121" s="82" t="str">
        <x:v>Yukiya Arashiro</x:v>
      </x:c>
      <x:c r="C121" s="85" t="n">
        <x:v>0</x:v>
      </x:c>
      <x:c r="D121" s="85" t="n">
        <x:v>0</x:v>
      </x:c>
      <x:c r="E121" s="85" t="n">
        <x:v>0</x:v>
      </x:c>
      <x:c r="F121" s="85" t="n">
        <x:v>0</x:v>
      </x:c>
      <x:c r="G121" s="85" t="n">
        <x:v>0</x:v>
      </x:c>
      <x:c r="H121" s="85" t="n">
        <x:v>0</x:v>
      </x:c>
      <x:c r="I121" s="85" t="n">
        <x:v>0</x:v>
      </x:c>
      <x:c r="J121" s="85" t="n">
        <x:v>0</x:v>
      </x:c>
      <x:c r="K121" s="85" t="n">
        <x:v>0</x:v>
      </x:c>
      <x:c r="L121" s="85" t="n">
        <x:v>0</x:v>
      </x:c>
      <x:c r="M121" s="85" t="n">
        <x:v>0</x:v>
      </x:c>
      <x:c r="N121" s="85" t="n">
        <x:v>0</x:v>
      </x:c>
      <x:c r="O121" s="85" t="n">
        <x:v>0</x:v>
      </x:c>
      <x:c r="P121" s="85" t="n">
        <x:v>0</x:v>
      </x:c>
      <x:c r="Q121" s="85" t="n">
        <x:v>0</x:v>
      </x:c>
    </x:row>
    <x:row r="122" ht="22" customHeight="1">
      <x:c r="A122" s="85" t="n">
        <x:v>118</x:v>
      </x:c>
      <x:c r="B122" s="82" t="str">
        <x:v>George Hincapie</x:v>
      </x:c>
      <x:c r="C122" s="85" t="n">
        <x:v>0</x:v>
      </x:c>
      <x:c r="D122" s="85" t="n">
        <x:v>1</x:v>
      </x:c>
      <x:c r="E122" s="85" t="n">
        <x:v>0</x:v>
      </x:c>
      <x:c r="F122" s="85" t="n">
        <x:v>0</x:v>
      </x:c>
      <x:c r="G122" s="85" t="n">
        <x:v>0</x:v>
      </x:c>
      <x:c r="H122" s="85" t="n">
        <x:v>0</x:v>
      </x:c>
      <x:c r="I122" s="85" t="n">
        <x:v>0</x:v>
      </x:c>
      <x:c r="J122" s="85" t="n">
        <x:v>0</x:v>
      </x:c>
      <x:c r="K122" s="85" t="n">
        <x:v>0</x:v>
      </x:c>
      <x:c r="L122" s="85" t="n">
        <x:v>0</x:v>
      </x:c>
      <x:c r="M122" s="85" t="n">
        <x:v>0</x:v>
      </x:c>
      <x:c r="N122" s="85" t="n">
        <x:v>0</x:v>
      </x:c>
      <x:c r="O122" s="85" t="n">
        <x:v>0</x:v>
      </x:c>
      <x:c r="P122" s="85" t="n">
        <x:v>0</x:v>
      </x:c>
      <x:c r="Q122" s="85" t="n">
        <x:v>0</x:v>
      </x:c>
    </x:row>
    <x:row r="123" ht="22" customHeight="1">
      <x:c r="A123" s="85" t="n">
        <x:v>119</x:v>
      </x:c>
      <x:c r="B123" s="82" t="str">
        <x:v>Bernhard Eisel</x:v>
      </x:c>
      <x:c r="C123" s="85" t="n">
        <x:v>0</x:v>
      </x:c>
      <x:c r="D123" s="85" t="n">
        <x:v>0</x:v>
      </x:c>
      <x:c r="E123" s="85" t="n">
        <x:v>0</x:v>
      </x:c>
      <x:c r="F123" s="85" t="n">
        <x:v>0</x:v>
      </x:c>
      <x:c r="G123" s="85" t="n">
        <x:v>0</x:v>
      </x:c>
      <x:c r="H123" s="85" t="n">
        <x:v>0</x:v>
      </x:c>
      <x:c r="I123" s="85" t="n">
        <x:v>0</x:v>
      </x:c>
      <x:c r="J123" s="85" t="n">
        <x:v>0</x:v>
      </x:c>
      <x:c r="K123" s="85" t="n">
        <x:v>0</x:v>
      </x:c>
      <x:c r="L123" s="85" t="n">
        <x:v>0</x:v>
      </x:c>
      <x:c r="M123" s="85" t="n">
        <x:v>0</x:v>
      </x:c>
      <x:c r="N123" s="85" t="n">
        <x:v>0</x:v>
      </x:c>
      <x:c r="O123" s="85" t="n">
        <x:v>0</x:v>
      </x:c>
      <x:c r="P123" s="85" t="n">
        <x:v>0</x:v>
      </x:c>
      <x:c r="Q123" s="85" t="n">
        <x:v>0</x:v>
      </x:c>
    </x:row>
    <x:row r="124" ht="22" customHeight="1">
      <x:c r="A124" s="85" t="n">
        <x:v>120</x:v>
      </x:c>
      <x:c r="B124" s="82" t="str">
        <x:v>Nicolas Roche</x:v>
      </x:c>
      <x:c r="C124" s="85" t="n">
        <x:v>0</x:v>
      </x:c>
      <x:c r="D124" s="85" t="n">
        <x:v>0</x:v>
      </x:c>
      <x:c r="E124" s="85" t="n">
        <x:v>0</x:v>
      </x:c>
      <x:c r="F124" s="85" t="n">
        <x:v>0</x:v>
      </x:c>
      <x:c r="G124" s="85" t="n">
        <x:v>0</x:v>
      </x:c>
      <x:c r="H124" s="85" t="n">
        <x:v>0</x:v>
      </x:c>
      <x:c r="I124" s="85" t="n">
        <x:v>0</x:v>
      </x:c>
      <x:c r="J124" s="85" t="n">
        <x:v>0</x:v>
      </x:c>
      <x:c r="K124" s="85" t="n">
        <x:v>0</x:v>
      </x:c>
      <x:c r="L124" s="85" t="n">
        <x:v>0</x:v>
      </x:c>
      <x:c r="M124" s="85" t="n">
        <x:v>0</x:v>
      </x:c>
      <x:c r="N124" s="85" t="n">
        <x:v>2</x:v>
      </x:c>
      <x:c r="O124" s="85" t="n">
        <x:v>0</x:v>
      </x:c>
      <x:c r="P124" s="85" t="n">
        <x:v>0</x:v>
      </x:c>
      <x:c r="Q124" s="85" t="n">
        <x:v>0</x:v>
      </x:c>
    </x:row>
    <x:row r="125" ht="22" customHeight="1">
      <x:c r="A125" s="85" t="n">
        <x:v>121</x:v>
      </x:c>
      <x:c r="B125" s="82" t="str">
        <x:v>Sylvain Chavanel</x:v>
      </x:c>
      <x:c r="C125" s="85" t="n">
        <x:v>0</x:v>
      </x:c>
      <x:c r="D125" s="85" t="n">
        <x:v>3</x:v>
      </x:c>
      <x:c r="E125" s="85" t="n">
        <x:v>0</x:v>
      </x:c>
      <x:c r="F125" s="85" t="n">
        <x:v>0</x:v>
      </x:c>
      <x:c r="G125" s="85" t="n">
        <x:v>0</x:v>
      </x:c>
      <x:c r="H125" s="85" t="n">
        <x:v>0</x:v>
      </x:c>
      <x:c r="I125" s="85" t="n">
        <x:v>0</x:v>
      </x:c>
      <x:c r="J125" s="85" t="n">
        <x:v>0</x:v>
      </x:c>
      <x:c r="K125" s="85" t="n">
        <x:v>0</x:v>
      </x:c>
      <x:c r="L125" s="85" t="n">
        <x:v>0</x:v>
      </x:c>
      <x:c r="M125" s="85" t="n">
        <x:v>0</x:v>
      </x:c>
      <x:c r="N125" s="85" t="n">
        <x:v>0</x:v>
      </x:c>
      <x:c r="O125" s="85" t="n">
        <x:v>0</x:v>
      </x:c>
      <x:c r="P125" s="85" t="n">
        <x:v>0</x:v>
      </x:c>
      <x:c r="Q125" s="85" t="n">
        <x:v>0</x:v>
      </x:c>
    </x:row>
    <x:row r="126" ht="22" customHeight="1">
      <x:c r="A126" s="85" t="n">
        <x:v>122</x:v>
      </x:c>
      <x:c r="B126" s="82" t="str">
        <x:v>Koen de Kort</x:v>
      </x:c>
      <x:c r="C126" s="85" t="n">
        <x:v>0</x:v>
      </x:c>
      <x:c r="D126" s="85" t="n">
        <x:v>0</x:v>
      </x:c>
      <x:c r="E126" s="85" t="n">
        <x:v>0</x:v>
      </x:c>
      <x:c r="F126" s="85" t="n">
        <x:v>0</x:v>
      </x:c>
      <x:c r="G126" s="85" t="n">
        <x:v>0</x:v>
      </x:c>
      <x:c r="H126" s="85" t="n">
        <x:v>0</x:v>
      </x:c>
      <x:c r="I126" s="85" t="n">
        <x:v>0</x:v>
      </x:c>
      <x:c r="J126" s="85" t="n">
        <x:v>0</x:v>
      </x:c>
      <x:c r="K126" s="85" t="n">
        <x:v>0</x:v>
      </x:c>
      <x:c r="L126" s="85" t="n">
        <x:v>0</x:v>
      </x:c>
      <x:c r="M126" s="85" t="n">
        <x:v>0</x:v>
      </x:c>
      <x:c r="N126" s="85" t="n">
        <x:v>0</x:v>
      </x:c>
      <x:c r="O126" s="85" t="n">
        <x:v>0</x:v>
      </x:c>
      <x:c r="P126" s="85" t="n">
        <x:v>0</x:v>
      </x:c>
      <x:c r="Q126" s="85" t="n">
        <x:v>0</x:v>
      </x:c>
    </x:row>
    <x:row r="127" ht="22" customHeight="1">
      <x:c r="A127" s="85" t="n">
        <x:v>123</x:v>
      </x:c>
      <x:c r="B127" s="82" t="str">
        <x:v>Daryl Impey</x:v>
      </x:c>
      <x:c r="C127" s="85" t="n">
        <x:v>0</x:v>
      </x:c>
      <x:c r="D127" s="85" t="n">
        <x:v>1</x:v>
      </x:c>
      <x:c r="E127" s="85" t="n">
        <x:v>0</x:v>
      </x:c>
      <x:c r="F127" s="85" t="n">
        <x:v>0</x:v>
      </x:c>
      <x:c r="G127" s="85" t="n">
        <x:v>0</x:v>
      </x:c>
      <x:c r="H127" s="85" t="n">
        <x:v>0</x:v>
      </x:c>
      <x:c r="I127" s="85" t="n">
        <x:v>0</x:v>
      </x:c>
      <x:c r="J127" s="85" t="n">
        <x:v>0</x:v>
      </x:c>
      <x:c r="K127" s="85" t="n">
        <x:v>0</x:v>
      </x:c>
      <x:c r="L127" s="85" t="n">
        <x:v>0</x:v>
      </x:c>
      <x:c r="M127" s="85" t="n">
        <x:v>0</x:v>
      </x:c>
      <x:c r="N127" s="85" t="n">
        <x:v>0</x:v>
      </x:c>
      <x:c r="O127" s="85" t="n">
        <x:v>0</x:v>
      </x:c>
      <x:c r="P127" s="85" t="n">
        <x:v>0</x:v>
      </x:c>
      <x:c r="Q127" s="85" t="n">
        <x:v>0</x:v>
      </x:c>
    </x:row>
    <x:row r="128" ht="22" customHeight="1">
      <x:c r="A128" s="85" t="n">
        <x:v>124</x:v>
      </x:c>
      <x:c r="B128" s="82" t="str">
        <x:v>Michael Rogers</x:v>
      </x:c>
      <x:c r="C128" s="85" t="n">
        <x:v>0</x:v>
      </x:c>
      <x:c r="D128" s="85" t="n">
        <x:v>1</x:v>
      </x:c>
      <x:c r="E128" s="85" t="n">
        <x:v>0</x:v>
      </x:c>
      <x:c r="F128" s="85" t="n">
        <x:v>0</x:v>
      </x:c>
      <x:c r="G128" s="85" t="n">
        <x:v>0</x:v>
      </x:c>
      <x:c r="H128" s="85" t="n">
        <x:v>0</x:v>
      </x:c>
      <x:c r="I128" s="85" t="n">
        <x:v>2</x:v>
      </x:c>
      <x:c r="J128" s="85" t="n">
        <x:v>0</x:v>
      </x:c>
      <x:c r="K128" s="85" t="n">
        <x:v>0</x:v>
      </x:c>
      <x:c r="L128" s="85" t="n">
        <x:v>0</x:v>
      </x:c>
      <x:c r="M128" s="85" t="n">
        <x:v>0</x:v>
      </x:c>
      <x:c r="N128" s="85" t="n">
        <x:v>0</x:v>
      </x:c>
      <x:c r="O128" s="85" t="n">
        <x:v>0</x:v>
      </x:c>
      <x:c r="P128" s="85" t="n">
        <x:v>0</x:v>
      </x:c>
      <x:c r="Q128" s="85" t="n">
        <x:v>0</x:v>
      </x:c>
    </x:row>
    <x:row r="129" ht="22" customHeight="1">
      <x:c r="A129" s="85" t="n">
        <x:v>125</x:v>
      </x:c>
      <x:c r="B129" s="82" t="str">
        <x:v>Geraint Thomas</x:v>
      </x:c>
      <x:c r="C129" s="85" t="n">
        <x:v>1</x:v>
      </x:c>
      <x:c r="D129" s="85" t="n">
        <x:v>3</x:v>
      </x:c>
      <x:c r="E129" s="85" t="n">
        <x:v>0</x:v>
      </x:c>
      <x:c r="F129" s="85" t="n">
        <x:v>0</x:v>
      </x:c>
      <x:c r="G129" s="85" t="n">
        <x:v>0</x:v>
      </x:c>
      <x:c r="H129" s="85" t="n">
        <x:v>0</x:v>
      </x:c>
      <x:c r="I129" s="85" t="n">
        <x:v>0</x:v>
      </x:c>
      <x:c r="J129" s="85" t="n">
        <x:v>0</x:v>
      </x:c>
      <x:c r="K129" s="85" t="n">
        <x:v>0</x:v>
      </x:c>
      <x:c r="L129" s="85" t="n">
        <x:v>0</x:v>
      </x:c>
      <x:c r="M129" s="85" t="n">
        <x:v>0</x:v>
      </x:c>
      <x:c r="N129" s="85" t="n">
        <x:v>0</x:v>
      </x:c>
      <x:c r="O129" s="85" t="n">
        <x:v>0</x:v>
      </x:c>
      <x:c r="P129" s="85" t="n">
        <x:v>0</x:v>
      </x:c>
      <x:c r="Q129" s="85" t="n">
        <x:v>0</x:v>
      </x:c>
    </x:row>
    <x:row r="130" ht="22" customHeight="1">
      <x:c r="A130" s="85" t="n">
        <x:v>126</x:v>
      </x:c>
      <x:c r="B130" s="82" t="str">
        <x:v>Simon Geschke</x:v>
      </x:c>
      <x:c r="C130" s="85" t="n">
        <x:v>0</x:v>
      </x:c>
      <x:c r="D130" s="85" t="n">
        <x:v>1</x:v>
      </x:c>
      <x:c r="E130" s="85" t="n">
        <x:v>0</x:v>
      </x:c>
      <x:c r="F130" s="85" t="n">
        <x:v>0</x:v>
      </x:c>
      <x:c r="G130" s="85" t="n">
        <x:v>0</x:v>
      </x:c>
      <x:c r="H130" s="85" t="n">
        <x:v>0</x:v>
      </x:c>
      <x:c r="I130" s="85" t="n">
        <x:v>0</x:v>
      </x:c>
      <x:c r="J130" s="85" t="n">
        <x:v>0</x:v>
      </x:c>
      <x:c r="K130" s="85" t="n">
        <x:v>0</x:v>
      </x:c>
      <x:c r="L130" s="85" t="n">
        <x:v>0</x:v>
      </x:c>
      <x:c r="M130" s="85" t="n">
        <x:v>0</x:v>
      </x:c>
      <x:c r="N130" s="85" t="n">
        <x:v>0</x:v>
      </x:c>
      <x:c r="O130" s="85" t="n">
        <x:v>0</x:v>
      </x:c>
      <x:c r="P130" s="85" t="n">
        <x:v>0</x:v>
      </x:c>
      <x:c r="Q130" s="85" t="n">
        <x:v>0</x:v>
      </x:c>
    </x:row>
    <x:row r="131" ht="22" customHeight="1">
      <x:c r="A131" s="85" t="n">
        <x:v>127</x:v>
      </x:c>
      <x:c r="B131" s="82" t="str">
        <x:v>Mathew Hayman</x:v>
      </x:c>
      <x:c r="C131" s="85" t="n">
        <x:v>0</x:v>
      </x:c>
      <x:c r="D131" s="85" t="n">
        <x:v>0</x:v>
      </x:c>
      <x:c r="E131" s="85" t="n">
        <x:v>0</x:v>
      </x:c>
      <x:c r="F131" s="85" t="n">
        <x:v>0</x:v>
      </x:c>
      <x:c r="G131" s="85" t="n">
        <x:v>0</x:v>
      </x:c>
      <x:c r="H131" s="85" t="n">
        <x:v>0</x:v>
      </x:c>
      <x:c r="I131" s="85" t="n">
        <x:v>0</x:v>
      </x:c>
      <x:c r="J131" s="85" t="n">
        <x:v>0</x:v>
      </x:c>
      <x:c r="K131" s="85" t="n">
        <x:v>0</x:v>
      </x:c>
      <x:c r="L131" s="85" t="n">
        <x:v>0</x:v>
      </x:c>
      <x:c r="M131" s="85" t="n">
        <x:v>0</x:v>
      </x:c>
      <x:c r="N131" s="85" t="n">
        <x:v>0</x:v>
      </x:c>
      <x:c r="O131" s="85" t="n">
        <x:v>0</x:v>
      </x:c>
      <x:c r="P131" s="85" t="n">
        <x:v>0</x:v>
      </x:c>
      <x:c r="Q131" s="85" t="n">
        <x:v>0</x:v>
      </x:c>
    </x:row>
    <x:row r="132" ht="22" customHeight="1">
      <x:c r="A132" s="85" t="n">
        <x:v>128</x:v>
      </x:c>
      <x:c r="B132" s="82" t="str">
        <x:v>Bram Tankink</x:v>
      </x:c>
      <x:c r="C132" s="85" t="n">
        <x:v>0</x:v>
      </x:c>
      <x:c r="D132" s="85" t="n">
        <x:v>0</x:v>
      </x:c>
      <x:c r="E132" s="85" t="n">
        <x:v>0</x:v>
      </x:c>
      <x:c r="F132" s="85" t="n">
        <x:v>0</x:v>
      </x:c>
      <x:c r="G132" s="85" t="n">
        <x:v>0</x:v>
      </x:c>
      <x:c r="H132" s="85" t="n">
        <x:v>0</x:v>
      </x:c>
      <x:c r="I132" s="85" t="n">
        <x:v>0</x:v>
      </x:c>
      <x:c r="J132" s="85" t="n">
        <x:v>0</x:v>
      </x:c>
      <x:c r="K132" s="85" t="n">
        <x:v>0</x:v>
      </x:c>
      <x:c r="L132" s="85" t="n">
        <x:v>0</x:v>
      </x:c>
      <x:c r="M132" s="85" t="n">
        <x:v>0</x:v>
      </x:c>
      <x:c r="N132" s="85" t="n">
        <x:v>0</x:v>
      </x:c>
      <x:c r="O132" s="85" t="n">
        <x:v>0</x:v>
      </x:c>
      <x:c r="P132" s="85" t="n">
        <x:v>0</x:v>
      </x:c>
      <x:c r="Q132" s="85" t="n">
        <x:v>0</x:v>
      </x:c>
    </x:row>
    <x:row r="133" ht="22" customHeight="1">
      <x:c r="A133" s="85" t="n">
        <x:v>129</x:v>
      </x:c>
      <x:c r="B133" s="82" t="str">
        <x:v>Christian Vande Velde</x:v>
      </x:c>
      <x:c r="C133" s="85" t="n">
        <x:v>0</x:v>
      </x:c>
      <x:c r="D133" s="85" t="n">
        <x:v>0</x:v>
      </x:c>
      <x:c r="E133" s="85" t="n">
        <x:v>0</x:v>
      </x:c>
      <x:c r="F133" s="85" t="n">
        <x:v>0</x:v>
      </x:c>
      <x:c r="G133" s="85" t="n">
        <x:v>0</x:v>
      </x:c>
      <x:c r="H133" s="85" t="n">
        <x:v>0</x:v>
      </x:c>
      <x:c r="I133" s="85" t="n">
        <x:v>0</x:v>
      </x:c>
      <x:c r="J133" s="85" t="n">
        <x:v>0</x:v>
      </x:c>
      <x:c r="K133" s="85" t="n">
        <x:v>0</x:v>
      </x:c>
      <x:c r="L133" s="85" t="n">
        <x:v>0</x:v>
      </x:c>
      <x:c r="M133" s="85" t="n">
        <x:v>0</x:v>
      </x:c>
      <x:c r="N133" s="85" t="n">
        <x:v>0</x:v>
      </x:c>
      <x:c r="O133" s="85" t="n">
        <x:v>0</x:v>
      </x:c>
      <x:c r="P133" s="85" t="n">
        <x:v>0</x:v>
      </x:c>
      <x:c r="Q133" s="85" t="n">
        <x:v>0</x:v>
      </x:c>
    </x:row>
    <x:row r="134" ht="22" customHeight="1">
      <x:c r="A134" s="85" t="n">
        <x:v>130</x:v>
      </x:c>
      <x:c r="B134" s="82" t="str">
        <x:v>David Millar</x:v>
      </x:c>
      <x:c r="C134" s="85" t="n">
        <x:v>0</x:v>
      </x:c>
      <x:c r="D134" s="85" t="n">
        <x:v>4</x:v>
      </x:c>
      <x:c r="E134" s="85" t="n">
        <x:v>0</x:v>
      </x:c>
      <x:c r="F134" s="85" t="n">
        <x:v>0</x:v>
      </x:c>
      <x:c r="G134" s="85" t="n">
        <x:v>0</x:v>
      </x:c>
      <x:c r="H134" s="85" t="n">
        <x:v>0</x:v>
      </x:c>
      <x:c r="I134" s="85" t="n">
        <x:v>1</x:v>
      </x:c>
      <x:c r="J134" s="85" t="n">
        <x:v>0</x:v>
      </x:c>
      <x:c r="K134" s="85" t="n">
        <x:v>0</x:v>
      </x:c>
      <x:c r="L134" s="85" t="n">
        <x:v>0</x:v>
      </x:c>
      <x:c r="M134" s="85" t="n">
        <x:v>0</x:v>
      </x:c>
      <x:c r="N134" s="85" t="n">
        <x:v>5</x:v>
      </x:c>
      <x:c r="O134" s="85" t="n">
        <x:v>0</x:v>
      </x:c>
      <x:c r="P134" s="85" t="n">
        <x:v>0</x:v>
      </x:c>
      <x:c r="Q134" s="85" t="n">
        <x:v>0</x:v>
      </x:c>
    </x:row>
    <x:row r="135" ht="22" customHeight="1">
      <x:c r="A135" s="85" t="n">
        <x:v>131</x:v>
      </x:c>
      <x:c r="B135" s="82" t="str">
        <x:v>Manuel Quinziato</x:v>
      </x:c>
      <x:c r="C135" s="85" t="n">
        <x:v>0</x:v>
      </x:c>
      <x:c r="D135" s="85" t="n">
        <x:v>0</x:v>
      </x:c>
      <x:c r="E135" s="85" t="n">
        <x:v>0</x:v>
      </x:c>
      <x:c r="F135" s="85" t="n">
        <x:v>0</x:v>
      </x:c>
      <x:c r="G135" s="85" t="n">
        <x:v>0</x:v>
      </x:c>
      <x:c r="H135" s="85" t="n">
        <x:v>0</x:v>
      </x:c>
      <x:c r="I135" s="85" t="n">
        <x:v>0</x:v>
      </x:c>
      <x:c r="J135" s="85" t="n">
        <x:v>0</x:v>
      </x:c>
      <x:c r="K135" s="85" t="n">
        <x:v>0</x:v>
      </x:c>
      <x:c r="L135" s="85" t="n">
        <x:v>0</x:v>
      </x:c>
      <x:c r="M135" s="85" t="n">
        <x:v>0</x:v>
      </x:c>
      <x:c r="N135" s="85" t="n">
        <x:v>0</x:v>
      </x:c>
      <x:c r="O135" s="85" t="n">
        <x:v>0</x:v>
      </x:c>
      <x:c r="P135" s="85" t="n">
        <x:v>0</x:v>
      </x:c>
      <x:c r="Q135" s="85" t="n">
        <x:v>0</x:v>
      </x:c>
    </x:row>
    <x:row r="136" ht="22" customHeight="1">
      <x:c r="A136" s="85" t="n">
        <x:v>132</x:v>
      </x:c>
      <x:c r="B136" s="82" t="str">
        <x:v>Luca Paolini</x:v>
      </x:c>
      <x:c r="C136" s="85" t="n">
        <x:v>0</x:v>
      </x:c>
      <x:c r="D136" s="85" t="n">
        <x:v>0</x:v>
      </x:c>
      <x:c r="E136" s="85" t="n">
        <x:v>0</x:v>
      </x:c>
      <x:c r="F136" s="85" t="n">
        <x:v>0</x:v>
      </x:c>
      <x:c r="G136" s="85" t="n">
        <x:v>0</x:v>
      </x:c>
      <x:c r="H136" s="85" t="n">
        <x:v>0</x:v>
      </x:c>
      <x:c r="I136" s="85" t="n">
        <x:v>1</x:v>
      </x:c>
      <x:c r="J136" s="85" t="n">
        <x:v>0</x:v>
      </x:c>
      <x:c r="K136" s="85" t="n">
        <x:v>0</x:v>
      </x:c>
      <x:c r="L136" s="85" t="n">
        <x:v>0</x:v>
      </x:c>
      <x:c r="M136" s="85" t="n">
        <x:v>0</x:v>
      </x:c>
      <x:c r="N136" s="85" t="n">
        <x:v>1</x:v>
      </x:c>
      <x:c r="O136" s="85" t="n">
        <x:v>0</x:v>
      </x:c>
      <x:c r="P136" s="85" t="n">
        <x:v>0</x:v>
      </x:c>
      <x:c r="Q136" s="85" t="n">
        <x:v>0</x:v>
      </x:c>
    </x:row>
    <x:row r="137" ht="22" customHeight="1">
      <x:c r="A137" s="85" t="n">
        <x:v>133</x:v>
      </x:c>
      <x:c r="B137" s="82" t="str">
        <x:v>Juan Antonio Flecha</x:v>
      </x:c>
      <x:c r="C137" s="85" t="n">
        <x:v>0</x:v>
      </x:c>
      <x:c r="D137" s="85" t="n">
        <x:v>1</x:v>
      </x:c>
      <x:c r="E137" s="85" t="n">
        <x:v>0</x:v>
      </x:c>
      <x:c r="F137" s="85" t="n">
        <x:v>0</x:v>
      </x:c>
      <x:c r="G137" s="85" t="n">
        <x:v>0</x:v>
      </x:c>
      <x:c r="H137" s="85" t="n">
        <x:v>0</x:v>
      </x:c>
      <x:c r="I137" s="85" t="n">
        <x:v>0</x:v>
      </x:c>
      <x:c r="J137" s="85" t="n">
        <x:v>0</x:v>
      </x:c>
      <x:c r="K137" s="85" t="n">
        <x:v>0</x:v>
      </x:c>
      <x:c r="L137" s="85" t="n">
        <x:v>0</x:v>
      </x:c>
      <x:c r="M137" s="85" t="n">
        <x:v>0</x:v>
      </x:c>
      <x:c r="N137" s="85" t="n">
        <x:v>0</x:v>
      </x:c>
      <x:c r="O137" s="85" t="n">
        <x:v>0</x:v>
      </x:c>
      <x:c r="P137" s="85" t="n">
        <x:v>0</x:v>
      </x:c>
      <x:c r="Q137" s="85" t="n">
        <x:v>0</x:v>
      </x:c>
    </x:row>
    <x:row r="138" ht="22" customHeight="1">
      <x:c r="A138" s="85" t="n">
        <x:v>134</x:v>
      </x:c>
      <x:c r="B138" s="82" t="str">
        <x:v>Alessandro Ballan</x:v>
      </x:c>
      <x:c r="C138" s="85" t="n">
        <x:v>0</x:v>
      </x:c>
      <x:c r="D138" s="85" t="n">
        <x:v>0</x:v>
      </x:c>
      <x:c r="E138" s="85" t="n">
        <x:v>0</x:v>
      </x:c>
      <x:c r="F138" s="85" t="n">
        <x:v>0</x:v>
      </x:c>
      <x:c r="G138" s="85" t="n">
        <x:v>0</x:v>
      </x:c>
      <x:c r="H138" s="85" t="n">
        <x:v>0</x:v>
      </x:c>
      <x:c r="I138" s="85" t="n">
        <x:v>0</x:v>
      </x:c>
      <x:c r="J138" s="85" t="n">
        <x:v>0</x:v>
      </x:c>
      <x:c r="K138" s="85" t="n">
        <x:v>0</x:v>
      </x:c>
      <x:c r="L138" s="85" t="n">
        <x:v>0</x:v>
      </x:c>
      <x:c r="M138" s="85" t="n">
        <x:v>0</x:v>
      </x:c>
      <x:c r="N138" s="85" t="n">
        <x:v>1</x:v>
      </x:c>
      <x:c r="O138" s="85" t="n">
        <x:v>0</x:v>
      </x:c>
      <x:c r="P138" s="85" t="n">
        <x:v>0</x:v>
      </x:c>
      <x:c r="Q138" s="85" t="n">
        <x:v>0</x:v>
      </x:c>
    </x:row>
    <x:row r="139" ht="22" customHeight="1">
      <x:c r="A139" s="85" t="n">
        <x:v>135</x:v>
      </x:c>
      <x:c r="B139" s="82" t="str">
        <x:v>Gregory Rast</x:v>
      </x:c>
      <x:c r="C139" s="85" t="n">
        <x:v>0</x:v>
      </x:c>
      <x:c r="D139" s="85" t="n">
        <x:v>0</x:v>
      </x:c>
      <x:c r="E139" s="85" t="n">
        <x:v>0</x:v>
      </x:c>
      <x:c r="F139" s="85" t="n">
        <x:v>0</x:v>
      </x:c>
      <x:c r="G139" s="85" t="n">
        <x:v>0</x:v>
      </x:c>
      <x:c r="H139" s="85" t="n">
        <x:v>0</x:v>
      </x:c>
      <x:c r="I139" s="85" t="n">
        <x:v>0</x:v>
      </x:c>
      <x:c r="J139" s="85" t="n">
        <x:v>0</x:v>
      </x:c>
      <x:c r="K139" s="85" t="n">
        <x:v>0</x:v>
      </x:c>
      <x:c r="L139" s="85" t="n">
        <x:v>0</x:v>
      </x:c>
      <x:c r="M139" s="85" t="n">
        <x:v>0</x:v>
      </x:c>
      <x:c r="N139" s="85" t="n">
        <x:v>0</x:v>
      </x:c>
      <x:c r="O139" s="85" t="n">
        <x:v>0</x:v>
      </x:c>
      <x:c r="P139" s="85" t="n">
        <x:v>0</x:v>
      </x:c>
      <x:c r="Q139" s="85" t="n">
        <x:v>0</x:v>
      </x:c>
    </x:row>
    <x:row r="140" ht="22" customHeight="1">
      <x:c r="A140" s="85" t="n">
        <x:v>136</x:v>
      </x:c>
      <x:c r="B140" s="82" t="str">
        <x:v>Carlos Rodriguez</x:v>
      </x:c>
      <x:c r="C140" s="85" t="n">
        <x:v>0</x:v>
      </x:c>
      <x:c r="D140" s="85" t="n">
        <x:v>1</x:v>
      </x:c>
      <x:c r="E140" s="85" t="n">
        <x:v>0</x:v>
      </x:c>
      <x:c r="F140" s="85" t="n">
        <x:v>0</x:v>
      </x:c>
      <x:c r="G140" s="85" t="n">
        <x:v>0</x:v>
      </x:c>
      <x:c r="H140" s="85" t="n">
        <x:v>0</x:v>
      </x:c>
      <x:c r="I140" s="85" t="n">
        <x:v>0</x:v>
      </x:c>
      <x:c r="J140" s="85" t="n">
        <x:v>0</x:v>
      </x:c>
      <x:c r="K140" s="85" t="n">
        <x:v>0</x:v>
      </x:c>
      <x:c r="L140" s="85" t="n">
        <x:v>0</x:v>
      </x:c>
      <x:c r="M140" s="85" t="n">
        <x:v>0</x:v>
      </x:c>
      <x:c r="N140" s="85" t="n">
        <x:v>0</x:v>
      </x:c>
      <x:c r="O140" s="85" t="n">
        <x:v>0</x:v>
      </x:c>
      <x:c r="P140" s="85" t="n">
        <x:v>0</x:v>
      </x:c>
      <x:c r="Q140" s="85" t="n">
        <x:v>0</x:v>
      </x:c>
    </x:row>
    <x:row r="141" ht="22" customHeight="1">
      <x:c r="A141" s="85" t="n">
        <x:v>137</x:v>
      </x:c>
      <x:c r="B141" s="82" t="str">
        <x:v>Jonathan Milan</x:v>
      </x:c>
      <x:c r="C141" s="85" t="n">
        <x:v>0</x:v>
      </x:c>
      <x:c r="D141" s="85" t="n">
        <x:v>2</x:v>
      </x:c>
      <x:c r="E141" s="85" t="n">
        <x:v>1</x:v>
      </x:c>
      <x:c r="F141" s="85" t="n">
        <x:v>0</x:v>
      </x:c>
      <x:c r="G141" s="85" t="n">
        <x:v>0</x:v>
      </x:c>
      <x:c r="H141" s="85" t="n">
        <x:v>0</x:v>
      </x:c>
      <x:c r="I141" s="85" t="n">
        <x:v>5</x:v>
      </x:c>
      <x:c r="J141" s="85" t="n">
        <x:v>2</x:v>
      </x:c>
      <x:c r="K141" s="85" t="n">
        <x:v>0</x:v>
      </x:c>
      <x:c r="L141" s="85" t="n">
        <x:v>0</x:v>
      </x:c>
      <x:c r="M141" s="85" t="n">
        <x:v>0</x:v>
      </x:c>
      <x:c r="N141" s="85" t="n">
        <x:v>0</x:v>
      </x:c>
      <x:c r="O141" s="85" t="n">
        <x:v>0</x:v>
      </x:c>
      <x:c r="P141" s="85" t="n">
        <x:v>0</x:v>
      </x:c>
      <x:c r="Q141" s="85" t="n">
        <x:v>0</x:v>
      </x:c>
    </x:row>
    <x:row r="142" ht="22" customHeight="1">
      <x:c r="A142" s="85" t="n">
        <x:v>138</x:v>
      </x:c>
      <x:c r="B142" s="82" t="str">
        <x:v>Olav Kooij</x:v>
      </x:c>
      <x:c r="C142" s="85" t="n">
        <x:v>0</x:v>
      </x:c>
      <x:c r="D142" s="85" t="n">
        <x:v>0</x:v>
      </x:c>
      <x:c r="E142" s="85" t="n">
        <x:v>0</x:v>
      </x:c>
      <x:c r="F142" s="85" t="n">
        <x:v>0</x:v>
      </x:c>
      <x:c r="G142" s="85" t="n">
        <x:v>0</x:v>
      </x:c>
      <x:c r="H142" s="85" t="n">
        <x:v>0</x:v>
      </x:c>
      <x:c r="I142" s="85" t="n">
        <x:v>3</x:v>
      </x:c>
      <x:c r="J142" s="85" t="n">
        <x:v>0</x:v>
      </x:c>
      <x:c r="K142" s="85" t="n">
        <x:v>0</x:v>
      </x:c>
      <x:c r="L142" s="85" t="n">
        <x:v>0</x:v>
      </x:c>
      <x:c r="M142" s="85" t="n">
        <x:v>0</x:v>
      </x:c>
      <x:c r="N142" s="85" t="n">
        <x:v>0</x:v>
      </x:c>
      <x:c r="O142" s="85" t="n">
        <x:v>0</x:v>
      </x:c>
      <x:c r="P142" s="85" t="n">
        <x:v>0</x:v>
      </x:c>
      <x:c r="Q142" s="85" t="n">
        <x:v>0</x:v>
      </x:c>
    </x:row>
    <x:row r="143" ht="22" customHeight="1">
      <x:c r="A143" s="85" t="n">
        <x:v>139</x:v>
      </x:c>
      <x:c r="B143" s="82" t="str">
        <x:v>Mark Renshaw</x:v>
      </x:c>
      <x:c r="C143" s="85" t="n">
        <x:v>0</x:v>
      </x:c>
      <x:c r="D143" s="85" t="n">
        <x:v>0</x:v>
      </x:c>
      <x:c r="E143" s="85" t="n">
        <x:v>0</x:v>
      </x:c>
      <x:c r="F143" s="85" t="n">
        <x:v>0</x:v>
      </x:c>
      <x:c r="G143" s="85" t="n">
        <x:v>0</x:v>
      </x:c>
      <x:c r="H143" s="85" t="n">
        <x:v>0</x:v>
      </x:c>
      <x:c r="I143" s="85" t="n">
        <x:v>0</x:v>
      </x:c>
      <x:c r="J143" s="85" t="n">
        <x:v>0</x:v>
      </x:c>
      <x:c r="K143" s="85" t="n">
        <x:v>0</x:v>
      </x:c>
      <x:c r="L143" s="85" t="n">
        <x:v>0</x:v>
      </x:c>
      <x:c r="M143" s="85" t="n">
        <x:v>0</x:v>
      </x:c>
      <x:c r="N143" s="85" t="n">
        <x:v>0</x:v>
      </x:c>
      <x:c r="O143" s="85" t="n">
        <x:v>0</x:v>
      </x:c>
      <x:c r="P143" s="85" t="n">
        <x:v>0</x:v>
      </x:c>
      <x:c r="Q143" s="85" t="n">
        <x:v>0</x:v>
      </x:c>
    </x:row>
    <x:row r="144" ht="22" customHeight="1">
      <x:c r="A144" s="85" t="n">
        <x:v>140</x:v>
      </x:c>
      <x:c r="B144" s="82" t="str">
        <x:v>Michael Morkov</x:v>
      </x:c>
      <x:c r="C144" s="85" t="n">
        <x:v>0</x:v>
      </x:c>
      <x:c r="D144" s="85" t="n">
        <x:v>0</x:v>
      </x:c>
      <x:c r="E144" s="85" t="n">
        <x:v>0</x:v>
      </x:c>
      <x:c r="F144" s="85" t="n">
        <x:v>0</x:v>
      </x:c>
      <x:c r="G144" s="85" t="n">
        <x:v>0</x:v>
      </x:c>
      <x:c r="H144" s="85" t="n">
        <x:v>0</x:v>
      </x:c>
      <x:c r="I144" s="85" t="n">
        <x:v>0</x:v>
      </x:c>
      <x:c r="J144" s="85" t="n">
        <x:v>0</x:v>
      </x:c>
      <x:c r="K144" s="85" t="n">
        <x:v>0</x:v>
      </x:c>
      <x:c r="L144" s="85" t="n">
        <x:v>0</x:v>
      </x:c>
      <x:c r="M144" s="85" t="n">
        <x:v>0</x:v>
      </x:c>
      <x:c r="N144" s="85" t="n">
        <x:v>1</x:v>
      </x:c>
      <x:c r="O144" s="85" t="n">
        <x:v>0</x:v>
      </x:c>
      <x:c r="P144" s="85" t="n">
        <x:v>0</x:v>
      </x:c>
      <x:c r="Q144" s="85" t="n">
        <x:v>0</x:v>
      </x:c>
    </x:row>
    <x:row r="145" ht="22" customHeight="1">
      <x:c r="A145" s="85" t="n">
        <x:v>141</x:v>
      </x:c>
      <x:c r="B145" s="82" t="str">
        <x:v>Iljo Keisse</x:v>
      </x:c>
      <x:c r="C145" s="85" t="n">
        <x:v>0</x:v>
      </x:c>
      <x:c r="D145" s="85" t="n">
        <x:v>0</x:v>
      </x:c>
      <x:c r="E145" s="85" t="n">
        <x:v>0</x:v>
      </x:c>
      <x:c r="F145" s="85" t="n">
        <x:v>0</x:v>
      </x:c>
      <x:c r="G145" s="85" t="n">
        <x:v>0</x:v>
      </x:c>
      <x:c r="H145" s="85" t="n">
        <x:v>0</x:v>
      </x:c>
      <x:c r="I145" s="85" t="n">
        <x:v>1</x:v>
      </x:c>
      <x:c r="J145" s="85" t="n">
        <x:v>0</x:v>
      </x:c>
      <x:c r="K145" s="85" t="n">
        <x:v>0</x:v>
      </x:c>
      <x:c r="L145" s="85" t="n">
        <x:v>0</x:v>
      </x:c>
      <x:c r="M145" s="85" t="n">
        <x:v>0</x:v>
      </x:c>
      <x:c r="N145" s="85" t="n">
        <x:v>0</x:v>
      </x:c>
      <x:c r="O145" s="85" t="n">
        <x:v>0</x:v>
      </x:c>
      <x:c r="P145" s="85" t="n">
        <x:v>0</x:v>
      </x:c>
      <x:c r="Q145" s="85" t="n">
        <x:v>0</x:v>
      </x:c>
    </x:row>
    <x:row r="146" ht="22" customHeight="1">
      <x:c r="A146" s="85" t="n">
        <x:v>142</x:v>
      </x:c>
      <x:c r="B146" s="82" t="str">
        <x:v>Maximiliano Richeze</x:v>
      </x:c>
      <x:c r="C146" s="85" t="n">
        <x:v>0</x:v>
      </x:c>
      <x:c r="D146" s="85" t="n">
        <x:v>0</x:v>
      </x:c>
      <x:c r="E146" s="85" t="n">
        <x:v>0</x:v>
      </x:c>
      <x:c r="F146" s="85" t="n">
        <x:v>0</x:v>
      </x:c>
      <x:c r="G146" s="85" t="n">
        <x:v>0</x:v>
      </x:c>
      <x:c r="H146" s="85" t="n">
        <x:v>0</x:v>
      </x:c>
      <x:c r="I146" s="85" t="n">
        <x:v>0</x:v>
      </x:c>
      <x:c r="J146" s="85" t="n">
        <x:v>0</x:v>
      </x:c>
      <x:c r="K146" s="85" t="n">
        <x:v>0</x:v>
      </x:c>
      <x:c r="L146" s="85" t="n">
        <x:v>0</x:v>
      </x:c>
      <x:c r="M146" s="85" t="n">
        <x:v>0</x:v>
      </x:c>
      <x:c r="N146" s="85" t="n">
        <x:v>0</x:v>
      </x:c>
      <x:c r="O146" s="85" t="n">
        <x:v>0</x:v>
      </x:c>
      <x:c r="P146" s="85" t="n">
        <x:v>0</x:v>
      </x:c>
      <x:c r="Q146" s="85" t="n">
        <x:v>0</x:v>
      </x:c>
    </x:row>
    <x:row r="147" ht="22" customHeight="1">
      <x:c r="A147" s="85" t="n">
        <x:v>143</x:v>
      </x:c>
      <x:c r="B147" s="82" t="str">
        <x:v>Fabio Sabatini</x:v>
      </x:c>
      <x:c r="C147" s="85" t="n">
        <x:v>0</x:v>
      </x:c>
      <x:c r="D147" s="85" t="n">
        <x:v>0</x:v>
      </x:c>
      <x:c r="E147" s="85" t="n">
        <x:v>0</x:v>
      </x:c>
      <x:c r="F147" s="85" t="n">
        <x:v>0</x:v>
      </x:c>
      <x:c r="G147" s="85" t="n">
        <x:v>0</x:v>
      </x:c>
      <x:c r="H147" s="85" t="n">
        <x:v>0</x:v>
      </x:c>
      <x:c r="I147" s="85" t="n">
        <x:v>0</x:v>
      </x:c>
      <x:c r="J147" s="85" t="n">
        <x:v>0</x:v>
      </x:c>
      <x:c r="K147" s="85" t="n">
        <x:v>0</x:v>
      </x:c>
      <x:c r="L147" s="85" t="n">
        <x:v>0</x:v>
      </x:c>
      <x:c r="M147" s="85" t="n">
        <x:v>0</x:v>
      </x:c>
      <x:c r="N147" s="85" t="n">
        <x:v>0</x:v>
      </x:c>
      <x:c r="O147" s="85" t="n">
        <x:v>0</x:v>
      </x:c>
      <x:c r="P147" s="85" t="n">
        <x:v>0</x:v>
      </x:c>
      <x:c r="Q147" s="85" t="n">
        <x:v>0</x:v>
      </x:c>
    </x:row>
    <x:row r="148" ht="22" customHeight="1">
      <x:c r="A148" s="85" t="n">
        <x:v>144</x:v>
      </x:c>
      <x:c r="B148" s="82" t="str">
        <x:v>Jacopo Guarnieri</x:v>
      </x:c>
      <x:c r="C148" s="85" t="n">
        <x:v>0</x:v>
      </x:c>
      <x:c r="D148" s="85" t="n">
        <x:v>0</x:v>
      </x:c>
      <x:c r="E148" s="85" t="n">
        <x:v>0</x:v>
      </x:c>
      <x:c r="F148" s="85" t="n">
        <x:v>0</x:v>
      </x:c>
      <x:c r="G148" s="85" t="n">
        <x:v>0</x:v>
      </x:c>
      <x:c r="H148" s="85" t="n">
        <x:v>0</x:v>
      </x:c>
      <x:c r="I148" s="85" t="n">
        <x:v>0</x:v>
      </x:c>
      <x:c r="J148" s="85" t="n">
        <x:v>0</x:v>
      </x:c>
      <x:c r="K148" s="85" t="n">
        <x:v>0</x:v>
      </x:c>
      <x:c r="L148" s="85" t="n">
        <x:v>0</x:v>
      </x:c>
      <x:c r="M148" s="85" t="n">
        <x:v>0</x:v>
      </x:c>
      <x:c r="N148" s="85" t="n">
        <x:v>0</x:v>
      </x:c>
      <x:c r="O148" s="85" t="n">
        <x:v>0</x:v>
      </x:c>
      <x:c r="P148" s="85" t="n">
        <x:v>0</x:v>
      </x:c>
      <x:c r="Q148" s="85" t="n">
        <x:v>0</x:v>
      </x:c>
    </x:row>
    <x:row r="149" ht="22" customHeight="1">
      <x:c r="A149" s="85" t="n">
        <x:v>145</x:v>
      </x:c>
      <x:c r="B149" s="82" t="str">
        <x:v>Greg Henderson</x:v>
      </x:c>
      <x:c r="C149" s="85" t="n">
        <x:v>0</x:v>
      </x:c>
      <x:c r="D149" s="85" t="n">
        <x:v>0</x:v>
      </x:c>
      <x:c r="E149" s="85" t="n">
        <x:v>0</x:v>
      </x:c>
      <x:c r="F149" s="85" t="n">
        <x:v>0</x:v>
      </x:c>
      <x:c r="G149" s="85" t="n">
        <x:v>0</x:v>
      </x:c>
      <x:c r="H149" s="85" t="n">
        <x:v>0</x:v>
      </x:c>
      <x:c r="I149" s="85" t="n">
        <x:v>0</x:v>
      </x:c>
      <x:c r="J149" s="85" t="n">
        <x:v>0</x:v>
      </x:c>
      <x:c r="K149" s="85" t="n">
        <x:v>0</x:v>
      </x:c>
      <x:c r="L149" s="85" t="n">
        <x:v>0</x:v>
      </x:c>
      <x:c r="M149" s="85" t="n">
        <x:v>0</x:v>
      </x:c>
      <x:c r="N149" s="85" t="n">
        <x:v>1</x:v>
      </x:c>
      <x:c r="O149" s="85" t="n">
        <x:v>0</x:v>
      </x:c>
      <x:c r="P149" s="85" t="n">
        <x:v>0</x:v>
      </x:c>
      <x:c r="Q149" s="85" t="n">
        <x:v>0</x:v>
      </x:c>
    </x:row>
    <x:row r="150" ht="22" customHeight="1">
      <x:c r="A150" s="85" t="n">
        <x:v>146</x:v>
      </x:c>
      <x:c r="B150" s="82" t="str">
        <x:v>Christophe Laporte</x:v>
      </x:c>
      <x:c r="C150" s="85" t="n">
        <x:v>0</x:v>
      </x:c>
      <x:c r="D150" s="85" t="n">
        <x:v>1</x:v>
      </x:c>
      <x:c r="E150" s="85" t="n">
        <x:v>0</x:v>
      </x:c>
      <x:c r="F150" s="85" t="n">
        <x:v>0</x:v>
      </x:c>
      <x:c r="G150" s="85" t="n">
        <x:v>0</x:v>
      </x:c>
      <x:c r="H150" s="85" t="n">
        <x:v>0</x:v>
      </x:c>
      <x:c r="I150" s="85" t="n">
        <x:v>0</x:v>
      </x:c>
      <x:c r="J150" s="85" t="n">
        <x:v>0</x:v>
      </x:c>
      <x:c r="K150" s="85" t="n">
        <x:v>0</x:v>
      </x:c>
      <x:c r="L150" s="85" t="n">
        <x:v>0</x:v>
      </x:c>
      <x:c r="M150" s="85" t="n">
        <x:v>0</x:v>
      </x:c>
      <x:c r="N150" s="85" t="n">
        <x:v>0</x:v>
      </x:c>
      <x:c r="O150" s="85" t="n">
        <x:v>0</x:v>
      </x:c>
      <x:c r="P150" s="85" t="n">
        <x:v>0</x:v>
      </x:c>
      <x:c r="Q150" s="85" t="n">
        <x:v>0</x:v>
      </x:c>
    </x:row>
    <x:row r="151" ht="22" customHeight="1">
      <x:c r="A151" s="85" t="n">
        <x:v>147</x:v>
      </x:c>
      <x:c r="B151" s="82" t="str">
        <x:v>Mike Teunissen</x:v>
      </x:c>
      <x:c r="C151" s="85" t="n">
        <x:v>0</x:v>
      </x:c>
      <x:c r="D151" s="85" t="n">
        <x:v>1</x:v>
      </x:c>
      <x:c r="E151" s="85" t="n">
        <x:v>0</x:v>
      </x:c>
      <x:c r="F151" s="85" t="n">
        <x:v>0</x:v>
      </x:c>
      <x:c r="G151" s="85" t="n">
        <x:v>0</x:v>
      </x:c>
      <x:c r="H151" s="85" t="n">
        <x:v>0</x:v>
      </x:c>
      <x:c r="I151" s="85" t="n">
        <x:v>0</x:v>
      </x:c>
      <x:c r="J151" s="85" t="n">
        <x:v>0</x:v>
      </x:c>
      <x:c r="K151" s="85" t="n">
        <x:v>0</x:v>
      </x:c>
      <x:c r="L151" s="85" t="n">
        <x:v>0</x:v>
      </x:c>
      <x:c r="M151" s="85" t="n">
        <x:v>0</x:v>
      </x:c>
      <x:c r="N151" s="85" t="n">
        <x:v>0</x:v>
      </x:c>
      <x:c r="O151" s="85" t="n">
        <x:v>0</x:v>
      </x:c>
      <x:c r="P151" s="85" t="n">
        <x:v>0</x:v>
      </x:c>
      <x:c r="Q151" s="85" t="n">
        <x:v>0</x:v>
      </x:c>
    </x:row>
    <x:row r="152" ht="22" customHeight="1">
      <x:c r="A152" s="85" t="n">
        <x:v>148</x:v>
      </x:c>
      <x:c r="B152" s="82" t="str">
        <x:v>Danny van Poppel</x:v>
      </x:c>
      <x:c r="C152" s="85" t="n">
        <x:v>0</x:v>
      </x:c>
      <x:c r="D152" s="85" t="n">
        <x:v>0</x:v>
      </x:c>
      <x:c r="E152" s="85" t="n">
        <x:v>0</x:v>
      </x:c>
      <x:c r="F152" s="85" t="n">
        <x:v>0</x:v>
      </x:c>
      <x:c r="G152" s="85" t="n">
        <x:v>0</x:v>
      </x:c>
      <x:c r="H152" s="85" t="n">
        <x:v>0</x:v>
      </x:c>
      <x:c r="I152" s="85" t="n">
        <x:v>0</x:v>
      </x:c>
      <x:c r="J152" s="85" t="n">
        <x:v>0</x:v>
      </x:c>
      <x:c r="K152" s="85" t="n">
        <x:v>0</x:v>
      </x:c>
      <x:c r="L152" s="85" t="n">
        <x:v>0</x:v>
      </x:c>
      <x:c r="M152" s="85" t="n">
        <x:v>0</x:v>
      </x:c>
      <x:c r="N152" s="85" t="n">
        <x:v>1</x:v>
      </x:c>
      <x:c r="O152" s="85" t="n">
        <x:v>0</x:v>
      </x:c>
      <x:c r="P152" s="85" t="n">
        <x:v>0</x:v>
      </x:c>
      <x:c r="Q152" s="85" t="n">
        <x:v>0</x:v>
      </x:c>
    </x:row>
    <x:row r="153" ht="22" customHeight="1">
      <x:c r="A153" s="85" t="n">
        <x:v>149</x:v>
      </x:c>
      <x:c r="B153" s="82" t="str">
        <x:v>Boy van Poppel</x:v>
      </x:c>
      <x:c r="C153" s="85" t="n">
        <x:v>0</x:v>
      </x:c>
      <x:c r="D153" s="85" t="n">
        <x:v>0</x:v>
      </x:c>
      <x:c r="E153" s="85" t="n">
        <x:v>0</x:v>
      </x:c>
      <x:c r="F153" s="85" t="n">
        <x:v>0</x:v>
      </x:c>
      <x:c r="G153" s="85" t="n">
        <x:v>0</x:v>
      </x:c>
      <x:c r="H153" s="85" t="n">
        <x:v>0</x:v>
      </x:c>
      <x:c r="I153" s="85" t="n">
        <x:v>0</x:v>
      </x:c>
      <x:c r="J153" s="85" t="n">
        <x:v>0</x:v>
      </x:c>
      <x:c r="K153" s="85" t="n">
        <x:v>0</x:v>
      </x:c>
      <x:c r="L153" s="85" t="n">
        <x:v>0</x:v>
      </x:c>
      <x:c r="M153" s="85" t="n">
        <x:v>0</x:v>
      </x:c>
      <x:c r="N153" s="85" t="n">
        <x:v>0</x:v>
      </x:c>
      <x:c r="O153" s="85" t="n">
        <x:v>0</x:v>
      </x:c>
      <x:c r="P153" s="85" t="n">
        <x:v>0</x:v>
      </x:c>
      <x:c r="Q153" s="85" t="n">
        <x:v>0</x:v>
      </x:c>
    </x:row>
    <x:row r="154" ht="22" customHeight="1">
      <x:c r="A154" s="85" t="n">
        <x:v>150</x:v>
      </x:c>
      <x:c r="B154" s="82" t="str">
        <x:v>Ramon Sinkeldam</x:v>
      </x:c>
      <x:c r="C154" s="85" t="n">
        <x:v>0</x:v>
      </x:c>
      <x:c r="D154" s="85" t="n">
        <x:v>0</x:v>
      </x:c>
      <x:c r="E154" s="85" t="n">
        <x:v>0</x:v>
      </x:c>
      <x:c r="F154" s="85" t="n">
        <x:v>0</x:v>
      </x:c>
      <x:c r="G154" s="85" t="n">
        <x:v>0</x:v>
      </x:c>
      <x:c r="H154" s="85" t="n">
        <x:v>0</x:v>
      </x:c>
      <x:c r="I154" s="85" t="n">
        <x:v>0</x:v>
      </x:c>
      <x:c r="J154" s="85" t="n">
        <x:v>0</x:v>
      </x:c>
      <x:c r="K154" s="85" t="n">
        <x:v>0</x:v>
      </x:c>
      <x:c r="L154" s="85" t="n">
        <x:v>0</x:v>
      </x:c>
      <x:c r="M154" s="85" t="n">
        <x:v>0</x:v>
      </x:c>
      <x:c r="N154" s="85" t="n">
        <x:v>0</x:v>
      </x:c>
      <x:c r="O154" s="85" t="n">
        <x:v>0</x:v>
      </x:c>
      <x:c r="P154" s="85" t="n">
        <x:v>0</x:v>
      </x:c>
      <x:c r="Q154" s="85" t="n">
        <x:v>0</x:v>
      </x:c>
    </x:row>
    <x:row r="155" ht="22" customHeight="1">
      <x:c r="A155" s="85" t="n">
        <x:v>151</x:v>
      </x:c>
      <x:c r="B155" s="82" t="str">
        <x:v>Roy Curvers</x:v>
      </x:c>
      <x:c r="C155" s="85" t="n">
        <x:v>0</x:v>
      </x:c>
      <x:c r="D155" s="85" t="n">
        <x:v>0</x:v>
      </x:c>
      <x:c r="E155" s="85" t="n">
        <x:v>0</x:v>
      </x:c>
      <x:c r="F155" s="85" t="n">
        <x:v>0</x:v>
      </x:c>
      <x:c r="G155" s="85" t="n">
        <x:v>0</x:v>
      </x:c>
      <x:c r="H155" s="85" t="n">
        <x:v>0</x:v>
      </x:c>
      <x:c r="I155" s="85" t="n">
        <x:v>0</x:v>
      </x:c>
      <x:c r="J155" s="85" t="n">
        <x:v>0</x:v>
      </x:c>
      <x:c r="K155" s="85" t="n">
        <x:v>0</x:v>
      </x:c>
      <x:c r="L155" s="85" t="n">
        <x:v>0</x:v>
      </x:c>
      <x:c r="M155" s="85" t="n">
        <x:v>0</x:v>
      </x:c>
      <x:c r="N155" s="85" t="n">
        <x:v>0</x:v>
      </x:c>
      <x:c r="O155" s="85" t="n">
        <x:v>0</x:v>
      </x:c>
      <x:c r="P155" s="85" t="n">
        <x:v>0</x:v>
      </x:c>
      <x:c r="Q155" s="85" t="n">
        <x:v>0</x:v>
      </x:c>
    </x:row>
    <x:row r="156" ht="22" customHeight="1">
      <x:c r="A156" s="85" t="n">
        <x:v>152</x:v>
      </x:c>
      <x:c r="B156" s="82" t="str">
        <x:v>Nikias Arndt</x:v>
      </x:c>
      <x:c r="C156" s="85" t="n">
        <x:v>0</x:v>
      </x:c>
      <x:c r="D156" s="85" t="n">
        <x:v>0</x:v>
      </x:c>
      <x:c r="E156" s="85" t="n">
        <x:v>0</x:v>
      </x:c>
      <x:c r="F156" s="85" t="n">
        <x:v>0</x:v>
      </x:c>
      <x:c r="G156" s="85" t="n">
        <x:v>0</x:v>
      </x:c>
      <x:c r="H156" s="85" t="n">
        <x:v>0</x:v>
      </x:c>
      <x:c r="I156" s="85" t="n">
        <x:v>1</x:v>
      </x:c>
      <x:c r="J156" s="85" t="n">
        <x:v>0</x:v>
      </x:c>
      <x:c r="K156" s="85" t="n">
        <x:v>0</x:v>
      </x:c>
      <x:c r="L156" s="85" t="n">
        <x:v>0</x:v>
      </x:c>
      <x:c r="M156" s="85" t="n">
        <x:v>0</x:v>
      </x:c>
      <x:c r="N156" s="85" t="n">
        <x:v>1</x:v>
      </x:c>
      <x:c r="O156" s="85" t="n">
        <x:v>0</x:v>
      </x:c>
      <x:c r="P156" s="85" t="n">
        <x:v>0</x:v>
      </x:c>
      <x:c r="Q156" s="85" t="n">
        <x:v>0</x:v>
      </x:c>
    </x:row>
    <x:row r="157" ht="22" customHeight="1">
      <x:c r="A157" s="85" t="n">
        <x:v>153</x:v>
      </x:c>
      <x:c r="B157" s="82" t="str">
        <x:v>Roger Kluge</x:v>
      </x:c>
      <x:c r="C157" s="85" t="n">
        <x:v>0</x:v>
      </x:c>
      <x:c r="D157" s="85" t="n">
        <x:v>0</x:v>
      </x:c>
      <x:c r="E157" s="85" t="n">
        <x:v>0</x:v>
      </x:c>
      <x:c r="F157" s="85" t="n">
        <x:v>0</x:v>
      </x:c>
      <x:c r="G157" s="85" t="n">
        <x:v>0</x:v>
      </x:c>
      <x:c r="H157" s="85" t="n">
        <x:v>0</x:v>
      </x:c>
      <x:c r="I157" s="85" t="n">
        <x:v>1</x:v>
      </x:c>
      <x:c r="J157" s="85" t="n">
        <x:v>0</x:v>
      </x:c>
      <x:c r="K157" s="85" t="n">
        <x:v>0</x:v>
      </x:c>
      <x:c r="L157" s="85" t="n">
        <x:v>0</x:v>
      </x:c>
      <x:c r="M157" s="85" t="n">
        <x:v>0</x:v>
      </x:c>
      <x:c r="N157" s="85" t="n">
        <x:v>0</x:v>
      </x:c>
      <x:c r="O157" s="85" t="n">
        <x:v>0</x:v>
      </x:c>
      <x:c r="P157" s="85" t="n">
        <x:v>0</x:v>
      </x:c>
      <x:c r="Q157" s="85" t="n">
        <x:v>0</x:v>
      </x:c>
    </x:row>
    <x:row r="158" ht="22" customHeight="1">
      <x:c r="A158" s="85" t="n">
        <x:v>154</x:v>
      </x:c>
      <x:c r="B158" s="82" t="str">
        <x:v>Jasper De Buyst</x:v>
      </x:c>
      <x:c r="C158" s="85" t="n">
        <x:v>0</x:v>
      </x:c>
      <x:c r="D158" s="85" t="n">
        <x:v>0</x:v>
      </x:c>
      <x:c r="E158" s="85" t="n">
        <x:v>0</x:v>
      </x:c>
      <x:c r="F158" s="85" t="n">
        <x:v>0</x:v>
      </x:c>
      <x:c r="G158" s="85" t="n">
        <x:v>0</x:v>
      </x:c>
      <x:c r="H158" s="85" t="n">
        <x:v>0</x:v>
      </x:c>
      <x:c r="I158" s="85" t="n">
        <x:v>0</x:v>
      </x:c>
      <x:c r="J158" s="85" t="n">
        <x:v>0</x:v>
      </x:c>
      <x:c r="K158" s="85" t="n">
        <x:v>0</x:v>
      </x:c>
      <x:c r="L158" s="85" t="n">
        <x:v>0</x:v>
      </x:c>
      <x:c r="M158" s="85" t="n">
        <x:v>0</x:v>
      </x:c>
      <x:c r="N158" s="85" t="n">
        <x:v>0</x:v>
      </x:c>
      <x:c r="O158" s="85" t="n">
        <x:v>0</x:v>
      </x:c>
      <x:c r="P158" s="85" t="n">
        <x:v>0</x:v>
      </x:c>
      <x:c r="Q158" s="85" t="n">
        <x:v>0</x:v>
      </x:c>
    </x:row>
    <x:row r="159" ht="22" customHeight="1">
      <x:c r="A159" s="85" t="n">
        <x:v>155</x:v>
      </x:c>
      <x:c r="B159" s="82" t="str">
        <x:v>Luka Mezgec</x:v>
      </x:c>
      <x:c r="C159" s="85" t="n">
        <x:v>0</x:v>
      </x:c>
      <x:c r="D159" s="85" t="n">
        <x:v>0</x:v>
      </x:c>
      <x:c r="E159" s="85" t="n">
        <x:v>0</x:v>
      </x:c>
      <x:c r="F159" s="85" t="n">
        <x:v>0</x:v>
      </x:c>
      <x:c r="G159" s="85" t="n">
        <x:v>0</x:v>
      </x:c>
      <x:c r="H159" s="85" t="n">
        <x:v>0</x:v>
      </x:c>
      <x:c r="I159" s="85" t="n">
        <x:v>1</x:v>
      </x:c>
      <x:c r="J159" s="85" t="n">
        <x:v>0</x:v>
      </x:c>
      <x:c r="K159" s="85" t="n">
        <x:v>0</x:v>
      </x:c>
      <x:c r="L159" s="85" t="n">
        <x:v>0</x:v>
      </x:c>
      <x:c r="M159" s="85" t="n">
        <x:v>0</x:v>
      </x:c>
      <x:c r="N159" s="85" t="n">
        <x:v>0</x:v>
      </x:c>
      <x:c r="O159" s="85" t="n">
        <x:v>0</x:v>
      </x:c>
      <x:c r="P159" s="85" t="n">
        <x:v>0</x:v>
      </x:c>
      <x:c r="Q159" s="85" t="n">
        <x:v>0</x:v>
      </x:c>
    </x:row>
    <x:row r="160" ht="22" customHeight="1">
      <x:c r="A160" s="85" t="n">
        <x:v>156</x:v>
      </x:c>
      <x:c r="B160" s="82" t="str">
        <x:v>Edward Theuns</x:v>
      </x:c>
      <x:c r="C160" s="85" t="n">
        <x:v>0</x:v>
      </x:c>
      <x:c r="D160" s="85" t="n">
        <x:v>0</x:v>
      </x:c>
      <x:c r="E160" s="85" t="n">
        <x:v>0</x:v>
      </x:c>
      <x:c r="F160" s="85" t="n">
        <x:v>0</x:v>
      </x:c>
      <x:c r="G160" s="85" t="n">
        <x:v>0</x:v>
      </x:c>
      <x:c r="H160" s="85" t="n">
        <x:v>0</x:v>
      </x:c>
      <x:c r="I160" s="85" t="n">
        <x:v>0</x:v>
      </x:c>
      <x:c r="J160" s="85" t="n">
        <x:v>0</x:v>
      </x:c>
      <x:c r="K160" s="85" t="n">
        <x:v>0</x:v>
      </x:c>
      <x:c r="L160" s="85" t="n">
        <x:v>0</x:v>
      </x:c>
      <x:c r="M160" s="85" t="n">
        <x:v>0</x:v>
      </x:c>
      <x:c r="N160" s="85" t="n">
        <x:v>0</x:v>
      </x:c>
      <x:c r="O160" s="85" t="n">
        <x:v>0</x:v>
      </x:c>
      <x:c r="P160" s="85" t="n">
        <x:v>0</x:v>
      </x:c>
      <x:c r="Q160" s="85" t="n">
        <x:v>0</x:v>
      </x:c>
    </x:row>
    <x:row r="161" ht="22" customHeight="1">
      <x:c r="A161" s="85" t="n">
        <x:v>157</x:v>
      </x:c>
      <x:c r="B161" s="82" t="str">
        <x:v>Bert Van Lerberghe</x:v>
      </x:c>
      <x:c r="C161" s="85" t="n">
        <x:v>0</x:v>
      </x:c>
      <x:c r="D161" s="85" t="n">
        <x:v>0</x:v>
      </x:c>
      <x:c r="E161" s="85" t="n">
        <x:v>0</x:v>
      </x:c>
      <x:c r="F161" s="85" t="n">
        <x:v>0</x:v>
      </x:c>
      <x:c r="G161" s="85" t="n">
        <x:v>0</x:v>
      </x:c>
      <x:c r="H161" s="85" t="n">
        <x:v>0</x:v>
      </x:c>
      <x:c r="I161" s="85" t="n">
        <x:v>0</x:v>
      </x:c>
      <x:c r="J161" s="85" t="n">
        <x:v>0</x:v>
      </x:c>
      <x:c r="K161" s="85" t="n">
        <x:v>0</x:v>
      </x:c>
      <x:c r="L161" s="85" t="n">
        <x:v>0</x:v>
      </x:c>
      <x:c r="M161" s="85" t="n">
        <x:v>0</x:v>
      </x:c>
      <x:c r="N161" s="85" t="n">
        <x:v>0</x:v>
      </x:c>
      <x:c r="O161" s="85" t="n">
        <x:v>0</x:v>
      </x:c>
      <x:c r="P161" s="85" t="n">
        <x:v>0</x:v>
      </x:c>
      <x:c r="Q161" s="85" t="n">
        <x:v>0</x:v>
      </x:c>
    </x:row>
    <x:row r="162" ht="22" customHeight="1">
      <x:c r="A162" s="85" t="n">
        <x:v>158</x:v>
      </x:c>
      <x:c r="B162" s="82" t="str">
        <x:v>Simone Consonni</x:v>
      </x:c>
      <x:c r="C162" s="85" t="n">
        <x:v>0</x:v>
      </x:c>
      <x:c r="D162" s="85" t="n">
        <x:v>0</x:v>
      </x:c>
      <x:c r="E162" s="85" t="n">
        <x:v>0</x:v>
      </x:c>
      <x:c r="F162" s="85" t="n">
        <x:v>0</x:v>
      </x:c>
      <x:c r="G162" s="85" t="n">
        <x:v>0</x:v>
      </x:c>
      <x:c r="H162" s="85" t="n">
        <x:v>0</x:v>
      </x:c>
      <x:c r="I162" s="85" t="n">
        <x:v>0</x:v>
      </x:c>
      <x:c r="J162" s="85" t="n">
        <x:v>0</x:v>
      </x:c>
      <x:c r="K162" s="85" t="n">
        <x:v>0</x:v>
      </x:c>
      <x:c r="L162" s="85" t="n">
        <x:v>0</x:v>
      </x:c>
      <x:c r="M162" s="85" t="n">
        <x:v>0</x:v>
      </x:c>
      <x:c r="N162" s="85" t="n">
        <x:v>0</x:v>
      </x:c>
      <x:c r="O162" s="85" t="n">
        <x:v>0</x:v>
      </x:c>
      <x:c r="P162" s="85" t="n">
        <x:v>0</x:v>
      </x:c>
      <x:c r="Q162" s="85" t="n">
        <x:v>0</x:v>
      </x:c>
    </x:row>
    <x:row r="163" ht="22" customHeight="1">
      <x:c r="A163" s="85" t="n">
        <x:v>159</x:v>
      </x:c>
      <x:c r="B163" s="82" t="str">
        <x:v>Davide Ballerini</x:v>
      </x:c>
      <x:c r="C163" s="85" t="n">
        <x:v>0</x:v>
      </x:c>
      <x:c r="D163" s="85" t="n">
        <x:v>0</x:v>
      </x:c>
      <x:c r="E163" s="85" t="n">
        <x:v>0</x:v>
      </x:c>
      <x:c r="F163" s="85" t="n">
        <x:v>0</x:v>
      </x:c>
      <x:c r="G163" s="85" t="n">
        <x:v>0</x:v>
      </x:c>
      <x:c r="H163" s="85" t="n">
        <x:v>0</x:v>
      </x:c>
      <x:c r="I163" s="85" t="n">
        <x:v>1</x:v>
      </x:c>
      <x:c r="J163" s="85" t="n">
        <x:v>0</x:v>
      </x:c>
      <x:c r="K163" s="85" t="n">
        <x:v>0</x:v>
      </x:c>
      <x:c r="L163" s="85" t="n">
        <x:v>0</x:v>
      </x:c>
      <x:c r="M163" s="85" t="n">
        <x:v>0</x:v>
      </x:c>
      <x:c r="N163" s="85" t="n">
        <x:v>0</x:v>
      </x:c>
      <x:c r="O163" s="85" t="n">
        <x:v>0</x:v>
      </x:c>
      <x:c r="P163" s="85" t="n">
        <x:v>0</x:v>
      </x:c>
      <x:c r="Q163" s="85" t="n">
        <x:v>0</x:v>
      </x:c>
    </x:row>
    <x:row r="164" ht="22" customHeight="1">
      <x:c r="A164" s="85" t="n">
        <x:v>160</x:v>
      </x:c>
      <x:c r="B164" s="82" t="str">
        <x:v>Jurgen Roelandts</x:v>
      </x:c>
      <x:c r="C164" s="85" t="n">
        <x:v>0</x:v>
      </x:c>
      <x:c r="D164" s="85" t="n">
        <x:v>0</x:v>
      </x:c>
      <x:c r="E164" s="85" t="n">
        <x:v>0</x:v>
      </x:c>
      <x:c r="F164" s="85" t="n">
        <x:v>0</x:v>
      </x:c>
      <x:c r="G164" s="85" t="n">
        <x:v>0</x:v>
      </x:c>
      <x:c r="H164" s="85" t="n">
        <x:v>0</x:v>
      </x:c>
      <x:c r="I164" s="85" t="n">
        <x:v>0</x:v>
      </x:c>
      <x:c r="J164" s="85" t="n">
        <x:v>0</x:v>
      </x:c>
      <x:c r="K164" s="85" t="n">
        <x:v>0</x:v>
      </x:c>
      <x:c r="L164" s="85" t="n">
        <x:v>0</x:v>
      </x:c>
      <x:c r="M164" s="85" t="n">
        <x:v>0</x:v>
      </x:c>
      <x:c r="N164" s="85" t="n">
        <x:v>0</x:v>
      </x:c>
      <x:c r="O164" s="85" t="n">
        <x:v>0</x:v>
      </x:c>
      <x:c r="P164" s="85" t="n">
        <x:v>0</x:v>
      </x:c>
      <x:c r="Q164" s="85" t="n">
        <x:v>0</x:v>
      </x:c>
    </x:row>
    <x:row r="165" ht="22" customHeight="1">
      <x:c r="A165" s="85" t="n">
        <x:v>161</x:v>
      </x:c>
      <x:c r="B165" s="82" t="str">
        <x:v>Gert Steegmans</x:v>
      </x:c>
      <x:c r="C165" s="85" t="n">
        <x:v>0</x:v>
      </x:c>
      <x:c r="D165" s="85" t="n">
        <x:v>2</x:v>
      </x:c>
      <x:c r="E165" s="85" t="n">
        <x:v>0</x:v>
      </x:c>
      <x:c r="F165" s="85" t="n">
        <x:v>0</x:v>
      </x:c>
      <x:c r="G165" s="85" t="n">
        <x:v>0</x:v>
      </x:c>
      <x:c r="H165" s="85" t="n">
        <x:v>0</x:v>
      </x:c>
      <x:c r="I165" s="85" t="n">
        <x:v>0</x:v>
      </x:c>
      <x:c r="J165" s="85" t="n">
        <x:v>0</x:v>
      </x:c>
      <x:c r="K165" s="85" t="n">
        <x:v>0</x:v>
      </x:c>
      <x:c r="L165" s="85" t="n">
        <x:v>0</x:v>
      </x:c>
      <x:c r="M165" s="85" t="n">
        <x:v>0</x:v>
      </x:c>
      <x:c r="N165" s="85" t="n">
        <x:v>0</x:v>
      </x:c>
      <x:c r="O165" s="85" t="n">
        <x:v>0</x:v>
      </x:c>
      <x:c r="P165" s="85" t="n">
        <x:v>0</x:v>
      </x:c>
      <x:c r="Q165" s="85" t="n">
        <x:v>0</x:v>
      </x:c>
    </x:row>
    <x:row r="166" ht="22" customHeight="1">
      <x:c r="A166" s="85" t="n">
        <x:v>162</x:v>
      </x:c>
      <x:c r="B166" s="82" t="str">
        <x:v>Matthew Goss</x:v>
      </x:c>
      <x:c r="C166" s="85" t="n">
        <x:v>0</x:v>
      </x:c>
      <x:c r="D166" s="85" t="n">
        <x:v>0</x:v>
      </x:c>
      <x:c r="E166" s="85" t="n">
        <x:v>0</x:v>
      </x:c>
      <x:c r="F166" s="85" t="n">
        <x:v>0</x:v>
      </x:c>
      <x:c r="G166" s="85" t="n">
        <x:v>0</x:v>
      </x:c>
      <x:c r="H166" s="85" t="n">
        <x:v>0</x:v>
      </x:c>
      <x:c r="I166" s="85" t="n">
        <x:v>2</x:v>
      </x:c>
      <x:c r="J166" s="85" t="n">
        <x:v>0</x:v>
      </x:c>
      <x:c r="K166" s="85" t="n">
        <x:v>0</x:v>
      </x:c>
      <x:c r="L166" s="85" t="n">
        <x:v>0</x:v>
      </x:c>
      <x:c r="M166" s="85" t="n">
        <x:v>0</x:v>
      </x:c>
      <x:c r="N166" s="85" t="n">
        <x:v>0</x:v>
      </x:c>
      <x:c r="O166" s="85" t="n">
        <x:v>0</x:v>
      </x:c>
      <x:c r="P166" s="85" t="n">
        <x:v>0</x:v>
      </x:c>
      <x:c r="Q166" s="85" t="n">
        <x:v>0</x:v>
      </x:c>
    </x:row>
    <x:row r="167" ht="22" customHeight="1">
      <x:c r="A167" s="85" t="n">
        <x:v>163</x:v>
      </x:c>
      <x:c r="B167" s="82" t="str">
        <x:v>Daniel Oss</x:v>
      </x:c>
      <x:c r="C167" s="85" t="n">
        <x:v>0</x:v>
      </x:c>
      <x:c r="D167" s="85" t="n">
        <x:v>0</x:v>
      </x:c>
      <x:c r="E167" s="85" t="n">
        <x:v>0</x:v>
      </x:c>
      <x:c r="F167" s="85" t="n">
        <x:v>0</x:v>
      </x:c>
      <x:c r="G167" s="85" t="n">
        <x:v>0</x:v>
      </x:c>
      <x:c r="H167" s="85" t="n">
        <x:v>0</x:v>
      </x:c>
      <x:c r="I167" s="85" t="n">
        <x:v>0</x:v>
      </x:c>
      <x:c r="J167" s="85" t="n">
        <x:v>0</x:v>
      </x:c>
      <x:c r="K167" s="85" t="n">
        <x:v>0</x:v>
      </x:c>
      <x:c r="L167" s="85" t="n">
        <x:v>0</x:v>
      </x:c>
      <x:c r="M167" s="85" t="n">
        <x:v>0</x:v>
      </x:c>
      <x:c r="N167" s="85" t="n">
        <x:v>0</x:v>
      </x:c>
      <x:c r="O167" s="85" t="n">
        <x:v>0</x:v>
      </x:c>
      <x:c r="P167" s="85" t="n">
        <x:v>0</x:v>
      </x:c>
      <x:c r="Q167" s="85" t="n">
        <x:v>0</x:v>
      </x:c>
    </x:row>
    <x:row r="168" ht="22" customHeight="1">
      <x:c r="A168" s="85" t="n">
        <x:v>164</x:v>
      </x:c>
      <x:c r="B168" s="82" t="str">
        <x:v>Heinrich Haussler</x:v>
      </x:c>
      <x:c r="C168" s="85" t="n">
        <x:v>0</x:v>
      </x:c>
      <x:c r="D168" s="85" t="n">
        <x:v>1</x:v>
      </x:c>
      <x:c r="E168" s="85" t="n">
        <x:v>0</x:v>
      </x:c>
      <x:c r="F168" s="85" t="n">
        <x:v>0</x:v>
      </x:c>
      <x:c r="G168" s="85" t="n">
        <x:v>0</x:v>
      </x:c>
      <x:c r="H168" s="85" t="n">
        <x:v>0</x:v>
      </x:c>
      <x:c r="I168" s="85" t="n">
        <x:v>0</x:v>
      </x:c>
      <x:c r="J168" s="85" t="n">
        <x:v>0</x:v>
      </x:c>
      <x:c r="K168" s="85" t="n">
        <x:v>0</x:v>
      </x:c>
      <x:c r="L168" s="85" t="n">
        <x:v>0</x:v>
      </x:c>
      <x:c r="M168" s="85" t="n">
        <x:v>0</x:v>
      </x:c>
      <x:c r="N168" s="85" t="n">
        <x:v>1</x:v>
      </x:c>
      <x:c r="O168" s="85" t="n">
        <x:v>0</x:v>
      </x:c>
      <x:c r="P168" s="85" t="n">
        <x:v>0</x:v>
      </x:c>
      <x:c r="Q168" s="85" t="n">
        <x:v>0</x:v>
      </x:c>
    </x:row>
    <x:row r="169" ht="22" customHeight="1">
      <x:c r="A169" s="85" t="n">
        <x:v>165</x:v>
      </x:c>
      <x:c r="B169" s="82" t="str">
        <x:v>Lars Boom</x:v>
      </x:c>
      <x:c r="C169" s="85" t="n">
        <x:v>0</x:v>
      </x:c>
      <x:c r="D169" s="85" t="n">
        <x:v>1</x:v>
      </x:c>
      <x:c r="E169" s="85" t="n">
        <x:v>0</x:v>
      </x:c>
      <x:c r="F169" s="85" t="n">
        <x:v>0</x:v>
      </x:c>
      <x:c r="G169" s="85" t="n">
        <x:v>0</x:v>
      </x:c>
      <x:c r="H169" s="85" t="n">
        <x:v>0</x:v>
      </x:c>
      <x:c r="I169" s="85" t="n">
        <x:v>0</x:v>
      </x:c>
      <x:c r="J169" s="85" t="n">
        <x:v>0</x:v>
      </x:c>
      <x:c r="K169" s="85" t="n">
        <x:v>0</x:v>
      </x:c>
      <x:c r="L169" s="85" t="n">
        <x:v>0</x:v>
      </x:c>
      <x:c r="M169" s="85" t="n">
        <x:v>0</x:v>
      </x:c>
      <x:c r="N169" s="85" t="n">
        <x:v>1</x:v>
      </x:c>
      <x:c r="O169" s="85" t="n">
        <x:v>0</x:v>
      </x:c>
      <x:c r="P169" s="85" t="n">
        <x:v>0</x:v>
      </x:c>
      <x:c r="Q169" s="85" t="n">
        <x:v>0</x:v>
      </x:c>
    </x:row>
    <x:row r="170" ht="22" customHeight="1">
      <x:c r="A170" s="85" t="n">
        <x:v>166</x:v>
      </x:c>
      <x:c r="B170" s="82" t="str">
        <x:v>Sep Vanmarcke</x:v>
      </x:c>
      <x:c r="C170" s="85" t="n">
        <x:v>0</x:v>
      </x:c>
      <x:c r="D170" s="85" t="n">
        <x:v>0</x:v>
      </x:c>
      <x:c r="E170" s="85" t="n">
        <x:v>0</x:v>
      </x:c>
      <x:c r="F170" s="85" t="n">
        <x:v>0</x:v>
      </x:c>
      <x:c r="G170" s="85" t="n">
        <x:v>0</x:v>
      </x:c>
      <x:c r="H170" s="85" t="n">
        <x:v>0</x:v>
      </x:c>
      <x:c r="I170" s="85" t="n">
        <x:v>0</x:v>
      </x:c>
      <x:c r="J170" s="85" t="n">
        <x:v>0</x:v>
      </x:c>
      <x:c r="K170" s="85" t="n">
        <x:v>0</x:v>
      </x:c>
      <x:c r="L170" s="85" t="n">
        <x:v>0</x:v>
      </x:c>
      <x:c r="M170" s="85" t="n">
        <x:v>0</x:v>
      </x:c>
      <x:c r="N170" s="85" t="n">
        <x:v>0</x:v>
      </x:c>
      <x:c r="O170" s="85" t="n">
        <x:v>0</x:v>
      </x:c>
      <x:c r="P170" s="85" t="n">
        <x:v>0</x:v>
      </x:c>
      <x:c r="Q170" s="85" t="n">
        <x:v>0</x:v>
      </x:c>
    </x:row>
    <x:row r="171" ht="22" customHeight="1">
      <x:c r="A171" s="85" t="n">
        <x:v>167</x:v>
      </x:c>
      <x:c r="B171" s="82" t="str">
        <x:v>Leif Hoste</x:v>
      </x:c>
      <x:c r="C171" s="85" t="n">
        <x:v>0</x:v>
      </x:c>
      <x:c r="D171" s="85" t="n">
        <x:v>0</x:v>
      </x:c>
      <x:c r="E171" s="85" t="n">
        <x:v>0</x:v>
      </x:c>
      <x:c r="F171" s="85" t="n">
        <x:v>0</x:v>
      </x:c>
      <x:c r="G171" s="85" t="n">
        <x:v>0</x:v>
      </x:c>
      <x:c r="H171" s="85" t="n">
        <x:v>0</x:v>
      </x:c>
      <x:c r="I171" s="85" t="n">
        <x:v>0</x:v>
      </x:c>
      <x:c r="J171" s="85" t="n">
        <x:v>0</x:v>
      </x:c>
      <x:c r="K171" s="85" t="n">
        <x:v>0</x:v>
      </x:c>
      <x:c r="L171" s="85" t="n">
        <x:v>0</x:v>
      </x:c>
      <x:c r="M171" s="85" t="n">
        <x:v>0</x:v>
      </x:c>
      <x:c r="N171" s="85" t="n">
        <x:v>0</x:v>
      </x:c>
      <x:c r="O171" s="85" t="n">
        <x:v>0</x:v>
      </x:c>
      <x:c r="P171" s="85" t="n">
        <x:v>0</x:v>
      </x:c>
      <x:c r="Q171" s="85" t="n">
        <x:v>0</x:v>
      </x:c>
    </x:row>
    <x:row r="172" ht="22" customHeight="1">
      <x:c r="A172" s="85" t="n">
        <x:v>168</x:v>
      </x:c>
      <x:c r="B172" s="82" t="str">
        <x:v>Stijn Vandenbergh</x:v>
      </x:c>
      <x:c r="C172" s="85" t="n">
        <x:v>0</x:v>
      </x:c>
      <x:c r="D172" s="85" t="n">
        <x:v>0</x:v>
      </x:c>
      <x:c r="E172" s="85" t="n">
        <x:v>0</x:v>
      </x:c>
      <x:c r="F172" s="85" t="n">
        <x:v>0</x:v>
      </x:c>
      <x:c r="G172" s="85" t="n">
        <x:v>0</x:v>
      </x:c>
      <x:c r="H172" s="85" t="n">
        <x:v>0</x:v>
      </x:c>
      <x:c r="I172" s="85" t="n">
        <x:v>0</x:v>
      </x:c>
      <x:c r="J172" s="85" t="n">
        <x:v>0</x:v>
      </x:c>
      <x:c r="K172" s="85" t="n">
        <x:v>0</x:v>
      </x:c>
      <x:c r="L172" s="85" t="n">
        <x:v>0</x:v>
      </x:c>
      <x:c r="M172" s="85" t="n">
        <x:v>0</x:v>
      </x:c>
      <x:c r="N172" s="85" t="n">
        <x:v>0</x:v>
      </x:c>
      <x:c r="O172" s="85" t="n">
        <x:v>0</x:v>
      </x:c>
      <x:c r="P172" s="85" t="n">
        <x:v>0</x:v>
      </x:c>
      <x:c r="Q172" s="85" t="n">
        <x:v>0</x:v>
      </x:c>
    </x:row>
    <x:row r="173" ht="22" customHeight="1">
      <x:c r="A173" s="85" t="n">
        <x:v>169</x:v>
      </x:c>
      <x:c r="B173" s="82" t="str">
        <x:v>Maarten Wynants</x:v>
      </x:c>
      <x:c r="C173" s="85" t="n">
        <x:v>0</x:v>
      </x:c>
      <x:c r="D173" s="85" t="n">
        <x:v>0</x:v>
      </x:c>
      <x:c r="E173" s="85" t="n">
        <x:v>0</x:v>
      </x:c>
      <x:c r="F173" s="85" t="n">
        <x:v>0</x:v>
      </x:c>
      <x:c r="G173" s="85" t="n">
        <x:v>0</x:v>
      </x:c>
      <x:c r="H173" s="85" t="n">
        <x:v>0</x:v>
      </x:c>
      <x:c r="I173" s="85" t="n">
        <x:v>0</x:v>
      </x:c>
      <x:c r="J173" s="85" t="n">
        <x:v>0</x:v>
      </x:c>
      <x:c r="K173" s="85" t="n">
        <x:v>0</x:v>
      </x:c>
      <x:c r="L173" s="85" t="n">
        <x:v>0</x:v>
      </x:c>
      <x:c r="M173" s="85" t="n">
        <x:v>0</x:v>
      </x:c>
      <x:c r="N173" s="85" t="n">
        <x:v>0</x:v>
      </x:c>
      <x:c r="O173" s="85" t="n">
        <x:v>0</x:v>
      </x:c>
      <x:c r="P173" s="85" t="n">
        <x:v>0</x:v>
      </x:c>
      <x:c r="Q173" s="85" t="n">
        <x:v>0</x:v>
      </x:c>
    </x:row>
    <x:row r="174" ht="22" customHeight="1">
      <x:c r="A174" s="85" t="n">
        <x:v>170</x:v>
      </x:c>
      <x:c r="B174" s="82" t="str">
        <x:v>Sebastian Langeveld</x:v>
      </x:c>
      <x:c r="C174" s="85" t="n">
        <x:v>0</x:v>
      </x:c>
      <x:c r="D174" s="85" t="n">
        <x:v>0</x:v>
      </x:c>
      <x:c r="E174" s="85" t="n">
        <x:v>0</x:v>
      </x:c>
      <x:c r="F174" s="85" t="n">
        <x:v>0</x:v>
      </x:c>
      <x:c r="G174" s="85" t="n">
        <x:v>0</x:v>
      </x:c>
      <x:c r="H174" s="85" t="n">
        <x:v>0</x:v>
      </x:c>
      <x:c r="I174" s="85" t="n">
        <x:v>0</x:v>
      </x:c>
      <x:c r="J174" s="85" t="n">
        <x:v>0</x:v>
      </x:c>
      <x:c r="K174" s="85" t="n">
        <x:v>0</x:v>
      </x:c>
      <x:c r="L174" s="85" t="n">
        <x:v>0</x:v>
      </x:c>
      <x:c r="M174" s="85" t="n">
        <x:v>0</x:v>
      </x:c>
      <x:c r="N174" s="85" t="n">
        <x:v>0</x:v>
      </x:c>
      <x:c r="O174" s="85" t="n">
        <x:v>0</x:v>
      </x:c>
      <x:c r="P174" s="85" t="n">
        <x:v>0</x:v>
      </x:c>
      <x:c r="Q174" s="85" t="n">
        <x:v>0</x:v>
      </x:c>
    </x:row>
    <x:row r="175" ht="22" customHeight="1">
      <x:c r="A175" s="85" t="n">
        <x:v>171</x:v>
      </x:c>
      <x:c r="B175" s="82" t="str">
        <x:v>Marco Haller</x:v>
      </x:c>
      <x:c r="C175" s="85" t="n">
        <x:v>0</x:v>
      </x:c>
      <x:c r="D175" s="85" t="n">
        <x:v>0</x:v>
      </x:c>
      <x:c r="E175" s="85" t="n">
        <x:v>0</x:v>
      </x:c>
      <x:c r="F175" s="85" t="n">
        <x:v>0</x:v>
      </x:c>
      <x:c r="G175" s="85" t="n">
        <x:v>0</x:v>
      </x:c>
      <x:c r="H175" s="85" t="n">
        <x:v>0</x:v>
      </x:c>
      <x:c r="I175" s="85" t="n">
        <x:v>0</x:v>
      </x:c>
      <x:c r="J175" s="85" t="n">
        <x:v>0</x:v>
      </x:c>
      <x:c r="K175" s="85" t="n">
        <x:v>0</x:v>
      </x:c>
      <x:c r="L175" s="85" t="n">
        <x:v>0</x:v>
      </x:c>
      <x:c r="M175" s="85" t="n">
        <x:v>0</x:v>
      </x:c>
      <x:c r="N175" s="85" t="n">
        <x:v>0</x:v>
      </x:c>
      <x:c r="O175" s="85" t="n">
        <x:v>0</x:v>
      </x:c>
      <x:c r="P175" s="85" t="n">
        <x:v>0</x:v>
      </x:c>
      <x:c r="Q175" s="85" t="n">
        <x:v>0</x:v>
      </x:c>
    </x:row>
    <x:row r="176" ht="22" customHeight="1">
      <x:c r="A176" s="85" t="n">
        <x:v>172</x:v>
      </x:c>
      <x:c r="B176" s="82" t="str">
        <x:v>Taco van der Hoorn</x:v>
      </x:c>
      <x:c r="C176" s="85" t="n">
        <x:v>0</x:v>
      </x:c>
      <x:c r="D176" s="85" t="n">
        <x:v>0</x:v>
      </x:c>
      <x:c r="E176" s="85" t="n">
        <x:v>0</x:v>
      </x:c>
      <x:c r="F176" s="85" t="n">
        <x:v>0</x:v>
      </x:c>
      <x:c r="G176" s="85" t="n">
        <x:v>0</x:v>
      </x:c>
      <x:c r="H176" s="85" t="n">
        <x:v>0</x:v>
      </x:c>
      <x:c r="I176" s="85" t="n">
        <x:v>1</x:v>
      </x:c>
      <x:c r="J176" s="85" t="n">
        <x:v>0</x:v>
      </x:c>
      <x:c r="K176" s="85" t="n">
        <x:v>0</x:v>
      </x:c>
      <x:c r="L176" s="85" t="n">
        <x:v>0</x:v>
      </x:c>
      <x:c r="M176" s="85" t="n">
        <x:v>0</x:v>
      </x:c>
      <x:c r="N176" s="85" t="n">
        <x:v>0</x:v>
      </x:c>
      <x:c r="O176" s="85" t="n">
        <x:v>0</x:v>
      </x:c>
      <x:c r="P176" s="85" t="n">
        <x:v>0</x:v>
      </x:c>
      <x:c r="Q176" s="85" t="n">
        <x:v>0</x:v>
      </x:c>
    </x:row>
    <x:row r="177" ht="22" customHeight="1">
      <x:c r="A177" s="85" t="n">
        <x:v>173</x:v>
      </x:c>
      <x:c r="B177" s="82" t="str">
        <x:v>Amund Grondahl Jansen</x:v>
      </x:c>
      <x:c r="C177" s="85" t="n">
        <x:v>0</x:v>
      </x:c>
      <x:c r="D177" s="85" t="n">
        <x:v>0</x:v>
      </x:c>
      <x:c r="E177" s="85" t="n">
        <x:v>0</x:v>
      </x:c>
      <x:c r="F177" s="85" t="n">
        <x:v>0</x:v>
      </x:c>
      <x:c r="G177" s="85" t="n">
        <x:v>0</x:v>
      </x:c>
      <x:c r="H177" s="85" t="n">
        <x:v>0</x:v>
      </x:c>
      <x:c r="I177" s="85" t="n">
        <x:v>0</x:v>
      </x:c>
      <x:c r="J177" s="85" t="n">
        <x:v>0</x:v>
      </x:c>
      <x:c r="K177" s="85" t="n">
        <x:v>0</x:v>
      </x:c>
      <x:c r="L177" s="85" t="n">
        <x:v>0</x:v>
      </x:c>
      <x:c r="M177" s="85" t="n">
        <x:v>0</x:v>
      </x:c>
      <x:c r="N177" s="85" t="n">
        <x:v>0</x:v>
      </x:c>
      <x:c r="O177" s="85" t="n">
        <x:v>0</x:v>
      </x:c>
      <x:c r="P177" s="85" t="n">
        <x:v>0</x:v>
      </x:c>
      <x:c r="Q177" s="85" t="n">
        <x:v>0</x:v>
      </x:c>
    </x:row>
    <x:row r="178" ht="22" customHeight="1">
      <x:c r="A178" s="85" t="n">
        <x:v>174</x:v>
      </x:c>
      <x:c r="B178" s="82" t="str">
        <x:v>Aime De Gendt</x:v>
      </x:c>
      <x:c r="C178" s="85" t="n">
        <x:v>0</x:v>
      </x:c>
      <x:c r="D178" s="85" t="n">
        <x:v>0</x:v>
      </x:c>
      <x:c r="E178" s="85" t="n">
        <x:v>0</x:v>
      </x:c>
      <x:c r="F178" s="85" t="n">
        <x:v>0</x:v>
      </x:c>
      <x:c r="G178" s="85" t="n">
        <x:v>0</x:v>
      </x:c>
      <x:c r="H178" s="85" t="n">
        <x:v>0</x:v>
      </x:c>
      <x:c r="I178" s="85" t="n">
        <x:v>0</x:v>
      </x:c>
      <x:c r="J178" s="85" t="n">
        <x:v>0</x:v>
      </x:c>
      <x:c r="K178" s="85" t="n">
        <x:v>0</x:v>
      </x:c>
      <x:c r="L178" s="85" t="n">
        <x:v>0</x:v>
      </x:c>
      <x:c r="M178" s="85" t="n">
        <x:v>0</x:v>
      </x:c>
      <x:c r="N178" s="85" t="n">
        <x:v>0</x:v>
      </x:c>
      <x:c r="O178" s="85" t="n">
        <x:v>0</x:v>
      </x:c>
      <x:c r="P178" s="85" t="n">
        <x:v>0</x:v>
      </x:c>
      <x:c r="Q178" s="85" t="n">
        <x:v>0</x:v>
      </x:c>
    </x:row>
    <x:row r="179" ht="22" customHeight="1">
      <x:c r="A179" s="85" t="n">
        <x:v>175</x:v>
      </x:c>
      <x:c r="B179" s="82" t="str">
        <x:v>Florian Vermeersch</x:v>
      </x:c>
      <x:c r="C179" s="85" t="n">
        <x:v>0</x:v>
      </x:c>
      <x:c r="D179" s="85" t="n">
        <x:v>0</x:v>
      </x:c>
      <x:c r="E179" s="85" t="n">
        <x:v>0</x:v>
      </x:c>
      <x:c r="F179" s="85" t="n">
        <x:v>0</x:v>
      </x:c>
      <x:c r="G179" s="85" t="n">
        <x:v>0</x:v>
      </x:c>
      <x:c r="H179" s="85" t="n">
        <x:v>0</x:v>
      </x:c>
      <x:c r="I179" s="85" t="n">
        <x:v>0</x:v>
      </x:c>
      <x:c r="J179" s="85" t="n">
        <x:v>0</x:v>
      </x:c>
      <x:c r="K179" s="85" t="n">
        <x:v>0</x:v>
      </x:c>
      <x:c r="L179" s="85" t="n">
        <x:v>0</x:v>
      </x:c>
      <x:c r="M179" s="85" t="n">
        <x:v>0</x:v>
      </x:c>
      <x:c r="N179" s="85" t="n">
        <x:v>0</x:v>
      </x:c>
      <x:c r="O179" s="85" t="n">
        <x:v>0</x:v>
      </x:c>
      <x:c r="P179" s="85" t="n">
        <x:v>0</x:v>
      </x:c>
      <x:c r="Q179" s="85" t="n">
        <x:v>0</x:v>
      </x:c>
    </x:row>
    <x:row r="180" ht="22" customHeight="1">
      <x:c r="A180" s="85" t="n">
        <x:v>176</x:v>
      </x:c>
      <x:c r="B180" s="82" t="str">
        <x:v>Frederik Frison</x:v>
      </x:c>
      <x:c r="C180" s="85" t="n">
        <x:v>0</x:v>
      </x:c>
      <x:c r="D180" s="85" t="n">
        <x:v>0</x:v>
      </x:c>
      <x:c r="E180" s="85" t="n">
        <x:v>0</x:v>
      </x:c>
      <x:c r="F180" s="85" t="n">
        <x:v>0</x:v>
      </x:c>
      <x:c r="G180" s="85" t="n">
        <x:v>0</x:v>
      </x:c>
      <x:c r="H180" s="85" t="n">
        <x:v>0</x:v>
      </x:c>
      <x:c r="I180" s="85" t="n">
        <x:v>0</x:v>
      </x:c>
      <x:c r="J180" s="85" t="n">
        <x:v>0</x:v>
      </x:c>
      <x:c r="K180" s="85" t="n">
        <x:v>0</x:v>
      </x:c>
      <x:c r="L180" s="85" t="n">
        <x:v>0</x:v>
      </x:c>
      <x:c r="M180" s="85" t="n">
        <x:v>0</x:v>
      </x:c>
      <x:c r="N180" s="85" t="n">
        <x:v>0</x:v>
      </x:c>
      <x:c r="O180" s="85" t="n">
        <x:v>0</x:v>
      </x:c>
      <x:c r="P180" s="85" t="n">
        <x:v>0</x:v>
      </x:c>
      <x:c r="Q180" s="85" t="n">
        <x:v>0</x:v>
      </x:c>
    </x:row>
    <x:row r="181" ht="22" customHeight="1">
      <x:c r="A181" s="85" t="n">
        <x:v>177</x:v>
      </x:c>
      <x:c r="B181" s="82" t="str">
        <x:v>Jens Keukeleire</x:v>
      </x:c>
      <x:c r="C181" s="85" t="n">
        <x:v>0</x:v>
      </x:c>
      <x:c r="D181" s="85" t="n">
        <x:v>0</x:v>
      </x:c>
      <x:c r="E181" s="85" t="n">
        <x:v>0</x:v>
      </x:c>
      <x:c r="F181" s="85" t="n">
        <x:v>0</x:v>
      </x:c>
      <x:c r="G181" s="85" t="n">
        <x:v>0</x:v>
      </x:c>
      <x:c r="H181" s="85" t="n">
        <x:v>0</x:v>
      </x:c>
      <x:c r="I181" s="85" t="n">
        <x:v>0</x:v>
      </x:c>
      <x:c r="J181" s="85" t="n">
        <x:v>0</x:v>
      </x:c>
      <x:c r="K181" s="85" t="n">
        <x:v>0</x:v>
      </x:c>
      <x:c r="L181" s="85" t="n">
        <x:v>0</x:v>
      </x:c>
      <x:c r="M181" s="85" t="n">
        <x:v>0</x:v>
      </x:c>
      <x:c r="N181" s="85" t="n">
        <x:v>1</x:v>
      </x:c>
      <x:c r="O181" s="85" t="n">
        <x:v>0</x:v>
      </x:c>
      <x:c r="P181" s="85" t="n">
        <x:v>0</x:v>
      </x:c>
      <x:c r="Q181" s="85" t="n">
        <x:v>0</x:v>
      </x:c>
    </x:row>
    <x:row r="182" ht="22" customHeight="1">
      <x:c r="A182" s="85" t="n">
        <x:v>178</x:v>
      </x:c>
      <x:c r="B182" s="82" t="str">
        <x:v>Zdenek Stybar</x:v>
      </x:c>
      <x:c r="C182" s="85" t="n">
        <x:v>0</x:v>
      </x:c>
      <x:c r="D182" s="85" t="n">
        <x:v>1</x:v>
      </x:c>
      <x:c r="E182" s="85" t="n">
        <x:v>0</x:v>
      </x:c>
      <x:c r="F182" s="85" t="n">
        <x:v>0</x:v>
      </x:c>
      <x:c r="G182" s="85" t="n">
        <x:v>0</x:v>
      </x:c>
      <x:c r="H182" s="85" t="n">
        <x:v>0</x:v>
      </x:c>
      <x:c r="I182" s="85" t="n">
        <x:v>0</x:v>
      </x:c>
      <x:c r="J182" s="85" t="n">
        <x:v>0</x:v>
      </x:c>
      <x:c r="K182" s="85" t="n">
        <x:v>0</x:v>
      </x:c>
      <x:c r="L182" s="85" t="n">
        <x:v>0</x:v>
      </x:c>
      <x:c r="M182" s="85" t="n">
        <x:v>0</x:v>
      </x:c>
      <x:c r="N182" s="85" t="n">
        <x:v>1</x:v>
      </x:c>
      <x:c r="O182" s="85" t="n">
        <x:v>0</x:v>
      </x:c>
      <x:c r="P182" s="85" t="n">
        <x:v>0</x:v>
      </x:c>
      <x:c r="Q182" s="85" t="n">
        <x:v>0</x:v>
      </x:c>
    </x:row>
    <x:row r="183" ht="22" customHeight="1">
      <x:c r="A183" s="85" t="n">
        <x:v>179</x:v>
      </x:c>
      <x:c r="B183" s="82" t="str">
        <x:v>Greg Van Avermaet</x:v>
      </x:c>
      <x:c r="C183" s="85" t="n">
        <x:v>0</x:v>
      </x:c>
      <x:c r="D183" s="85" t="n">
        <x:v>2</x:v>
      </x:c>
      <x:c r="E183" s="85" t="n">
        <x:v>0</x:v>
      </x:c>
      <x:c r="F183" s="85" t="n">
        <x:v>0</x:v>
      </x:c>
      <x:c r="G183" s="85" t="n">
        <x:v>0</x:v>
      </x:c>
      <x:c r="H183" s="85" t="n">
        <x:v>0</x:v>
      </x:c>
      <x:c r="I183" s="85" t="n">
        <x:v>0</x:v>
      </x:c>
      <x:c r="J183" s="85" t="n">
        <x:v>0</x:v>
      </x:c>
      <x:c r="K183" s="85" t="n">
        <x:v>0</x:v>
      </x:c>
      <x:c r="L183" s="85" t="n">
        <x:v>0</x:v>
      </x:c>
      <x:c r="M183" s="85" t="n">
        <x:v>0</x:v>
      </x:c>
      <x:c r="N183" s="85" t="n">
        <x:v>1</x:v>
      </x:c>
      <x:c r="O183" s="85" t="n">
        <x:v>1</x:v>
      </x:c>
      <x:c r="P183" s="85" t="n">
        <x:v>0</x:v>
      </x:c>
      <x:c r="Q183" s="85" t="n">
        <x:v>0</x:v>
      </x:c>
    </x:row>
    <x:row r="184" ht="22" customHeight="1">
      <x:c r="A184" s="85" t="n">
        <x:v>180</x:v>
      </x:c>
      <x:c r="B184" s="82" t="str">
        <x:v>Wout van Aert</x:v>
      </x:c>
      <x:c r="C184" s="85" t="n">
        <x:v>0</x:v>
      </x:c>
      <x:c r="D184" s="85" t="n">
        <x:v>10</x:v>
      </x:c>
      <x:c r="E184" s="85" t="n">
        <x:v>1</x:v>
      </x:c>
      <x:c r="F184" s="85" t="n">
        <x:v>0</x:v>
      </x:c>
      <x:c r="G184" s="85" t="n">
        <x:v>0</x:v>
      </x:c>
      <x:c r="H184" s="85" t="n">
        <x:v>0</x:v>
      </x:c>
      <x:c r="I184" s="85" t="n">
        <x:v>1</x:v>
      </x:c>
      <x:c r="J184" s="85" t="n">
        <x:v>0</x:v>
      </x:c>
      <x:c r="K184" s="85" t="n">
        <x:v>0</x:v>
      </x:c>
      <x:c r="L184" s="85" t="n">
        <x:v>0</x:v>
      </x:c>
      <x:c r="M184" s="85" t="n">
        <x:v>0</x:v>
      </x:c>
      <x:c r="N184" s="85" t="n">
        <x:v>3</x:v>
      </x:c>
      <x:c r="O184" s="85" t="n">
        <x:v>0</x:v>
      </x:c>
      <x:c r="P184" s="85" t="n">
        <x:v>0</x:v>
      </x:c>
      <x:c r="Q184" s="85" t="n">
        <x:v>0</x:v>
      </x:c>
    </x:row>
    <x:row r="185" ht="22" customHeight="1">
      <x:c r="A185" s="85" t="n">
        <x:v>181</x:v>
      </x:c>
      <x:c r="B185" s="82" t="str">
        <x:v>Bob Jungels</x:v>
      </x:c>
      <x:c r="C185" s="85" t="n">
        <x:v>0</x:v>
      </x:c>
      <x:c r="D185" s="85" t="n">
        <x:v>1</x:v>
      </x:c>
      <x:c r="E185" s="85" t="n">
        <x:v>0</x:v>
      </x:c>
      <x:c r="F185" s="85" t="n">
        <x:v>0</x:v>
      </x:c>
      <x:c r="G185" s="85" t="n">
        <x:v>0</x:v>
      </x:c>
      <x:c r="H185" s="85" t="n">
        <x:v>0</x:v>
      </x:c>
      <x:c r="I185" s="85" t="n">
        <x:v>1</x:v>
      </x:c>
      <x:c r="J185" s="85" t="n">
        <x:v>0</x:v>
      </x:c>
      <x:c r="K185" s="85" t="n">
        <x:v>0</x:v>
      </x:c>
      <x:c r="L185" s="85" t="n">
        <x:v>2</x:v>
      </x:c>
      <x:c r="M185" s="85" t="n">
        <x:v>0</x:v>
      </x:c>
      <x:c r="N185" s="85" t="n">
        <x:v>0</x:v>
      </x:c>
      <x:c r="O185" s="85" t="n">
        <x:v>0</x:v>
      </x:c>
      <x:c r="P185" s="85" t="n">
        <x:v>0</x:v>
      </x:c>
      <x:c r="Q185" s="85" t="n">
        <x:v>0</x:v>
      </x:c>
    </x:row>
    <x:row r="186" ht="22" customHeight="1">
      <x:c r="A186" s="85" t="n">
        <x:v>182</x:v>
      </x:c>
      <x:c r="B186" s="82" t="str">
        <x:v>Michael Matthews</x:v>
      </x:c>
      <x:c r="C186" s="85" t="n">
        <x:v>0</x:v>
      </x:c>
      <x:c r="D186" s="85" t="n">
        <x:v>4</x:v>
      </x:c>
      <x:c r="E186" s="85" t="n">
        <x:v>1</x:v>
      </x:c>
      <x:c r="F186" s="85" t="n">
        <x:v>0</x:v>
      </x:c>
      <x:c r="G186" s="85" t="n">
        <x:v>0</x:v>
      </x:c>
      <x:c r="H186" s="85" t="n">
        <x:v>0</x:v>
      </x:c>
      <x:c r="I186" s="85" t="n">
        <x:v>3</x:v>
      </x:c>
      <x:c r="J186" s="85" t="n">
        <x:v>0</x:v>
      </x:c>
      <x:c r="K186" s="85" t="n">
        <x:v>0</x:v>
      </x:c>
      <x:c r="L186" s="85" t="n">
        <x:v>0</x:v>
      </x:c>
      <x:c r="M186" s="85" t="n">
        <x:v>0</x:v>
      </x:c>
      <x:c r="N186" s="85" t="n">
        <x:v>3</x:v>
      </x:c>
      <x:c r="O186" s="85" t="n">
        <x:v>0</x:v>
      </x:c>
      <x:c r="P186" s="85" t="n">
        <x:v>0</x:v>
      </x:c>
      <x:c r="Q186" s="85" t="n">
        <x:v>0</x:v>
      </x:c>
    </x:row>
    <x:row r="187" ht="22" customHeight="1">
      <x:c r="A187" s="85" t="n">
        <x:v>183</x:v>
      </x:c>
      <x:c r="B187" s="82" t="str">
        <x:v>Arnaud De Lie</x:v>
      </x:c>
      <x:c r="C187" s="85" t="n">
        <x:v>0</x:v>
      </x:c>
      <x:c r="D187" s="85" t="n">
        <x:v>0</x:v>
      </x:c>
      <x:c r="E187" s="85" t="n">
        <x:v>0</x:v>
      </x:c>
      <x:c r="F187" s="85" t="n">
        <x:v>0</x:v>
      </x:c>
      <x:c r="G187" s="85" t="n">
        <x:v>0</x:v>
      </x:c>
      <x:c r="H187" s="85" t="n">
        <x:v>0</x:v>
      </x:c>
      <x:c r="I187" s="85" t="n">
        <x:v>0</x:v>
      </x:c>
      <x:c r="J187" s="85" t="n">
        <x:v>0</x:v>
      </x:c>
      <x:c r="K187" s="85" t="n">
        <x:v>0</x:v>
      </x:c>
      <x:c r="L187" s="85" t="n">
        <x:v>0</x:v>
      </x:c>
      <x:c r="M187" s="85" t="n">
        <x:v>0</x:v>
      </x:c>
      <x:c r="N187" s="85" t="n">
        <x:v>0</x:v>
      </x:c>
      <x:c r="O187" s="85" t="n">
        <x:v>0</x:v>
      </x:c>
      <x:c r="P187" s="85" t="n">
        <x:v>0</x:v>
      </x:c>
      <x:c r="Q187" s="85" t="n">
        <x:v>0</x:v>
      </x:c>
    </x:row>
    <x:row r="188" ht="22" customHeight="1">
      <x:c r="A188" s="85" t="n">
        <x:v>184</x:v>
      </x:c>
      <x:c r="B188" s="82" t="str">
        <x:v>Jonathan Castroviejo</x:v>
      </x:c>
      <x:c r="C188" s="85" t="n">
        <x:v>0</x:v>
      </x:c>
      <x:c r="D188" s="85" t="n">
        <x:v>0</x:v>
      </x:c>
      <x:c r="E188" s="85" t="n">
        <x:v>0</x:v>
      </x:c>
      <x:c r="F188" s="85" t="n">
        <x:v>0</x:v>
      </x:c>
      <x:c r="G188" s="85" t="n">
        <x:v>0</x:v>
      </x:c>
      <x:c r="H188" s="85" t="n">
        <x:v>0</x:v>
      </x:c>
      <x:c r="I188" s="85" t="n">
        <x:v>0</x:v>
      </x:c>
      <x:c r="J188" s="85" t="n">
        <x:v>0</x:v>
      </x:c>
      <x:c r="K188" s="85" t="n">
        <x:v>0</x:v>
      </x:c>
      <x:c r="L188" s="85" t="n">
        <x:v>0</x:v>
      </x:c>
      <x:c r="M188" s="85" t="n">
        <x:v>0</x:v>
      </x:c>
      <x:c r="N188" s="85" t="n">
        <x:v>0</x:v>
      </x:c>
      <x:c r="O188" s="85" t="n">
        <x:v>0</x:v>
      </x:c>
      <x:c r="P188" s="85" t="n">
        <x:v>0</x:v>
      </x:c>
      <x:c r="Q188" s="85" t="n">
        <x:v>0</x:v>
      </x:c>
    </x:row>
    <x:row r="189" ht="22" customHeight="1">
      <x:c r="A189" s="85" t="n">
        <x:v>185</x:v>
      </x:c>
      <x:c r="B189" s="82" t="str">
        <x:v>Vasil Kiryienka</x:v>
      </x:c>
      <x:c r="C189" s="85" t="n">
        <x:v>0</x:v>
      </x:c>
      <x:c r="D189" s="85" t="n">
        <x:v>0</x:v>
      </x:c>
      <x:c r="E189" s="85" t="n">
        <x:v>0</x:v>
      </x:c>
      <x:c r="F189" s="85" t="n">
        <x:v>0</x:v>
      </x:c>
      <x:c r="G189" s="85" t="n">
        <x:v>0</x:v>
      </x:c>
      <x:c r="H189" s="85" t="n">
        <x:v>0</x:v>
      </x:c>
      <x:c r="I189" s="85" t="n">
        <x:v>3</x:v>
      </x:c>
      <x:c r="J189" s="85" t="n">
        <x:v>0</x:v>
      </x:c>
      <x:c r="K189" s="85" t="n">
        <x:v>0</x:v>
      </x:c>
      <x:c r="L189" s="85" t="n">
        <x:v>0</x:v>
      </x:c>
      <x:c r="M189" s="85" t="n">
        <x:v>0</x:v>
      </x:c>
      <x:c r="N189" s="85" t="n">
        <x:v>1</x:v>
      </x:c>
      <x:c r="O189" s="85" t="n">
        <x:v>0</x:v>
      </x:c>
      <x:c r="P189" s="85" t="n">
        <x:v>0</x:v>
      </x:c>
      <x:c r="Q189" s="85" t="n">
        <x:v>0</x:v>
      </x:c>
    </x:row>
    <x:row r="190" ht="22" customHeight="1">
      <x:c r="A190" s="85" t="n">
        <x:v>186</x:v>
      </x:c>
      <x:c r="B190" s="82" t="str">
        <x:v>Nelson Oliveira</x:v>
      </x:c>
      <x:c r="C190" s="85" t="n">
        <x:v>0</x:v>
      </x:c>
      <x:c r="D190" s="85" t="n">
        <x:v>0</x:v>
      </x:c>
      <x:c r="E190" s="85" t="n">
        <x:v>0</x:v>
      </x:c>
      <x:c r="F190" s="85" t="n">
        <x:v>0</x:v>
      </x:c>
      <x:c r="G190" s="85" t="n">
        <x:v>0</x:v>
      </x:c>
      <x:c r="H190" s="85" t="n">
        <x:v>0</x:v>
      </x:c>
      <x:c r="I190" s="85" t="n">
        <x:v>0</x:v>
      </x:c>
      <x:c r="J190" s="85" t="n">
        <x:v>0</x:v>
      </x:c>
      <x:c r="K190" s="85" t="n">
        <x:v>0</x:v>
      </x:c>
      <x:c r="L190" s="85" t="n">
        <x:v>0</x:v>
      </x:c>
      <x:c r="M190" s="85" t="n">
        <x:v>0</x:v>
      </x:c>
      <x:c r="N190" s="85" t="n">
        <x:v>1</x:v>
      </x:c>
      <x:c r="O190" s="85" t="n">
        <x:v>0</x:v>
      </x:c>
      <x:c r="P190" s="85" t="n">
        <x:v>0</x:v>
      </x:c>
      <x:c r="Q190" s="85" t="n">
        <x:v>0</x:v>
      </x:c>
    </x:row>
    <x:row r="191" ht="22" customHeight="1">
      <x:c r="A191" s="85" t="n">
        <x:v>187</x:v>
      </x:c>
      <x:c r="B191" s="82" t="str">
        <x:v>Jan Barta</x:v>
      </x:c>
      <x:c r="C191" s="85" t="n">
        <x:v>0</x:v>
      </x:c>
      <x:c r="D191" s="85" t="n">
        <x:v>0</x:v>
      </x:c>
      <x:c r="E191" s="85" t="n">
        <x:v>0</x:v>
      </x:c>
      <x:c r="F191" s="85" t="n">
        <x:v>0</x:v>
      </x:c>
      <x:c r="G191" s="85" t="n">
        <x:v>0</x:v>
      </x:c>
      <x:c r="H191" s="85" t="n">
        <x:v>0</x:v>
      </x:c>
      <x:c r="I191" s="85" t="n">
        <x:v>0</x:v>
      </x:c>
      <x:c r="J191" s="85" t="n">
        <x:v>0</x:v>
      </x:c>
      <x:c r="K191" s="85" t="n">
        <x:v>0</x:v>
      </x:c>
      <x:c r="L191" s="85" t="n">
        <x:v>0</x:v>
      </x:c>
      <x:c r="M191" s="85" t="n">
        <x:v>0</x:v>
      </x:c>
      <x:c r="N191" s="85" t="n">
        <x:v>0</x:v>
      </x:c>
      <x:c r="O191" s="85" t="n">
        <x:v>0</x:v>
      </x:c>
      <x:c r="P191" s="85" t="n">
        <x:v>0</x:v>
      </x:c>
      <x:c r="Q191" s="85" t="n">
        <x:v>0</x:v>
      </x:c>
    </x:row>
    <x:row r="192" ht="22" customHeight="1">
      <x:c r="A192" s="85" t="n">
        <x:v>188</x:v>
      </x:c>
      <x:c r="B192" s="82" t="str">
        <x:v>Alex Dowsett</x:v>
      </x:c>
      <x:c r="C192" s="85" t="n">
        <x:v>0</x:v>
      </x:c>
      <x:c r="D192" s="85" t="n">
        <x:v>0</x:v>
      </x:c>
      <x:c r="E192" s="85" t="n">
        <x:v>0</x:v>
      </x:c>
      <x:c r="F192" s="85" t="n">
        <x:v>0</x:v>
      </x:c>
      <x:c r="G192" s="85" t="n">
        <x:v>0</x:v>
      </x:c>
      <x:c r="H192" s="85" t="n">
        <x:v>0</x:v>
      </x:c>
      <x:c r="I192" s="85" t="n">
        <x:v>2</x:v>
      </x:c>
      <x:c r="J192" s="85" t="n">
        <x:v>0</x:v>
      </x:c>
      <x:c r="K192" s="85" t="n">
        <x:v>0</x:v>
      </x:c>
      <x:c r="L192" s="85" t="n">
        <x:v>0</x:v>
      </x:c>
      <x:c r="M192" s="85" t="n">
        <x:v>0</x:v>
      </x:c>
      <x:c r="N192" s="85" t="n">
        <x:v>0</x:v>
      </x:c>
      <x:c r="O192" s="85" t="n">
        <x:v>0</x:v>
      </x:c>
      <x:c r="P192" s="85" t="n">
        <x:v>0</x:v>
      </x:c>
      <x:c r="Q192" s="85" t="n">
        <x:v>0</x:v>
      </x:c>
    </x:row>
    <x:row r="193" ht="22" customHeight="1">
      <x:c r="A193" s="85" t="n">
        <x:v>189</x:v>
      </x:c>
      <x:c r="B193" s="82" t="str">
        <x:v>Luke Plapp</x:v>
      </x:c>
      <x:c r="C193" s="85" t="n">
        <x:v>0</x:v>
      </x:c>
      <x:c r="D193" s="85" t="n">
        <x:v>0</x:v>
      </x:c>
      <x:c r="E193" s="85" t="n">
        <x:v>0</x:v>
      </x:c>
      <x:c r="F193" s="85" t="n">
        <x:v>0</x:v>
      </x:c>
      <x:c r="G193" s="85" t="n">
        <x:v>0</x:v>
      </x:c>
      <x:c r="H193" s="85" t="n">
        <x:v>0</x:v>
      </x:c>
      <x:c r="I193" s="85" t="n">
        <x:v>1</x:v>
      </x:c>
      <x:c r="J193" s="85" t="n">
        <x:v>0</x:v>
      </x:c>
      <x:c r="K193" s="85" t="n">
        <x:v>0</x:v>
      </x:c>
      <x:c r="L193" s="85" t="n">
        <x:v>0</x:v>
      </x:c>
      <x:c r="M193" s="85" t="n">
        <x:v>0</x:v>
      </x:c>
      <x:c r="N193" s="85" t="n">
        <x:v>0</x:v>
      </x:c>
      <x:c r="O193" s="85" t="n">
        <x:v>0</x:v>
      </x:c>
      <x:c r="P193" s="85" t="n">
        <x:v>0</x:v>
      </x:c>
      <x:c r="Q193" s="85" t="n">
        <x:v>0</x:v>
      </x:c>
    </x:row>
    <x:row r="194" ht="22" customHeight="1">
      <x:c r="A194" s="85" t="n">
        <x:v>190</x:v>
      </x:c>
      <x:c r="B194" s="82" t="str">
        <x:v>Edoardo Affini</x:v>
      </x:c>
      <x:c r="C194" s="85" t="n">
        <x:v>0</x:v>
      </x:c>
      <x:c r="D194" s="85" t="n">
        <x:v>0</x:v>
      </x:c>
      <x:c r="E194" s="85" t="n">
        <x:v>0</x:v>
      </x:c>
      <x:c r="F194" s="85" t="n">
        <x:v>0</x:v>
      </x:c>
      <x:c r="G194" s="85" t="n">
        <x:v>0</x:v>
      </x:c>
      <x:c r="H194" s="85" t="n">
        <x:v>0</x:v>
      </x:c>
      <x:c r="I194" s="85" t="n">
        <x:v>0</x:v>
      </x:c>
      <x:c r="J194" s="85" t="n">
        <x:v>0</x:v>
      </x:c>
      <x:c r="K194" s="85" t="n">
        <x:v>0</x:v>
      </x:c>
      <x:c r="L194" s="85" t="n">
        <x:v>0</x:v>
      </x:c>
      <x:c r="M194" s="85" t="n">
        <x:v>0</x:v>
      </x:c>
      <x:c r="N194" s="85" t="n">
        <x:v>0</x:v>
      </x:c>
      <x:c r="O194" s="85" t="n">
        <x:v>0</x:v>
      </x:c>
      <x:c r="P194" s="85" t="n">
        <x:v>0</x:v>
      </x:c>
      <x:c r="Q194" s="85" t="n">
        <x:v>0</x:v>
      </x:c>
    </x:row>
    <x:row r="195" ht="22" customHeight="1">
      <x:c r="A195" s="85" t="n">
        <x:v>191</x:v>
      </x:c>
      <x:c r="B195" s="82" t="str">
        <x:v>Tobias Foss</x:v>
      </x:c>
      <x:c r="C195" s="85" t="n">
        <x:v>0</x:v>
      </x:c>
      <x:c r="D195" s="85" t="n">
        <x:v>0</x:v>
      </x:c>
      <x:c r="E195" s="85" t="n">
        <x:v>0</x:v>
      </x:c>
      <x:c r="F195" s="85" t="n">
        <x:v>0</x:v>
      </x:c>
      <x:c r="G195" s="85" t="n">
        <x:v>0</x:v>
      </x:c>
      <x:c r="H195" s="85" t="n">
        <x:v>0</x:v>
      </x:c>
      <x:c r="I195" s="85" t="n">
        <x:v>0</x:v>
      </x:c>
      <x:c r="J195" s="85" t="n">
        <x:v>0</x:v>
      </x:c>
      <x:c r="K195" s="85" t="n">
        <x:v>0</x:v>
      </x:c>
      <x:c r="L195" s="85" t="n">
        <x:v>0</x:v>
      </x:c>
      <x:c r="M195" s="85" t="n">
        <x:v>0</x:v>
      </x:c>
      <x:c r="N195" s="85" t="n">
        <x:v>0</x:v>
      </x:c>
      <x:c r="O195" s="85" t="n">
        <x:v>0</x:v>
      </x:c>
      <x:c r="P195" s="85" t="n">
        <x:v>0</x:v>
      </x:c>
      <x:c r="Q195" s="85" t="n">
        <x:v>0</x:v>
      </x:c>
    </x:row>
    <x:row r="196" ht="22" customHeight="1">
      <x:c r="A196" s="85" t="n">
        <x:v>192</x:v>
      </x:c>
      <x:c r="B196" s="82" t="str">
        <x:v>Magnus Sheffield</x:v>
      </x:c>
      <x:c r="C196" s="85" t="n">
        <x:v>0</x:v>
      </x:c>
      <x:c r="D196" s="85" t="n">
        <x:v>0</x:v>
      </x:c>
      <x:c r="E196" s="85" t="n">
        <x:v>0</x:v>
      </x:c>
      <x:c r="F196" s="85" t="n">
        <x:v>0</x:v>
      </x:c>
      <x:c r="G196" s="85" t="n">
        <x:v>0</x:v>
      </x:c>
      <x:c r="H196" s="85" t="n">
        <x:v>0</x:v>
      </x:c>
      <x:c r="I196" s="85" t="n">
        <x:v>0</x:v>
      </x:c>
      <x:c r="J196" s="85" t="n">
        <x:v>0</x:v>
      </x:c>
      <x:c r="K196" s="85" t="n">
        <x:v>0</x:v>
      </x:c>
      <x:c r="L196" s="85" t="n">
        <x:v>0</x:v>
      </x:c>
      <x:c r="M196" s="85" t="n">
        <x:v>0</x:v>
      </x:c>
      <x:c r="N196" s="85" t="n">
        <x:v>0</x:v>
      </x:c>
      <x:c r="O196" s="85" t="n">
        <x:v>0</x:v>
      </x:c>
      <x:c r="P196" s="85" t="n">
        <x:v>0</x:v>
      </x:c>
      <x:c r="Q196" s="85" t="n">
        <x:v>0</x:v>
      </x:c>
    </x:row>
    <x:row r="197" ht="22" customHeight="1">
      <x:c r="A197" s="85" t="n">
        <x:v>193</x:v>
      </x:c>
      <x:c r="B197" s="82" t="str">
        <x:v>Remi Cavagna</x:v>
      </x:c>
      <x:c r="C197" s="85" t="n">
        <x:v>0</x:v>
      </x:c>
      <x:c r="D197" s="85" t="n">
        <x:v>0</x:v>
      </x:c>
      <x:c r="E197" s="85" t="n">
        <x:v>0</x:v>
      </x:c>
      <x:c r="F197" s="85" t="n">
        <x:v>0</x:v>
      </x:c>
      <x:c r="G197" s="85" t="n">
        <x:v>0</x:v>
      </x:c>
      <x:c r="H197" s="85" t="n">
        <x:v>0</x:v>
      </x:c>
      <x:c r="I197" s="85" t="n">
        <x:v>0</x:v>
      </x:c>
      <x:c r="J197" s="85" t="n">
        <x:v>0</x:v>
      </x:c>
      <x:c r="K197" s="85" t="n">
        <x:v>0</x:v>
      </x:c>
      <x:c r="L197" s="85" t="n">
        <x:v>0</x:v>
      </x:c>
      <x:c r="M197" s="85" t="n">
        <x:v>0</x:v>
      </x:c>
      <x:c r="N197" s="85" t="n">
        <x:v>1</x:v>
      </x:c>
      <x:c r="O197" s="85" t="n">
        <x:v>0</x:v>
      </x:c>
      <x:c r="P197" s="85" t="n">
        <x:v>0</x:v>
      </x:c>
      <x:c r="Q197" s="85" t="n">
        <x:v>0</x:v>
      </x:c>
    </x:row>
    <x:row r="198" ht="22" customHeight="1">
      <x:c r="A198" s="85" t="n">
        <x:v>194</x:v>
      </x:c>
      <x:c r="B198" s="82" t="str">
        <x:v>Chad Haga</x:v>
      </x:c>
      <x:c r="C198" s="85" t="n">
        <x:v>0</x:v>
      </x:c>
      <x:c r="D198" s="85" t="n">
        <x:v>0</x:v>
      </x:c>
      <x:c r="E198" s="85" t="n">
        <x:v>0</x:v>
      </x:c>
      <x:c r="F198" s="85" t="n">
        <x:v>0</x:v>
      </x:c>
      <x:c r="G198" s="85" t="n">
        <x:v>0</x:v>
      </x:c>
      <x:c r="H198" s="85" t="n">
        <x:v>0</x:v>
      </x:c>
      <x:c r="I198" s="85" t="n">
        <x:v>1</x:v>
      </x:c>
      <x:c r="J198" s="85" t="n">
        <x:v>0</x:v>
      </x:c>
      <x:c r="K198" s="85" t="n">
        <x:v>0</x:v>
      </x:c>
      <x:c r="L198" s="85" t="n">
        <x:v>0</x:v>
      </x:c>
      <x:c r="M198" s="85" t="n">
        <x:v>0</x:v>
      </x:c>
      <x:c r="N198" s="85" t="n">
        <x:v>0</x:v>
      </x:c>
      <x:c r="O198" s="85" t="n">
        <x:v>0</x:v>
      </x:c>
      <x:c r="P198" s="85" t="n">
        <x:v>0</x:v>
      </x:c>
      <x:c r="Q198" s="85" t="n">
        <x:v>0</x:v>
      </x:c>
    </x:row>
    <x:row r="199" ht="22" customHeight="1">
      <x:c r="A199" s="85" t="n">
        <x:v>195</x:v>
      </x:c>
      <x:c r="B199" s="82" t="str">
        <x:v>Tejay van Garderen</x:v>
      </x:c>
      <x:c r="C199" s="85" t="n">
        <x:v>0</x:v>
      </x:c>
      <x:c r="D199" s="85" t="n">
        <x:v>0</x:v>
      </x:c>
      <x:c r="E199" s="85" t="n">
        <x:v>0</x:v>
      </x:c>
      <x:c r="F199" s="85" t="n">
        <x:v>0</x:v>
      </x:c>
      <x:c r="G199" s="85" t="n">
        <x:v>1</x:v>
      </x:c>
      <x:c r="H199" s="85" t="n">
        <x:v>0</x:v>
      </x:c>
      <x:c r="I199" s="85" t="n">
        <x:v>1</x:v>
      </x:c>
      <x:c r="J199" s="85" t="n">
        <x:v>0</x:v>
      </x:c>
      <x:c r="K199" s="85" t="n">
        <x:v>0</x:v>
      </x:c>
      <x:c r="L199" s="85" t="n">
        <x:v>0</x:v>
      </x:c>
      <x:c r="M199" s="85" t="n">
        <x:v>0</x:v>
      </x:c>
      <x:c r="N199" s="85" t="n">
        <x:v>0</x:v>
      </x:c>
      <x:c r="O199" s="85" t="n">
        <x:v>0</x:v>
      </x:c>
      <x:c r="P199" s="85" t="n">
        <x:v>0</x:v>
      </x:c>
      <x:c r="Q199" s="85" t="n">
        <x:v>0</x:v>
      </x:c>
    </x:row>
    <x:row r="200" ht="22" customHeight="1">
      <x:c r="A200" s="85" t="n">
        <x:v>196</x:v>
      </x:c>
      <x:c r="B200" s="82" t="str">
        <x:v>Brent Bookwalter</x:v>
      </x:c>
      <x:c r="C200" s="85" t="n">
        <x:v>0</x:v>
      </x:c>
      <x:c r="D200" s="85" t="n">
        <x:v>0</x:v>
      </x:c>
      <x:c r="E200" s="85" t="n">
        <x:v>0</x:v>
      </x:c>
      <x:c r="F200" s="85" t="n">
        <x:v>0</x:v>
      </x:c>
      <x:c r="G200" s="85" t="n">
        <x:v>0</x:v>
      </x:c>
      <x:c r="H200" s="85" t="n">
        <x:v>0</x:v>
      </x:c>
      <x:c r="I200" s="85" t="n">
        <x:v>0</x:v>
      </x:c>
      <x:c r="J200" s="85" t="n">
        <x:v>0</x:v>
      </x:c>
      <x:c r="K200" s="85" t="n">
        <x:v>0</x:v>
      </x:c>
      <x:c r="L200" s="85" t="n">
        <x:v>0</x:v>
      </x:c>
      <x:c r="M200" s="85" t="n">
        <x:v>0</x:v>
      </x:c>
      <x:c r="N200" s="85" t="n">
        <x:v>0</x:v>
      </x:c>
      <x:c r="O200" s="85" t="n">
        <x:v>0</x:v>
      </x:c>
      <x:c r="P200" s="85" t="n">
        <x:v>0</x:v>
      </x:c>
      <x:c r="Q200" s="85" t="n">
        <x:v>0</x:v>
      </x:c>
    </x:row>
    <x:row r="201" ht="22" customHeight="1">
      <x:c r="A201" s="85" t="n">
        <x:v>197</x:v>
      </x:c>
      <x:c r="B201" s="82" t="str">
        <x:v>Kanstantsin Siutsou</x:v>
      </x:c>
      <x:c r="C201" s="85" t="n">
        <x:v>0</x:v>
      </x:c>
      <x:c r="D201" s="85" t="n">
        <x:v>0</x:v>
      </x:c>
      <x:c r="E201" s="85" t="n">
        <x:v>0</x:v>
      </x:c>
      <x:c r="F201" s="85" t="n">
        <x:v>0</x:v>
      </x:c>
      <x:c r="G201" s="85" t="n">
        <x:v>0</x:v>
      </x:c>
      <x:c r="H201" s="85" t="n">
        <x:v>0</x:v>
      </x:c>
      <x:c r="I201" s="85" t="n">
        <x:v>1</x:v>
      </x:c>
      <x:c r="J201" s="85" t="n">
        <x:v>0</x:v>
      </x:c>
      <x:c r="K201" s="85" t="n">
        <x:v>0</x:v>
      </x:c>
      <x:c r="L201" s="85" t="n">
        <x:v>0</x:v>
      </x:c>
      <x:c r="M201" s="85" t="n">
        <x:v>0</x:v>
      </x:c>
      <x:c r="N201" s="85" t="n">
        <x:v>0</x:v>
      </x:c>
      <x:c r="O201" s="85" t="n">
        <x:v>0</x:v>
      </x:c>
      <x:c r="P201" s="85" t="n">
        <x:v>0</x:v>
      </x:c>
      <x:c r="Q201" s="85" t="n">
        <x:v>0</x:v>
      </x:c>
    </x:row>
    <x:row r="202" ht="22" customHeight="1">
      <x:c r="A202" s="85" t="n">
        <x:v>198</x:v>
      </x:c>
      <x:c r="B202" s="82" t="str">
        <x:v>Cameron Wurf</x:v>
      </x:c>
      <x:c r="C202" s="85" t="n">
        <x:v>0</x:v>
      </x:c>
      <x:c r="D202" s="85" t="n">
        <x:v>0</x:v>
      </x:c>
      <x:c r="E202" s="85" t="n">
        <x:v>0</x:v>
      </x:c>
      <x:c r="F202" s="85" t="n">
        <x:v>0</x:v>
      </x:c>
      <x:c r="G202" s="85" t="n">
        <x:v>0</x:v>
      </x:c>
      <x:c r="H202" s="85" t="n">
        <x:v>0</x:v>
      </x:c>
      <x:c r="I202" s="85" t="n">
        <x:v>0</x:v>
      </x:c>
      <x:c r="J202" s="85" t="n">
        <x:v>0</x:v>
      </x:c>
      <x:c r="K202" s="85" t="n">
        <x:v>0</x:v>
      </x:c>
      <x:c r="L202" s="85" t="n">
        <x:v>0</x:v>
      </x:c>
      <x:c r="M202" s="85" t="n">
        <x:v>0</x:v>
      </x:c>
      <x:c r="N202" s="85" t="n">
        <x:v>0</x:v>
      </x:c>
      <x:c r="O202" s="85" t="n">
        <x:v>0</x:v>
      </x:c>
      <x:c r="P202" s="85" t="n">
        <x:v>0</x:v>
      </x:c>
      <x:c r="Q202" s="85" t="n">
        <x:v>0</x:v>
      </x:c>
    </x:row>
    <x:row r="203" ht="22" customHeight="1">
      <x:c r="A203" s="85" t="n">
        <x:v>199</x:v>
      </x:c>
      <x:c r="B203" s="82" t="str">
        <x:v>Lawson Craddock</x:v>
      </x:c>
      <x:c r="C203" s="85" t="n">
        <x:v>0</x:v>
      </x:c>
      <x:c r="D203" s="85" t="n">
        <x:v>0</x:v>
      </x:c>
      <x:c r="E203" s="85" t="n">
        <x:v>0</x:v>
      </x:c>
      <x:c r="F203" s="85" t="n">
        <x:v>0</x:v>
      </x:c>
      <x:c r="G203" s="85" t="n">
        <x:v>0</x:v>
      </x:c>
      <x:c r="H203" s="85" t="n">
        <x:v>0</x:v>
      </x:c>
      <x:c r="I203" s="85" t="n">
        <x:v>0</x:v>
      </x:c>
      <x:c r="J203" s="85" t="n">
        <x:v>0</x:v>
      </x:c>
      <x:c r="K203" s="85" t="n">
        <x:v>0</x:v>
      </x:c>
      <x:c r="L203" s="85" t="n">
        <x:v>0</x:v>
      </x:c>
      <x:c r="M203" s="85" t="n">
        <x:v>0</x:v>
      </x:c>
      <x:c r="N203" s="85" t="n">
        <x:v>0</x:v>
      </x:c>
      <x:c r="O203" s="85" t="n">
        <x:v>0</x:v>
      </x:c>
      <x:c r="P203" s="85" t="n">
        <x:v>0</x:v>
      </x:c>
      <x:c r="Q203" s="85" t="n">
        <x:v>0</x:v>
      </x:c>
    </x:row>
    <x:row r="204" ht="22" customHeight="1">
      <x:c r="A204" s="85" t="n">
        <x:v>200</x:v>
      </x:c>
      <x:c r="B204" s="82" t="str">
        <x:v>Jan Tratnik</x:v>
      </x:c>
      <x:c r="C204" s="85" t="n">
        <x:v>0</x:v>
      </x:c>
      <x:c r="D204" s="85" t="n">
        <x:v>0</x:v>
      </x:c>
      <x:c r="E204" s="85" t="n">
        <x:v>0</x:v>
      </x:c>
      <x:c r="F204" s="85" t="n">
        <x:v>0</x:v>
      </x:c>
      <x:c r="G204" s="85" t="n">
        <x:v>0</x:v>
      </x:c>
      <x:c r="H204" s="85" t="n">
        <x:v>0</x:v>
      </x:c>
      <x:c r="I204" s="85" t="n">
        <x:v>1</x:v>
      </x:c>
      <x:c r="J204" s="85" t="n">
        <x:v>0</x:v>
      </x:c>
      <x:c r="K204" s="85" t="n">
        <x:v>0</x:v>
      </x:c>
      <x:c r="L204" s="85" t="n">
        <x:v>0</x:v>
      </x:c>
      <x:c r="M204" s="85" t="n">
        <x:v>0</x:v>
      </x:c>
      <x:c r="N204" s="85" t="n">
        <x:v>0</x:v>
      </x:c>
      <x:c r="O204" s="85" t="n">
        <x:v>0</x:v>
      </x:c>
      <x:c r="P204" s="85" t="n">
        <x:v>0</x:v>
      </x:c>
      <x:c r="Q204" s="85" t="n">
        <x:v>0</x:v>
      </x:c>
    </x:row>
    <x:row r="205" ht="22" customHeight="1">
      <x:c r="A205" s="85" t="n">
        <x:v>201</x:v>
      </x:c>
      <x:c r="B205" s="82" t="str">
        <x:v>Simon Yates</x:v>
      </x:c>
      <x:c r="C205" s="85" t="n">
        <x:v>0</x:v>
      </x:c>
      <x:c r="D205" s="85" t="n">
        <x:v>3</x:v>
      </x:c>
      <x:c r="E205" s="85" t="n">
        <x:v>0</x:v>
      </x:c>
      <x:c r="F205" s="85" t="n">
        <x:v>0</x:v>
      </x:c>
      <x:c r="G205" s="85" t="n">
        <x:v>1</x:v>
      </x:c>
      <x:c r="H205" s="85" t="n">
        <x:v>1</x:v>
      </x:c>
      <x:c r="I205" s="85" t="n">
        <x:v>6</x:v>
      </x:c>
      <x:c r="J205" s="85" t="n">
        <x:v>0</x:v>
      </x:c>
      <x:c r="K205" s="85" t="n">
        <x:v>0</x:v>
      </x:c>
      <x:c r="L205" s="85" t="n">
        <x:v>0</x:v>
      </x:c>
      <x:c r="M205" s="85" t="n">
        <x:v>1</x:v>
      </x:c>
      <x:c r="N205" s="85" t="n">
        <x:v>2</x:v>
      </x:c>
      <x:c r="O205" s="85" t="n">
        <x:v>0</x:v>
      </x:c>
      <x:c r="P205" s="85" t="n">
        <x:v>0</x:v>
      </x:c>
      <x:c r="Q205" s="85" t="n">
        <x:v>0</x:v>
      </x:c>
    </x:row>
    <x:row r="206" ht="22" customHeight="1">
      <x:c r="A206" s="85" t="n">
        <x:v>202</x:v>
      </x:c>
      <x:c r="B206" s="82" t="str">
        <x:v>Jai Hindley</x:v>
      </x:c>
      <x:c r="C206" s="85" t="n">
        <x:v>0</x:v>
      </x:c>
      <x:c r="D206" s="85" t="n">
        <x:v>1</x:v>
      </x:c>
      <x:c r="E206" s="85" t="n">
        <x:v>0</x:v>
      </x:c>
      <x:c r="F206" s="85" t="n">
        <x:v>0</x:v>
      </x:c>
      <x:c r="G206" s="85" t="n">
        <x:v>0</x:v>
      </x:c>
      <x:c r="H206" s="85" t="n">
        <x:v>1</x:v>
      </x:c>
      <x:c r="I206" s="85" t="n">
        <x:v>2</x:v>
      </x:c>
      <x:c r="J206" s="85" t="n">
        <x:v>0</x:v>
      </x:c>
      <x:c r="K206" s="85" t="n">
        <x:v>0</x:v>
      </x:c>
      <x:c r="L206" s="85" t="n">
        <x:v>0</x:v>
      </x:c>
      <x:c r="M206" s="85" t="n">
        <x:v>0</x:v>
      </x:c>
      <x:c r="N206" s="85" t="n">
        <x:v>0</x:v>
      </x:c>
      <x:c r="O206" s="85" t="n">
        <x:v>0</x:v>
      </x:c>
      <x:c r="P206" s="85" t="n">
        <x:v>0</x:v>
      </x:c>
      <x:c r="Q206" s="85" t="n">
        <x:v>0</x:v>
      </x:c>
    </x:row>
    <x:row r="207" ht="22" customHeight="1">
      <x:c r="A207" s="85" t="n">
        <x:v>203</x:v>
      </x:c>
      <x:c r="B207" s="82" t="str">
        <x:v>Tom Dumoulin</x:v>
      </x:c>
      <x:c r="C207" s="85" t="n">
        <x:v>0</x:v>
      </x:c>
      <x:c r="D207" s="85" t="n">
        <x:v>3</x:v>
      </x:c>
      <x:c r="E207" s="85" t="n">
        <x:v>0</x:v>
      </x:c>
      <x:c r="F207" s="85" t="n">
        <x:v>0</x:v>
      </x:c>
      <x:c r="G207" s="85" t="n">
        <x:v>0</x:v>
      </x:c>
      <x:c r="H207" s="85" t="n">
        <x:v>1</x:v>
      </x:c>
      <x:c r="I207" s="85" t="n">
        <x:v>4</x:v>
      </x:c>
      <x:c r="J207" s="85" t="n">
        <x:v>0</x:v>
      </x:c>
      <x:c r="K207" s="85" t="n">
        <x:v>0</x:v>
      </x:c>
      <x:c r="L207" s="85" t="n">
        <x:v>0</x:v>
      </x:c>
      <x:c r="M207" s="85" t="n">
        <x:v>0</x:v>
      </x:c>
      <x:c r="N207" s="85" t="n">
        <x:v>2</x:v>
      </x:c>
      <x:c r="O207" s="85" t="n">
        <x:v>0</x:v>
      </x:c>
      <x:c r="P207" s="85" t="n">
        <x:v>0</x:v>
      </x:c>
      <x:c r="Q207" s="85" t="n">
        <x:v>0</x:v>
      </x:c>
    </x:row>
    <x:row r="208" ht="22" customHeight="1">
      <x:c r="A208" s="85" t="n">
        <x:v>204</x:v>
      </x:c>
      <x:c r="B208" s="82" t="str">
        <x:v>Ivan Basso</x:v>
      </x:c>
      <x:c r="C208" s="85" t="n">
        <x:v>0</x:v>
      </x:c>
      <x:c r="D208" s="85" t="n">
        <x:v>1</x:v>
      </x:c>
      <x:c r="E208" s="85" t="n">
        <x:v>0</x:v>
      </x:c>
      <x:c r="F208" s="85" t="n">
        <x:v>0</x:v>
      </x:c>
      <x:c r="G208" s="85" t="n">
        <x:v>1</x:v>
      </x:c>
      <x:c r="H208" s="85" t="n">
        <x:v>2</x:v>
      </x:c>
      <x:c r="I208" s="85" t="n">
        <x:v>6</x:v>
      </x:c>
      <x:c r="J208" s="85" t="n">
        <x:v>0</x:v>
      </x:c>
      <x:c r="K208" s="85" t="n">
        <x:v>0</x:v>
      </x:c>
      <x:c r="L208" s="85" t="n">
        <x:v>0</x:v>
      </x:c>
      <x:c r="M208" s="85" t="n">
        <x:v>0</x:v>
      </x:c>
      <x:c r="N208" s="85" t="n">
        <x:v>0</x:v>
      </x:c>
      <x:c r="O208" s="85" t="n">
        <x:v>0</x:v>
      </x:c>
      <x:c r="P208" s="85" t="n">
        <x:v>0</x:v>
      </x:c>
      <x:c r="Q208" s="85" t="n">
        <x:v>0</x:v>
      </x:c>
    </x:row>
    <x:row r="209" ht="22" customHeight="1">
      <x:c r="A209" s="85" t="n">
        <x:v>205</x:v>
      </x:c>
      <x:c r="B209" s="82" t="str">
        <x:v>Ryder Hesjedal</x:v>
      </x:c>
      <x:c r="C209" s="85" t="n">
        <x:v>0</x:v>
      </x:c>
      <x:c r="D209" s="85" t="n">
        <x:v>0</x:v>
      </x:c>
      <x:c r="E209" s="85" t="n">
        <x:v>0</x:v>
      </x:c>
      <x:c r="F209" s="85" t="n">
        <x:v>0</x:v>
      </x:c>
      <x:c r="G209" s="85" t="n">
        <x:v>0</x:v>
      </x:c>
      <x:c r="H209" s="85" t="n">
        <x:v>1</x:v>
      </x:c>
      <x:c r="I209" s="85" t="n">
        <x:v>0</x:v>
      </x:c>
      <x:c r="J209" s="85" t="n">
        <x:v>0</x:v>
      </x:c>
      <x:c r="K209" s="85" t="n">
        <x:v>0</x:v>
      </x:c>
      <x:c r="L209" s="85" t="n">
        <x:v>0</x:v>
      </x:c>
      <x:c r="M209" s="85" t="n">
        <x:v>0</x:v>
      </x:c>
      <x:c r="N209" s="85" t="n">
        <x:v>2</x:v>
      </x:c>
      <x:c r="O209" s="85" t="n">
        <x:v>0</x:v>
      </x:c>
      <x:c r="P209" s="85" t="n">
        <x:v>0</x:v>
      </x:c>
      <x:c r="Q209" s="85" t="n">
        <x:v>0</x:v>
      </x:c>
    </x:row>
    <x:row r="210" ht="22" customHeight="1">
      <x:c r="A210" s="85" t="n">
        <x:v>206</x:v>
      </x:c>
      <x:c r="B210" s="82" t="str">
        <x:v>Damiano Cunego</x:v>
      </x:c>
      <x:c r="C210" s="85" t="n">
        <x:v>0</x:v>
      </x:c>
      <x:c r="D210" s="85" t="n">
        <x:v>0</x:v>
      </x:c>
      <x:c r="E210" s="85" t="n">
        <x:v>0</x:v>
      </x:c>
      <x:c r="F210" s="85" t="n">
        <x:v>0</x:v>
      </x:c>
      <x:c r="G210" s="85" t="n">
        <x:v>1</x:v>
      </x:c>
      <x:c r="H210" s="85" t="n">
        <x:v>1</x:v>
      </x:c>
      <x:c r="I210" s="85" t="n">
        <x:v>4</x:v>
      </x:c>
      <x:c r="J210" s="85" t="n">
        <x:v>0</x:v>
      </x:c>
      <x:c r="K210" s="85" t="n">
        <x:v>0</x:v>
      </x:c>
      <x:c r="L210" s="85" t="n">
        <x:v>0</x:v>
      </x:c>
      <x:c r="M210" s="85" t="n">
        <x:v>0</x:v>
      </x:c>
      <x:c r="N210" s="85" t="n">
        <x:v>2</x:v>
      </x:c>
      <x:c r="O210" s="85" t="n">
        <x:v>0</x:v>
      </x:c>
      <x:c r="P210" s="85" t="n">
        <x:v>0</x:v>
      </x:c>
      <x:c r="Q210" s="85" t="n">
        <x:v>0</x:v>
      </x:c>
    </x:row>
    <x:row r="211" ht="22" customHeight="1">
      <x:c r="A211" s="85" t="n">
        <x:v>207</x:v>
      </x:c>
      <x:c r="B211" s="82" t="str">
        <x:v>Fabio Aru</x:v>
      </x:c>
      <x:c r="C211" s="85" t="n">
        <x:v>0</x:v>
      </x:c>
      <x:c r="D211" s="85" t="n">
        <x:v>1</x:v>
      </x:c>
      <x:c r="E211" s="85" t="n">
        <x:v>0</x:v>
      </x:c>
      <x:c r="F211" s="85" t="n">
        <x:v>0</x:v>
      </x:c>
      <x:c r="G211" s="85" t="n">
        <x:v>0</x:v>
      </x:c>
      <x:c r="H211" s="85" t="n">
        <x:v>0</x:v>
      </x:c>
      <x:c r="I211" s="85" t="n">
        <x:v>3</x:v>
      </x:c>
      <x:c r="J211" s="85" t="n">
        <x:v>0</x:v>
      </x:c>
      <x:c r="K211" s="85" t="n">
        <x:v>0</x:v>
      </x:c>
      <x:c r="L211" s="85" t="n">
        <x:v>1</x:v>
      </x:c>
      <x:c r="M211" s="85" t="n">
        <x:v>1</x:v>
      </x:c>
      <x:c r="N211" s="85" t="n">
        <x:v>2</x:v>
      </x:c>
      <x:c r="O211" s="85" t="n">
        <x:v>0</x:v>
      </x:c>
      <x:c r="P211" s="85" t="n">
        <x:v>0</x:v>
      </x:c>
      <x:c r="Q211" s="85" t="n">
        <x:v>0</x:v>
      </x:c>
    </x:row>
    <x:row r="212" ht="22" customHeight="1">
      <x:c r="A212" s="85" t="n">
        <x:v>208</x:v>
      </x:c>
      <x:c r="B212" s="82" t="str">
        <x:v>Rigoberto Uran</x:v>
      </x:c>
      <x:c r="C212" s="85" t="n">
        <x:v>0</x:v>
      </x:c>
      <x:c r="D212" s="85" t="n">
        <x:v>1</x:v>
      </x:c>
      <x:c r="E212" s="85" t="n">
        <x:v>0</x:v>
      </x:c>
      <x:c r="F212" s="85" t="n">
        <x:v>0</x:v>
      </x:c>
      <x:c r="G212" s="85" t="n">
        <x:v>0</x:v>
      </x:c>
      <x:c r="H212" s="85" t="n">
        <x:v>0</x:v>
      </x:c>
      <x:c r="I212" s="85" t="n">
        <x:v>2</x:v>
      </x:c>
      <x:c r="J212" s="85" t="n">
        <x:v>0</x:v>
      </x:c>
      <x:c r="K212" s="85" t="n">
        <x:v>0</x:v>
      </x:c>
      <x:c r="L212" s="85" t="n">
        <x:v>1</x:v>
      </x:c>
      <x:c r="M212" s="85" t="n">
        <x:v>0</x:v>
      </x:c>
      <x:c r="N212" s="85" t="n">
        <x:v>1</x:v>
      </x:c>
      <x:c r="O212" s="85" t="n">
        <x:v>0</x:v>
      </x:c>
      <x:c r="P212" s="85" t="n">
        <x:v>0</x:v>
      </x:c>
      <x:c r="Q212" s="85" t="n">
        <x:v>0</x:v>
      </x:c>
    </x:row>
    <x:row r="213" ht="22" customHeight="1">
      <x:c r="A213" s="85" t="n">
        <x:v>209</x:v>
      </x:c>
      <x:c r="B213" s="82" t="str">
        <x:v>Esteban Chaves</x:v>
      </x:c>
      <x:c r="C213" s="85" t="n">
        <x:v>0</x:v>
      </x:c>
      <x:c r="D213" s="85" t="n">
        <x:v>0</x:v>
      </x:c>
      <x:c r="E213" s="85" t="n">
        <x:v>0</x:v>
      </x:c>
      <x:c r="F213" s="85" t="n">
        <x:v>0</x:v>
      </x:c>
      <x:c r="G213" s="85" t="n">
        <x:v>0</x:v>
      </x:c>
      <x:c r="H213" s="85" t="n">
        <x:v>0</x:v>
      </x:c>
      <x:c r="I213" s="85" t="n">
        <x:v>3</x:v>
      </x:c>
      <x:c r="J213" s="85" t="n">
        <x:v>0</x:v>
      </x:c>
      <x:c r="K213" s="85" t="n">
        <x:v>0</x:v>
      </x:c>
      <x:c r="L213" s="85" t="n">
        <x:v>0</x:v>
      </x:c>
      <x:c r="M213" s="85" t="n">
        <x:v>0</x:v>
      </x:c>
      <x:c r="N213" s="85" t="n">
        <x:v>2</x:v>
      </x:c>
      <x:c r="O213" s="85" t="n">
        <x:v>0</x:v>
      </x:c>
      <x:c r="P213" s="85" t="n">
        <x:v>0</x:v>
      </x:c>
      <x:c r="Q213" s="85" t="n">
        <x:v>0</x:v>
      </x:c>
    </x:row>
    <x:row r="214" ht="22" customHeight="1">
      <x:c r="A214" s="85" t="n">
        <x:v>210</x:v>
      </x:c>
      <x:c r="B214" s="82" t="str">
        <x:v>Enric Mas</x:v>
      </x:c>
      <x:c r="C214" s="85" t="n">
        <x:v>0</x:v>
      </x:c>
      <x:c r="D214" s="85" t="n">
        <x:v>0</x:v>
      </x:c>
      <x:c r="E214" s="85" t="n">
        <x:v>0</x:v>
      </x:c>
      <x:c r="F214" s="85" t="n">
        <x:v>0</x:v>
      </x:c>
      <x:c r="G214" s="85" t="n">
        <x:v>0</x:v>
      </x:c>
      <x:c r="H214" s="85" t="n">
        <x:v>0</x:v>
      </x:c>
      <x:c r="I214" s="85" t="n">
        <x:v>0</x:v>
      </x:c>
      <x:c r="J214" s="85" t="n">
        <x:v>0</x:v>
      </x:c>
      <x:c r="K214" s="85" t="n">
        <x:v>0</x:v>
      </x:c>
      <x:c r="L214" s="85" t="n">
        <x:v>0</x:v>
      </x:c>
      <x:c r="M214" s="85" t="n">
        <x:v>0</x:v>
      </x:c>
      <x:c r="N214" s="85" t="n">
        <x:v>1</x:v>
      </x:c>
      <x:c r="O214" s="85" t="n">
        <x:v>0</x:v>
      </x:c>
      <x:c r="P214" s="85" t="n">
        <x:v>0</x:v>
      </x:c>
      <x:c r="Q214" s="85" t="n">
        <x:v>2</x:v>
      </x:c>
    </x:row>
    <x:row r="215" ht="22" customHeight="1">
      <x:c r="A215" s="85" t="n">
        <x:v>211</x:v>
      </x:c>
      <x:c r="B215" s="82" t="str">
        <x:v>Pello Bilbao</x:v>
      </x:c>
      <x:c r="C215" s="85" t="n">
        <x:v>0</x:v>
      </x:c>
      <x:c r="D215" s="85" t="n">
        <x:v>1</x:v>
      </x:c>
      <x:c r="E215" s="85" t="n">
        <x:v>0</x:v>
      </x:c>
      <x:c r="F215" s="85" t="n">
        <x:v>0</x:v>
      </x:c>
      <x:c r="G215" s="85" t="n">
        <x:v>0</x:v>
      </x:c>
      <x:c r="H215" s="85" t="n">
        <x:v>0</x:v>
      </x:c>
      <x:c r="I215" s="85" t="n">
        <x:v>2</x:v>
      </x:c>
      <x:c r="J215" s="85" t="n">
        <x:v>0</x:v>
      </x:c>
      <x:c r="K215" s="85" t="n">
        <x:v>0</x:v>
      </x:c>
      <x:c r="L215" s="85" t="n">
        <x:v>0</x:v>
      </x:c>
      <x:c r="M215" s="85" t="n">
        <x:v>0</x:v>
      </x:c>
      <x:c r="N215" s="85" t="n">
        <x:v>0</x:v>
      </x:c>
      <x:c r="O215" s="85" t="n">
        <x:v>0</x:v>
      </x:c>
      <x:c r="P215" s="85" t="n">
        <x:v>0</x:v>
      </x:c>
      <x:c r="Q215" s="85" t="n">
        <x:v>0</x:v>
      </x:c>
    </x:row>
    <x:row r="216" ht="22" customHeight="1">
      <x:c r="A216" s="85" t="n">
        <x:v>212</x:v>
      </x:c>
      <x:c r="B216" s="82" t="str">
        <x:v>Giulio Ciccone</x:v>
      </x:c>
      <x:c r="C216" s="85" t="n">
        <x:v>0</x:v>
      </x:c>
      <x:c r="D216" s="85" t="n">
        <x:v>0</x:v>
      </x:c>
      <x:c r="E216" s="85" t="n">
        <x:v>0</x:v>
      </x:c>
      <x:c r="F216" s="85" t="n">
        <x:v>1</x:v>
      </x:c>
      <x:c r="G216" s="85" t="n">
        <x:v>0</x:v>
      </x:c>
      <x:c r="H216" s="85" t="n">
        <x:v>0</x:v>
      </x:c>
      <x:c r="I216" s="85" t="n">
        <x:v>3</x:v>
      </x:c>
      <x:c r="J216" s="85" t="n">
        <x:v>0</x:v>
      </x:c>
      <x:c r="K216" s="85" t="n">
        <x:v>2</x:v>
      </x:c>
      <x:c r="L216" s="85" t="n">
        <x:v>0</x:v>
      </x:c>
      <x:c r="M216" s="85" t="n">
        <x:v>0</x:v>
      </x:c>
      <x:c r="N216" s="85" t="n">
        <x:v>0</x:v>
      </x:c>
      <x:c r="O216" s="85" t="n">
        <x:v>0</x:v>
      </x:c>
      <x:c r="P216" s="85" t="n">
        <x:v>0</x:v>
      </x:c>
      <x:c r="Q216" s="85" t="n">
        <x:v>0</x:v>
      </x:c>
    </x:row>
    <x:row r="217" ht="22" customHeight="1">
      <x:c r="A217" s="85" t="n">
        <x:v>213</x:v>
      </x:c>
      <x:c r="B217" s="82" t="str">
        <x:v>David Gaudu</x:v>
      </x:c>
      <x:c r="C217" s="85" t="n">
        <x:v>0</x:v>
      </x:c>
      <x:c r="D217" s="85" t="n">
        <x:v>0</x:v>
      </x:c>
      <x:c r="E217" s="85" t="n">
        <x:v>0</x:v>
      </x:c>
      <x:c r="F217" s="85" t="n">
        <x:v>0</x:v>
      </x:c>
      <x:c r="G217" s="85" t="n">
        <x:v>0</x:v>
      </x:c>
      <x:c r="H217" s="85" t="n">
        <x:v>0</x:v>
      </x:c>
      <x:c r="I217" s="85" t="n">
        <x:v>0</x:v>
      </x:c>
      <x:c r="J217" s="85" t="n">
        <x:v>0</x:v>
      </x:c>
      <x:c r="K217" s="85" t="n">
        <x:v>0</x:v>
      </x:c>
      <x:c r="L217" s="85" t="n">
        <x:v>0</x:v>
      </x:c>
      <x:c r="M217" s="85" t="n">
        <x:v>0</x:v>
      </x:c>
      <x:c r="N217" s="85" t="n">
        <x:v>3</x:v>
      </x:c>
      <x:c r="O217" s="85" t="n">
        <x:v>0</x:v>
      </x:c>
      <x:c r="P217" s="85" t="n">
        <x:v>0</x:v>
      </x:c>
      <x:c r="Q217" s="85" t="n">
        <x:v>0</x:v>
      </x:c>
    </x:row>
    <x:row r="218" ht="22" customHeight="1">
      <x:c r="A218" s="85" t="n">
        <x:v>214</x:v>
      </x:c>
      <x:c r="B218" s="82" t="str">
        <x:v>Warren Barguil</x:v>
      </x:c>
      <x:c r="C218" s="85" t="n">
        <x:v>0</x:v>
      </x:c>
      <x:c r="D218" s="85" t="n">
        <x:v>2</x:v>
      </x:c>
      <x:c r="E218" s="85" t="n">
        <x:v>0</x:v>
      </x:c>
      <x:c r="F218" s="85" t="n">
        <x:v>1</x:v>
      </x:c>
      <x:c r="G218" s="85" t="n">
        <x:v>0</x:v>
      </x:c>
      <x:c r="H218" s="85" t="n">
        <x:v>0</x:v>
      </x:c>
      <x:c r="I218" s="85" t="n">
        <x:v>0</x:v>
      </x:c>
      <x:c r="J218" s="85" t="n">
        <x:v>0</x:v>
      </x:c>
      <x:c r="K218" s="85" t="n">
        <x:v>0</x:v>
      </x:c>
      <x:c r="L218" s="85" t="n">
        <x:v>0</x:v>
      </x:c>
      <x:c r="M218" s="85" t="n">
        <x:v>0</x:v>
      </x:c>
      <x:c r="N218" s="85" t="n">
        <x:v>2</x:v>
      </x:c>
      <x:c r="O218" s="85" t="n">
        <x:v>0</x:v>
      </x:c>
      <x:c r="P218" s="85" t="n">
        <x:v>0</x:v>
      </x:c>
      <x:c r="Q218" s="85" t="n">
        <x:v>0</x:v>
      </x:c>
    </x:row>
    <x:row r="219" ht="22" customHeight="1">
      <x:c r="A219" s="85" t="n">
        <x:v>215</x:v>
      </x:c>
      <x:c r="B219" s="82" t="str">
        <x:v>Guillaume Martin</x:v>
      </x:c>
      <x:c r="C219" s="85" t="n">
        <x:v>0</x:v>
      </x:c>
      <x:c r="D219" s="85" t="n">
        <x:v>0</x:v>
      </x:c>
      <x:c r="E219" s="85" t="n">
        <x:v>0</x:v>
      </x:c>
      <x:c r="F219" s="85" t="n">
        <x:v>0</x:v>
      </x:c>
      <x:c r="G219" s="85" t="n">
        <x:v>0</x:v>
      </x:c>
      <x:c r="H219" s="85" t="n">
        <x:v>0</x:v>
      </x:c>
      <x:c r="I219" s="85" t="n">
        <x:v>0</x:v>
      </x:c>
      <x:c r="J219" s="85" t="n">
        <x:v>0</x:v>
      </x:c>
      <x:c r="K219" s="85" t="n">
        <x:v>0</x:v>
      </x:c>
      <x:c r="L219" s="85" t="n">
        <x:v>0</x:v>
      </x:c>
      <x:c r="M219" s="85" t="n">
        <x:v>0</x:v>
      </x:c>
      <x:c r="N219" s="85" t="n">
        <x:v>0</x:v>
      </x:c>
      <x:c r="O219" s="85" t="n">
        <x:v>0</x:v>
      </x:c>
      <x:c r="P219" s="85" t="n">
        <x:v>1</x:v>
      </x:c>
      <x:c r="Q219" s="85" t="n">
        <x:v>0</x:v>
      </x:c>
    </x:row>
    <x:row r="220" ht="22" customHeight="1">
      <x:c r="A220" s="85" t="n">
        <x:v>216</x:v>
      </x:c>
      <x:c r="B220" s="82" t="str">
        <x:v>Ben Healy</x:v>
      </x:c>
      <x:c r="C220" s="85" t="n">
        <x:v>0</x:v>
      </x:c>
      <x:c r="D220" s="85" t="n">
        <x:v>1</x:v>
      </x:c>
      <x:c r="E220" s="85" t="n">
        <x:v>0</x:v>
      </x:c>
      <x:c r="F220" s="85" t="n">
        <x:v>0</x:v>
      </x:c>
      <x:c r="G220" s="85" t="n">
        <x:v>0</x:v>
      </x:c>
      <x:c r="H220" s="85" t="n">
        <x:v>0</x:v>
      </x:c>
      <x:c r="I220" s="85" t="n">
        <x:v>1</x:v>
      </x:c>
      <x:c r="J220" s="85" t="n">
        <x:v>0</x:v>
      </x:c>
      <x:c r="K220" s="85" t="n">
        <x:v>0</x:v>
      </x:c>
      <x:c r="L220" s="85" t="n">
        <x:v>0</x:v>
      </x:c>
      <x:c r="M220" s="85" t="n">
        <x:v>0</x:v>
      </x:c>
      <x:c r="N220" s="85" t="n">
        <x:v>0</x:v>
      </x:c>
      <x:c r="O220" s="85" t="n">
        <x:v>0</x:v>
      </x:c>
      <x:c r="P220" s="85" t="n">
        <x:v>0</x:v>
      </x:c>
      <x:c r="Q220" s="85" t="n">
        <x:v>0</x:v>
      </x:c>
    </x:row>
    <x:row r="221" ht="22" customHeight="1">
      <x:c r="A221" s="85" t="n">
        <x:v>217</x:v>
      </x:c>
      <x:c r="B221" s="82" t="str">
        <x:v>Felix Gall</x:v>
      </x:c>
      <x:c r="C221" s="85" t="n">
        <x:v>0</x:v>
      </x:c>
      <x:c r="D221" s="85" t="n">
        <x:v>1</x:v>
      </x:c>
      <x:c r="E221" s="85" t="n">
        <x:v>0</x:v>
      </x:c>
      <x:c r="F221" s="85" t="n">
        <x:v>0</x:v>
      </x:c>
      <x:c r="G221" s="85" t="n">
        <x:v>0</x:v>
      </x:c>
      <x:c r="H221" s="85" t="n">
        <x:v>0</x:v>
      </x:c>
      <x:c r="I221" s="85" t="n">
        <x:v>0</x:v>
      </x:c>
      <x:c r="J221" s="85" t="n">
        <x:v>0</x:v>
      </x:c>
      <x:c r="K221" s="85" t="n">
        <x:v>0</x:v>
      </x:c>
      <x:c r="L221" s="85" t="n">
        <x:v>0</x:v>
      </x:c>
      <x:c r="M221" s="85" t="n">
        <x:v>0</x:v>
      </x:c>
      <x:c r="N221" s="85" t="n">
        <x:v>0</x:v>
      </x:c>
      <x:c r="O221" s="85" t="n">
        <x:v>0</x:v>
      </x:c>
      <x:c r="P221" s="85" t="n">
        <x:v>0</x:v>
      </x:c>
      <x:c r="Q221" s="85" t="n">
        <x:v>0</x:v>
      </x:c>
    </x:row>
    <x:row r="222" ht="22" customHeight="1">
      <x:c r="A222" s="85" t="n">
        <x:v>218</x:v>
      </x:c>
      <x:c r="B222" s="82" t="str">
        <x:v>Derek Gee</x:v>
      </x:c>
      <x:c r="C222" s="85" t="n">
        <x:v>0</x:v>
      </x:c>
      <x:c r="D222" s="85" t="n">
        <x:v>0</x:v>
      </x:c>
      <x:c r="E222" s="85" t="n">
        <x:v>0</x:v>
      </x:c>
      <x:c r="F222" s="85" t="n">
        <x:v>0</x:v>
      </x:c>
      <x:c r="G222" s="85" t="n">
        <x:v>0</x:v>
      </x:c>
      <x:c r="H222" s="85" t="n">
        <x:v>0</x:v>
      </x:c>
      <x:c r="I222" s="85" t="n">
        <x:v>0</x:v>
      </x:c>
      <x:c r="J222" s="85" t="n">
        <x:v>0</x:v>
      </x:c>
      <x:c r="K222" s="85" t="n">
        <x:v>0</x:v>
      </x:c>
      <x:c r="L222" s="85" t="n">
        <x:v>0</x:v>
      </x:c>
      <x:c r="M222" s="85" t="n">
        <x:v>0</x:v>
      </x:c>
      <x:c r="N222" s="85" t="n">
        <x:v>0</x:v>
      </x:c>
      <x:c r="O222" s="85" t="n">
        <x:v>0</x:v>
      </x:c>
      <x:c r="P222" s="85" t="n">
        <x:v>0</x:v>
      </x:c>
      <x:c r="Q222" s="85" t="n">
        <x:v>0</x:v>
      </x:c>
    </x:row>
    <x:row r="223" ht="22" customHeight="1">
      <x:c r="A223" s="85" t="n">
        <x:v>219</x:v>
      </x:c>
      <x:c r="B223" s="82" t="str">
        <x:v>Aleksandr Vlasov</x:v>
      </x:c>
      <x:c r="C223" s="85" t="n">
        <x:v>0</x:v>
      </x:c>
      <x:c r="D223" s="85" t="n">
        <x:v>0</x:v>
      </x:c>
      <x:c r="E223" s="85" t="n">
        <x:v>0</x:v>
      </x:c>
      <x:c r="F223" s="85" t="n">
        <x:v>0</x:v>
      </x:c>
      <x:c r="G223" s="85" t="n">
        <x:v>0</x:v>
      </x:c>
      <x:c r="H223" s="85" t="n">
        <x:v>0</x:v>
      </x:c>
      <x:c r="I223" s="85" t="n">
        <x:v>0</x:v>
      </x:c>
      <x:c r="J223" s="85" t="n">
        <x:v>0</x:v>
      </x:c>
      <x:c r="K223" s="85" t="n">
        <x:v>0</x:v>
      </x:c>
      <x:c r="L223" s="85" t="n">
        <x:v>0</x:v>
      </x:c>
      <x:c r="M223" s="85" t="n">
        <x:v>0</x:v>
      </x:c>
      <x:c r="N223" s="85" t="n">
        <x:v>0</x:v>
      </x:c>
      <x:c r="O223" s="85" t="n">
        <x:v>0</x:v>
      </x:c>
      <x:c r="P223" s="85" t="n">
        <x:v>0</x:v>
      </x:c>
      <x:c r="Q223" s="85" t="n">
        <x:v>0</x:v>
      </x:c>
    </x:row>
    <x:row r="224" ht="22" customHeight="1">
      <x:c r="A224" s="85" t="n">
        <x:v>220</x:v>
      </x:c>
      <x:c r="B224" s="82" t="str">
        <x:v>Oscar Pereiro</x:v>
      </x:c>
      <x:c r="C224" s="85" t="n">
        <x:v>1</x:v>
      </x:c>
      <x:c r="D224" s="85" t="n">
        <x:v>1</x:v>
      </x:c>
      <x:c r="E224" s="85" t="n">
        <x:v>0</x:v>
      </x:c>
      <x:c r="F224" s="85" t="n">
        <x:v>0</x:v>
      </x:c>
      <x:c r="G224" s="85" t="n">
        <x:v>0</x:v>
      </x:c>
      <x:c r="H224" s="85" t="n">
        <x:v>0</x:v>
      </x:c>
      <x:c r="I224" s="85" t="n">
        <x:v>0</x:v>
      </x:c>
      <x:c r="J224" s="85" t="n">
        <x:v>0</x:v>
      </x:c>
      <x:c r="K224" s="85" t="n">
        <x:v>0</x:v>
      </x:c>
      <x:c r="L224" s="85" t="n">
        <x:v>0</x:v>
      </x:c>
      <x:c r="M224" s="85" t="n">
        <x:v>0</x:v>
      </x:c>
      <x:c r="N224" s="85" t="n">
        <x:v>0</x:v>
      </x:c>
      <x:c r="O224" s="85" t="n">
        <x:v>0</x:v>
      </x:c>
      <x:c r="P224" s="85" t="n">
        <x:v>0</x:v>
      </x:c>
      <x:c r="Q224" s="85" t="n">
        <x:v>0</x:v>
      </x:c>
    </x:row>
    <x:row r="225" ht="22" customHeight="1">
      <x:c r="A225" s="85" t="n">
        <x:v>221</x:v>
      </x:c>
      <x:c r="B225" s="82" t="str">
        <x:v>Samuel Sanchez</x:v>
      </x:c>
      <x:c r="C225" s="85" t="n">
        <x:v>0</x:v>
      </x:c>
      <x:c r="D225" s="85" t="n">
        <x:v>1</x:v>
      </x:c>
      <x:c r="E225" s="85" t="n">
        <x:v>0</x:v>
      </x:c>
      <x:c r="F225" s="85" t="n">
        <x:v>1</x:v>
      </x:c>
      <x:c r="G225" s="85" t="n">
        <x:v>0</x:v>
      </x:c>
      <x:c r="H225" s="85" t="n">
        <x:v>0</x:v>
      </x:c>
      <x:c r="I225" s="85" t="n">
        <x:v>0</x:v>
      </x:c>
      <x:c r="J225" s="85" t="n">
        <x:v>0</x:v>
      </x:c>
      <x:c r="K225" s="85" t="n">
        <x:v>0</x:v>
      </x:c>
      <x:c r="L225" s="85" t="n">
        <x:v>0</x:v>
      </x:c>
      <x:c r="M225" s="85" t="n">
        <x:v>0</x:v>
      </x:c>
      <x:c r="N225" s="85" t="n">
        <x:v>5</x:v>
      </x:c>
      <x:c r="O225" s="85" t="n">
        <x:v>0</x:v>
      </x:c>
      <x:c r="P225" s="85" t="n">
        <x:v>0</x:v>
      </x:c>
      <x:c r="Q225" s="85" t="n">
        <x:v>0</x:v>
      </x:c>
    </x:row>
    <x:row r="226" ht="22" customHeight="1">
      <x:c r="A226" s="85" t="n">
        <x:v>222</x:v>
      </x:c>
      <x:c r="B226" s="82" t="str">
        <x:v>Denis Menchov</x:v>
      </x:c>
      <x:c r="C226" s="85" t="n">
        <x:v>0</x:v>
      </x:c>
      <x:c r="D226" s="85" t="n">
        <x:v>1</x:v>
      </x:c>
      <x:c r="E226" s="85" t="n">
        <x:v>0</x:v>
      </x:c>
      <x:c r="F226" s="85" t="n">
        <x:v>0</x:v>
      </x:c>
      <x:c r="G226" s="85" t="n">
        <x:v>1</x:v>
      </x:c>
      <x:c r="H226" s="85" t="n">
        <x:v>1</x:v>
      </x:c>
      <x:c r="I226" s="85" t="n">
        <x:v>2</x:v>
      </x:c>
      <x:c r="J226" s="85" t="n">
        <x:v>1</x:v>
      </x:c>
      <x:c r="K226" s="85" t="n">
        <x:v>0</x:v>
      </x:c>
      <x:c r="L226" s="85" t="n">
        <x:v>0</x:v>
      </x:c>
      <x:c r="M226" s="85" t="n">
        <x:v>1</x:v>
      </x:c>
      <x:c r="N226" s="85" t="n">
        <x:v>5</x:v>
      </x:c>
      <x:c r="O226" s="85" t="n">
        <x:v>0</x:v>
      </x:c>
      <x:c r="P226" s="85" t="n">
        <x:v>1</x:v>
      </x:c>
      <x:c r="Q226" s="85" t="n">
        <x:v>0</x:v>
      </x:c>
    </x:row>
    <x:row r="227" ht="22" customHeight="1">
      <x:c r="A227" s="85" t="n">
        <x:v>223</x:v>
      </x:c>
      <x:c r="B227" s="82" t="str">
        <x:v>Roberto Heras</x:v>
      </x:c>
      <x:c r="C227" s="85" t="n">
        <x:v>0</x:v>
      </x:c>
      <x:c r="D227" s="85" t="n">
        <x:v>0</x:v>
      </x:c>
      <x:c r="E227" s="85" t="n">
        <x:v>0</x:v>
      </x:c>
      <x:c r="F227" s="85" t="n">
        <x:v>0</x:v>
      </x:c>
      <x:c r="G227" s="85" t="n">
        <x:v>0</x:v>
      </x:c>
      <x:c r="H227" s="85" t="n">
        <x:v>0</x:v>
      </x:c>
      <x:c r="I227" s="85" t="n">
        <x:v>1</x:v>
      </x:c>
      <x:c r="J227" s="85" t="n">
        <x:v>0</x:v>
      </x:c>
      <x:c r="K227" s="85" t="n">
        <x:v>0</x:v>
      </x:c>
      <x:c r="L227" s="85" t="n">
        <x:v>0</x:v>
      </x:c>
      <x:c r="M227" s="85" t="n">
        <x:v>4</x:v>
      </x:c>
      <x:c r="N227" s="85" t="n">
        <x:v>10</x:v>
      </x:c>
      <x:c r="O227" s="85" t="n">
        <x:v>1</x:v>
      </x:c>
      <x:c r="P227" s="85" t="n">
        <x:v>0</x:v>
      </x:c>
      <x:c r="Q227" s="85" t="n">
        <x:v>0</x:v>
      </x:c>
    </x:row>
    <x:row r="228" ht="22" customHeight="1">
      <x:c r="A228" s="85" t="n">
        <x:v>224</x:v>
      </x:c>
      <x:c r="B228" s="82" t="str">
        <x:v>Alex Zulle</x:v>
      </x:c>
      <x:c r="C228" s="85" t="n">
        <x:v>0</x:v>
      </x:c>
      <x:c r="D228" s="85" t="n">
        <x:v>2</x:v>
      </x:c>
      <x:c r="E228" s="85" t="n">
        <x:v>0</x:v>
      </x:c>
      <x:c r="F228" s="85" t="n">
        <x:v>0</x:v>
      </x:c>
      <x:c r="G228" s="85" t="n">
        <x:v>0</x:v>
      </x:c>
      <x:c r="H228" s="85" t="n">
        <x:v>0</x:v>
      </x:c>
      <x:c r="I228" s="85" t="n">
        <x:v>3</x:v>
      </x:c>
      <x:c r="J228" s="85" t="n">
        <x:v>0</x:v>
      </x:c>
      <x:c r="K228" s="85" t="n">
        <x:v>0</x:v>
      </x:c>
      <x:c r="L228" s="85" t="n">
        <x:v>0</x:v>
      </x:c>
      <x:c r="M228" s="85" t="n">
        <x:v>2</x:v>
      </x:c>
      <x:c r="N228" s="85" t="n">
        <x:v>9</x:v>
      </x:c>
      <x:c r="O228" s="85" t="n">
        <x:v>0</x:v>
      </x:c>
      <x:c r="P228" s="85" t="n">
        <x:v>0</x:v>
      </x:c>
      <x:c r="Q228" s="85" t="n">
        <x:v>0</x:v>
      </x:c>
    </x:row>
    <x:row r="229" ht="22" customHeight="1">
      <x:c r="A229" s="85" t="n">
        <x:v>225</x:v>
      </x:c>
      <x:c r="B229" s="82" t="str">
        <x:v>Gilberto Simoni</x:v>
      </x:c>
      <x:c r="C229" s="85" t="n">
        <x:v>0</x:v>
      </x:c>
      <x:c r="D229" s="85" t="n">
        <x:v>1</x:v>
      </x:c>
      <x:c r="E229" s="85" t="n">
        <x:v>0</x:v>
      </x:c>
      <x:c r="F229" s="85" t="n">
        <x:v>0</x:v>
      </x:c>
      <x:c r="G229" s="85" t="n">
        <x:v>0</x:v>
      </x:c>
      <x:c r="H229" s="85" t="n">
        <x:v>2</x:v>
      </x:c>
      <x:c r="I229" s="85" t="n">
        <x:v>8</x:v>
      </x:c>
      <x:c r="J229" s="85" t="n">
        <x:v>1</x:v>
      </x:c>
      <x:c r="K229" s="85" t="n">
        <x:v>0</x:v>
      </x:c>
      <x:c r="L229" s="85" t="n">
        <x:v>0</x:v>
      </x:c>
      <x:c r="M229" s="85" t="n">
        <x:v>0</x:v>
      </x:c>
      <x:c r="N229" s="85" t="n">
        <x:v>2</x:v>
      </x:c>
      <x:c r="O229" s="85" t="n">
        <x:v>0</x:v>
      </x:c>
      <x:c r="P229" s="85" t="n">
        <x:v>0</x:v>
      </x:c>
      <x:c r="Q229" s="85" t="n">
        <x:v>0</x:v>
      </x:c>
    </x:row>
    <x:row r="230" ht="22" customHeight="1">
      <x:c r="A230" s="85" t="n">
        <x:v>226</x:v>
      </x:c>
      <x:c r="B230" s="82" t="str">
        <x:v>Pavel Tonkov</x:v>
      </x:c>
      <x:c r="C230" s="85" t="n">
        <x:v>0</x:v>
      </x:c>
      <x:c r="D230" s="85" t="n">
        <x:v>0</x:v>
      </x:c>
      <x:c r="E230" s="85" t="n">
        <x:v>0</x:v>
      </x:c>
      <x:c r="F230" s="85" t="n">
        <x:v>0</x:v>
      </x:c>
      <x:c r="G230" s="85" t="n">
        <x:v>0</x:v>
      </x:c>
      <x:c r="H230" s="85" t="n">
        <x:v>1</x:v>
      </x:c>
      <x:c r="I230" s="85" t="n">
        <x:v>7</x:v>
      </x:c>
      <x:c r="J230" s="85" t="n">
        <x:v>0</x:v>
      </x:c>
      <x:c r="K230" s="85" t="n">
        <x:v>0</x:v>
      </x:c>
      <x:c r="L230" s="85" t="n">
        <x:v>2</x:v>
      </x:c>
      <x:c r="M230" s="85" t="n">
        <x:v>0</x:v>
      </x:c>
      <x:c r="N230" s="85" t="n">
        <x:v>2</x:v>
      </x:c>
      <x:c r="O230" s="85" t="n">
        <x:v>0</x:v>
      </x:c>
      <x:c r="P230" s="85" t="n">
        <x:v>0</x:v>
      </x:c>
      <x:c r="Q230" s="85" t="n">
        <x:v>0</x:v>
      </x:c>
    </x:row>
    <x:row r="231" ht="22" customHeight="1">
      <x:c r="A231" s="85" t="n">
        <x:v>227</x:v>
      </x:c>
      <x:c r="B231" s="82" t="str">
        <x:v>Evgeni Berzin</x:v>
      </x:c>
      <x:c r="C231" s="85" t="n">
        <x:v>0</x:v>
      </x:c>
      <x:c r="D231" s="85" t="n">
        <x:v>0</x:v>
      </x:c>
      <x:c r="E231" s="85" t="n">
        <x:v>0</x:v>
      </x:c>
      <x:c r="F231" s="85" t="n">
        <x:v>0</x:v>
      </x:c>
      <x:c r="G231" s="85" t="n">
        <x:v>0</x:v>
      </x:c>
      <x:c r="H231" s="85" t="n">
        <x:v>1</x:v>
      </x:c>
      <x:c r="I231" s="85" t="n">
        <x:v>5</x:v>
      </x:c>
      <x:c r="J231" s="85" t="n">
        <x:v>0</x:v>
      </x:c>
      <x:c r="K231" s="85" t="n">
        <x:v>0</x:v>
      </x:c>
      <x:c r="L231" s="85" t="n">
        <x:v>0</x:v>
      </x:c>
      <x:c r="M231" s="85" t="n">
        <x:v>0</x:v>
      </x:c>
      <x:c r="N231" s="85" t="n">
        <x:v>0</x:v>
      </x:c>
      <x:c r="O231" s="85" t="n">
        <x:v>0</x:v>
      </x:c>
      <x:c r="P231" s="85" t="n">
        <x:v>0</x:v>
      </x:c>
      <x:c r="Q231" s="85" t="n">
        <x:v>0</x:v>
      </x:c>
    </x:row>
    <x:row r="232" ht="22" customHeight="1">
      <x:c r="A232" s="85" t="n">
        <x:v>228</x:v>
      </x:c>
      <x:c r="B232" s="82" t="str">
        <x:v>Danilo Di Luca</x:v>
      </x:c>
      <x:c r="C232" s="85" t="n">
        <x:v>0</x:v>
      </x:c>
      <x:c r="D232" s="85" t="n">
        <x:v>0</x:v>
      </x:c>
      <x:c r="E232" s="85" t="n">
        <x:v>0</x:v>
      </x:c>
      <x:c r="F232" s="85" t="n">
        <x:v>0</x:v>
      </x:c>
      <x:c r="G232" s="85" t="n">
        <x:v>0</x:v>
      </x:c>
      <x:c r="H232" s="85" t="n">
        <x:v>1</x:v>
      </x:c>
      <x:c r="I232" s="85" t="n">
        <x:v>7</x:v>
      </x:c>
      <x:c r="J232" s="85" t="n">
        <x:v>0</x:v>
      </x:c>
      <x:c r="K232" s="85" t="n">
        <x:v>0</x:v>
      </x:c>
      <x:c r="L232" s="85" t="n">
        <x:v>0</x:v>
      </x:c>
      <x:c r="M232" s="85" t="n">
        <x:v>0</x:v>
      </x:c>
      <x:c r="N232" s="85" t="n">
        <x:v>2</x:v>
      </x:c>
      <x:c r="O232" s="85" t="n">
        <x:v>0</x:v>
      </x:c>
      <x:c r="P232" s="85" t="n">
        <x:v>0</x:v>
      </x:c>
      <x:c r="Q232" s="85" t="n">
        <x:v>0</x:v>
      </x:c>
    </x:row>
    <x:row r="233" ht="22" customHeight="1">
      <x:c r="A233" s="85" t="n">
        <x:v>229</x:v>
      </x:c>
      <x:c r="B233" s="82" t="str">
        <x:v>Chris Horner</x:v>
      </x:c>
      <x:c r="C233" s="85" t="n">
        <x:v>0</x:v>
      </x:c>
      <x:c r="D233" s="85" t="n">
        <x:v>0</x:v>
      </x:c>
      <x:c r="E233" s="85" t="n">
        <x:v>0</x:v>
      </x:c>
      <x:c r="F233" s="85" t="n">
        <x:v>0</x:v>
      </x:c>
      <x:c r="G233" s="85" t="n">
        <x:v>0</x:v>
      </x:c>
      <x:c r="H233" s="85" t="n">
        <x:v>0</x:v>
      </x:c>
      <x:c r="I233" s="85" t="n">
        <x:v>0</x:v>
      </x:c>
      <x:c r="J233" s="85" t="n">
        <x:v>0</x:v>
      </x:c>
      <x:c r="K233" s="85" t="n">
        <x:v>0</x:v>
      </x:c>
      <x:c r="L233" s="85" t="n">
        <x:v>0</x:v>
      </x:c>
      <x:c r="M233" s="85" t="n">
        <x:v>1</x:v>
      </x:c>
      <x:c r="N233" s="85" t="n">
        <x:v>2</x:v>
      </x:c>
      <x:c r="O233" s="85" t="n">
        <x:v>0</x:v>
      </x:c>
      <x:c r="P233" s="85" t="n">
        <x:v>0</x:v>
      </x:c>
      <x:c r="Q233" s="85" t="n">
        <x:v>0</x:v>
      </x:c>
    </x:row>
    <x:row r="234" ht="22" customHeight="1">
      <x:c r="A234" s="85" t="n">
        <x:v>230</x:v>
      </x:c>
      <x:c r="B234" s="82" t="str">
        <x:v>Iban Mayo</x:v>
      </x:c>
      <x:c r="C234" s="85" t="n">
        <x:v>0</x:v>
      </x:c>
      <x:c r="D234" s="85" t="n">
        <x:v>1</x:v>
      </x:c>
      <x:c r="E234" s="85" t="n">
        <x:v>0</x:v>
      </x:c>
      <x:c r="F234" s="85" t="n">
        <x:v>0</x:v>
      </x:c>
      <x:c r="G234" s="85" t="n">
        <x:v>0</x:v>
      </x:c>
      <x:c r="H234" s="85" t="n">
        <x:v>0</x:v>
      </x:c>
      <x:c r="I234" s="85" t="n">
        <x:v>1</x:v>
      </x:c>
      <x:c r="J234" s="85" t="n">
        <x:v>0</x:v>
      </x:c>
      <x:c r="K234" s="85" t="n">
        <x:v>0</x:v>
      </x:c>
      <x:c r="L234" s="85" t="n">
        <x:v>0</x:v>
      </x:c>
      <x:c r="M234" s="85" t="n">
        <x:v>0</x:v>
      </x:c>
      <x:c r="N234" s="85" t="n">
        <x:v>0</x:v>
      </x:c>
      <x:c r="O234" s="85" t="n">
        <x:v>0</x:v>
      </x:c>
      <x:c r="P234" s="85" t="n">
        <x:v>0</x:v>
      </x:c>
      <x:c r="Q234" s="85" t="n">
        <x:v>0</x:v>
      </x:c>
    </x:row>
    <x:row r="235" ht="22" customHeight="1">
      <x:c r="A235" s="85" t="n">
        <x:v>231</x:v>
      </x:c>
      <x:c r="B235" s="82" t="str">
        <x:v>Jose Rujano</x:v>
      </x:c>
      <x:c r="C235" s="85" t="n">
        <x:v>0</x:v>
      </x:c>
      <x:c r="D235" s="85" t="n">
        <x:v>0</x:v>
      </x:c>
      <x:c r="E235" s="85" t="n">
        <x:v>0</x:v>
      </x:c>
      <x:c r="F235" s="85" t="n">
        <x:v>0</x:v>
      </x:c>
      <x:c r="G235" s="85" t="n">
        <x:v>0</x:v>
      </x:c>
      <x:c r="H235" s="85" t="n">
        <x:v>0</x:v>
      </x:c>
      <x:c r="I235" s="85" t="n">
        <x:v>2</x:v>
      </x:c>
      <x:c r="J235" s="85" t="n">
        <x:v>0</x:v>
      </x:c>
      <x:c r="K235" s="85" t="n">
        <x:v>1</x:v>
      </x:c>
      <x:c r="L235" s="85" t="n">
        <x:v>0</x:v>
      </x:c>
      <x:c r="M235" s="85" t="n">
        <x:v>0</x:v>
      </x:c>
      <x:c r="N235" s="85" t="n">
        <x:v>0</x:v>
      </x:c>
      <x:c r="O235" s="85" t="n">
        <x:v>0</x:v>
      </x:c>
      <x:c r="P235" s="85" t="n">
        <x:v>0</x:v>
      </x:c>
      <x:c r="Q235" s="85" t="n">
        <x:v>0</x:v>
      </x:c>
    </x:row>
    <x:row r="236" ht="22" customHeight="1">
      <x:c r="A236" s="85" t="n">
        <x:v>232</x:v>
      </x:c>
      <x:c r="B236" s="82" t="str">
        <x:v>Michael Rasmussen</x:v>
      </x:c>
      <x:c r="C236" s="85" t="n">
        <x:v>0</x:v>
      </x:c>
      <x:c r="D236" s="85" t="n">
        <x:v>4</x:v>
      </x:c>
      <x:c r="E236" s="85" t="n">
        <x:v>0</x:v>
      </x:c>
      <x:c r="F236" s="85" t="n">
        <x:v>2</x:v>
      </x:c>
      <x:c r="G236" s="85" t="n">
        <x:v>0</x:v>
      </x:c>
      <x:c r="H236" s="85" t="n">
        <x:v>0</x:v>
      </x:c>
      <x:c r="I236" s="85" t="n">
        <x:v>0</x:v>
      </x:c>
      <x:c r="J236" s="85" t="n">
        <x:v>0</x:v>
      </x:c>
      <x:c r="K236" s="85" t="n">
        <x:v>0</x:v>
      </x:c>
      <x:c r="L236" s="85" t="n">
        <x:v>0</x:v>
      </x:c>
      <x:c r="M236" s="85" t="n">
        <x:v>0</x:v>
      </x:c>
      <x:c r="N236" s="85" t="n">
        <x:v>1</x:v>
      </x:c>
      <x:c r="O236" s="85" t="n">
        <x:v>0</x:v>
      </x:c>
      <x:c r="P236" s="85" t="n">
        <x:v>0</x:v>
      </x:c>
      <x:c r="Q236" s="85" t="n">
        <x:v>0</x:v>
      </x:c>
    </x:row>
    <x:row r="237" ht="22" customHeight="1">
      <x:c r="A237" s="85" t="n">
        <x:v>233</x:v>
      </x:c>
      <x:c r="B237" s="82" t="str">
        <x:v>Isaac del Toro</x:v>
      </x:c>
      <x:c r="C237" s="85" t="n">
        <x:v>0</x:v>
      </x:c>
      <x:c r="D237" s="85" t="n">
        <x:v>0</x:v>
      </x:c>
      <x:c r="E237" s="85" t="n">
        <x:v>0</x:v>
      </x:c>
      <x:c r="F237" s="85" t="n">
        <x:v>0</x:v>
      </x:c>
      <x:c r="G237" s="85" t="n">
        <x:v>0</x:v>
      </x:c>
      <x:c r="H237" s="85" t="n">
        <x:v>0</x:v>
      </x:c>
      <x:c r="I237" s="85" t="n">
        <x:v>1</x:v>
      </x:c>
      <x:c r="J237" s="85" t="n">
        <x:v>0</x:v>
      </x:c>
      <x:c r="K237" s="85" t="n">
        <x:v>0</x:v>
      </x:c>
      <x:c r="L237" s="85" t="n">
        <x:v>1</x:v>
      </x:c>
      <x:c r="M237" s="85" t="n">
        <x:v>0</x:v>
      </x:c>
      <x:c r="N237" s="85" t="n">
        <x:v>0</x:v>
      </x:c>
      <x:c r="O237" s="85" t="n">
        <x:v>0</x:v>
      </x:c>
      <x:c r="P237" s="85" t="n">
        <x:v>0</x:v>
      </x:c>
      <x:c r="Q237" s="85" t="n">
        <x:v>0</x:v>
      </x:c>
    </x:row>
    <x:row r="238" ht="22" customHeight="1">
      <x:c r="A238" s="85" t="n">
        <x:v>234</x:v>
      </x:c>
      <x:c r="B238" s="82" t="str">
        <x:v>Paul Seixas</x:v>
      </x:c>
      <x:c r="C238" s="85" t="n">
        <x:v>0</x:v>
      </x:c>
      <x:c r="D238" s="85" t="n">
        <x:v>0</x:v>
      </x:c>
      <x:c r="E238" s="85" t="n">
        <x:v>0</x:v>
      </x:c>
      <x:c r="F238" s="85" t="n">
        <x:v>0</x:v>
      </x:c>
      <x:c r="G238" s="85" t="n">
        <x:v>0</x:v>
      </x:c>
      <x:c r="H238" s="85" t="n">
        <x:v>0</x:v>
      </x:c>
      <x:c r="I238" s="85" t="n">
        <x:v>0</x:v>
      </x:c>
      <x:c r="J238" s="85" t="n">
        <x:v>0</x:v>
      </x:c>
      <x:c r="K238" s="85" t="n">
        <x:v>0</x:v>
      </x:c>
      <x:c r="L238" s="85" t="n">
        <x:v>0</x:v>
      </x:c>
      <x:c r="M238" s="85" t="n">
        <x:v>0</x:v>
      </x:c>
      <x:c r="N238" s="85" t="n">
        <x:v>0</x:v>
      </x:c>
      <x:c r="O238" s="85" t="n">
        <x:v>0</x:v>
      </x:c>
      <x:c r="P238" s="85" t="n">
        <x:v>0</x:v>
      </x:c>
      <x:c r="Q238" s="85" t="n">
        <x:v>0</x:v>
      </x:c>
    </x:row>
    <x:row r="239" ht="22" customHeight="1">
      <x:c r="A239" s="85" t="n">
        <x:v>235</x:v>
      </x:c>
      <x:c r="B239" s="82" t="str">
        <x:v>Giulio Pellizzari</x:v>
      </x:c>
      <x:c r="C239" s="85" t="n">
        <x:v>0</x:v>
      </x:c>
      <x:c r="D239" s="85" t="n">
        <x:v>0</x:v>
      </x:c>
      <x:c r="E239" s="85" t="n">
        <x:v>0</x:v>
      </x:c>
      <x:c r="F239" s="85" t="n">
        <x:v>0</x:v>
      </x:c>
      <x:c r="G239" s="85" t="n">
        <x:v>0</x:v>
      </x:c>
      <x:c r="H239" s="85" t="n">
        <x:v>0</x:v>
      </x:c>
      <x:c r="I239" s="85" t="n">
        <x:v>0</x:v>
      </x:c>
      <x:c r="J239" s="85" t="n">
        <x:v>0</x:v>
      </x:c>
      <x:c r="K239" s="85" t="n">
        <x:v>0</x:v>
      </x:c>
      <x:c r="L239" s="85" t="n">
        <x:v>0</x:v>
      </x:c>
      <x:c r="M239" s="85" t="n">
        <x:v>0</x:v>
      </x:c>
      <x:c r="N239" s="85" t="n">
        <x:v>1</x:v>
      </x:c>
      <x:c r="O239" s="85" t="n">
        <x:v>0</x:v>
      </x:c>
      <x:c r="P239" s="85" t="n">
        <x:v>0</x:v>
      </x:c>
      <x:c r="Q239" s="85" t="n">
        <x:v>0</x:v>
      </x:c>
    </x:row>
    <x:row r="240" ht="22" customHeight="1">
      <x:c r="A240" s="85" t="n">
        <x:v>236</x:v>
      </x:c>
      <x:c r="B240" s="82" t="str">
        <x:v>Antonio Tiberi</x:v>
      </x:c>
      <x:c r="C240" s="85" t="n">
        <x:v>0</x:v>
      </x:c>
      <x:c r="D240" s="85" t="n">
        <x:v>0</x:v>
      </x:c>
      <x:c r="E240" s="85" t="n">
        <x:v>0</x:v>
      </x:c>
      <x:c r="F240" s="85" t="n">
        <x:v>0</x:v>
      </x:c>
      <x:c r="G240" s="85" t="n">
        <x:v>0</x:v>
      </x:c>
      <x:c r="H240" s="85" t="n">
        <x:v>0</x:v>
      </x:c>
      <x:c r="I240" s="85" t="n">
        <x:v>0</x:v>
      </x:c>
      <x:c r="J240" s="85" t="n">
        <x:v>0</x:v>
      </x:c>
      <x:c r="K240" s="85" t="n">
        <x:v>0</x:v>
      </x:c>
      <x:c r="L240" s="85" t="n">
        <x:v>1</x:v>
      </x:c>
      <x:c r="M240" s="85" t="n">
        <x:v>0</x:v>
      </x:c>
      <x:c r="N240" s="85" t="n">
        <x:v>0</x:v>
      </x:c>
      <x:c r="O240" s="85" t="n">
        <x:v>0</x:v>
      </x:c>
      <x:c r="P240" s="85" t="n">
        <x:v>0</x:v>
      </x:c>
      <x:c r="Q240" s="85" t="n">
        <x:v>0</x:v>
      </x:c>
    </x:row>
    <x:row r="241" ht="22" customHeight="1">
      <x:c r="A241" s="85" t="n">
        <x:v>237</x:v>
      </x:c>
      <x:c r="B241" s="82" t="str">
        <x:v>Florian Lipowitz</x:v>
      </x:c>
      <x:c r="C241" s="85" t="n">
        <x:v>0</x:v>
      </x:c>
      <x:c r="D241" s="85" t="n">
        <x:v>0</x:v>
      </x:c>
      <x:c r="E241" s="85" t="n">
        <x:v>0</x:v>
      </x:c>
      <x:c r="F241" s="85" t="n">
        <x:v>0</x:v>
      </x:c>
      <x:c r="G241" s="85" t="n">
        <x:v>1</x:v>
      </x:c>
      <x:c r="H241" s="85" t="n">
        <x:v>0</x:v>
      </x:c>
      <x:c r="I241" s="85" t="n">
        <x:v>0</x:v>
      </x:c>
      <x:c r="J241" s="85" t="n">
        <x:v>0</x:v>
      </x:c>
      <x:c r="K241" s="85" t="n">
        <x:v>0</x:v>
      </x:c>
      <x:c r="L241" s="85" t="n">
        <x:v>0</x:v>
      </x:c>
      <x:c r="M241" s="85" t="n">
        <x:v>0</x:v>
      </x:c>
      <x:c r="N241" s="85" t="n">
        <x:v>0</x:v>
      </x:c>
      <x:c r="O241" s="85" t="n">
        <x:v>0</x:v>
      </x:c>
      <x:c r="P241" s="85" t="n">
        <x:v>0</x:v>
      </x:c>
      <x:c r="Q241" s="85" t="n">
        <x:v>0</x:v>
      </x:c>
    </x:row>
    <x:row r="242" ht="22" customHeight="1">
      <x:c r="A242" s="85" t="n">
        <x:v>238</x:v>
      </x:c>
      <x:c r="B242" s="82" t="str">
        <x:v>Lenny Martinez</x:v>
      </x:c>
      <x:c r="C242" s="85" t="n">
        <x:v>0</x:v>
      </x:c>
      <x:c r="D242" s="85" t="n">
        <x:v>0</x:v>
      </x:c>
      <x:c r="E242" s="85" t="n">
        <x:v>0</x:v>
      </x:c>
      <x:c r="F242" s="85" t="n">
        <x:v>0</x:v>
      </x:c>
      <x:c r="G242" s="85" t="n">
        <x:v>0</x:v>
      </x:c>
      <x:c r="H242" s="85" t="n">
        <x:v>0</x:v>
      </x:c>
      <x:c r="I242" s="85" t="n">
        <x:v>0</x:v>
      </x:c>
      <x:c r="J242" s="85" t="n">
        <x:v>0</x:v>
      </x:c>
      <x:c r="K242" s="85" t="n">
        <x:v>0</x:v>
      </x:c>
      <x:c r="L242" s="85" t="n">
        <x:v>0</x:v>
      </x:c>
      <x:c r="M242" s="85" t="n">
        <x:v>0</x:v>
      </x:c>
      <x:c r="N242" s="85" t="n">
        <x:v>0</x:v>
      </x:c>
      <x:c r="O242" s="85" t="n">
        <x:v>0</x:v>
      </x:c>
      <x:c r="P242" s="85" t="n">
        <x:v>0</x:v>
      </x:c>
      <x:c r="Q242" s="85" t="n">
        <x:v>0</x:v>
      </x:c>
    </x:row>
    <x:row r="243" ht="22" customHeight="1">
      <x:c r="A243" s="85" t="n">
        <x:v>239</x:v>
      </x:c>
      <x:c r="B243" s="82" t="str">
        <x:v>Mattias Skjelmose</x:v>
      </x:c>
      <x:c r="C243" s="85" t="n">
        <x:v>0</x:v>
      </x:c>
      <x:c r="D243" s="85" t="n">
        <x:v>0</x:v>
      </x:c>
      <x:c r="E243" s="85" t="n">
        <x:v>0</x:v>
      </x:c>
      <x:c r="F243" s="85" t="n">
        <x:v>0</x:v>
      </x:c>
      <x:c r="G243" s="85" t="n">
        <x:v>0</x:v>
      </x:c>
      <x:c r="H243" s="85" t="n">
        <x:v>0</x:v>
      </x:c>
      <x:c r="I243" s="85" t="n">
        <x:v>0</x:v>
      </x:c>
      <x:c r="J243" s="85" t="n">
        <x:v>0</x:v>
      </x:c>
      <x:c r="K243" s="85" t="n">
        <x:v>0</x:v>
      </x:c>
      <x:c r="L243" s="85" t="n">
        <x:v>0</x:v>
      </x:c>
      <x:c r="M243" s="85" t="n">
        <x:v>0</x:v>
      </x:c>
      <x:c r="N243" s="85" t="n">
        <x:v>0</x:v>
      </x:c>
      <x:c r="O243" s="85" t="n">
        <x:v>0</x:v>
      </x:c>
      <x:c r="P243" s="85" t="n">
        <x:v>0</x:v>
      </x:c>
      <x:c r="Q243" s="85" t="n">
        <x:v>1</x:v>
      </x:c>
    </x:row>
    <x:row r="244" ht="22" customHeight="1">
      <x:c r="A244" s="85" t="n">
        <x:v>240</x:v>
      </x:c>
      <x:c r="B244" s="82" t="str">
        <x:v>Oscar Onley</x:v>
      </x:c>
      <x:c r="C244" s="85" t="n">
        <x:v>0</x:v>
      </x:c>
      <x:c r="D244" s="85" t="n">
        <x:v>0</x:v>
      </x:c>
      <x:c r="E244" s="85" t="n">
        <x:v>0</x:v>
      </x:c>
      <x:c r="F244" s="85" t="n">
        <x:v>0</x:v>
      </x:c>
      <x:c r="G244" s="85" t="n">
        <x:v>0</x:v>
      </x:c>
      <x:c r="H244" s="85" t="n">
        <x:v>0</x:v>
      </x:c>
      <x:c r="I244" s="85" t="n">
        <x:v>0</x:v>
      </x:c>
      <x:c r="J244" s="85" t="n">
        <x:v>0</x:v>
      </x:c>
      <x:c r="K244" s="85" t="n">
        <x:v>0</x:v>
      </x:c>
      <x:c r="L244" s="85" t="n">
        <x:v>0</x:v>
      </x:c>
      <x:c r="M244" s="85" t="n">
        <x:v>0</x:v>
      </x:c>
      <x:c r="N244" s="85" t="n">
        <x:v>0</x:v>
      </x:c>
      <x:c r="O244" s="85" t="n">
        <x:v>0</x:v>
      </x:c>
      <x:c r="P244" s="85" t="n">
        <x:v>0</x:v>
      </x:c>
      <x:c r="Q244" s="85" t="n">
        <x:v>0</x:v>
      </x:c>
    </x:row>
    <x:row r="245" ht="22" customHeight="1">
      <x:c r="A245" s="85" t="n">
        <x:v>241</x:v>
      </x:c>
      <x:c r="B245" s="82" t="str">
        <x:v>Oscar Freire</x:v>
      </x:c>
      <x:c r="C245" s="85" t="n">
        <x:v>0</x:v>
      </x:c>
      <x:c r="D245" s="85" t="n">
        <x:v>4</x:v>
      </x:c>
      <x:c r="E245" s="85" t="n">
        <x:v>1</x:v>
      </x:c>
      <x:c r="F245" s="85" t="n">
        <x:v>0</x:v>
      </x:c>
      <x:c r="G245" s="85" t="n">
        <x:v>0</x:v>
      </x:c>
      <x:c r="H245" s="85" t="n">
        <x:v>0</x:v>
      </x:c>
      <x:c r="I245" s="85" t="n">
        <x:v>0</x:v>
      </x:c>
      <x:c r="J245" s="85" t="n">
        <x:v>0</x:v>
      </x:c>
      <x:c r="K245" s="85" t="n">
        <x:v>0</x:v>
      </x:c>
      <x:c r="L245" s="85" t="n">
        <x:v>0</x:v>
      </x:c>
      <x:c r="M245" s="85" t="n">
        <x:v>0</x:v>
      </x:c>
      <x:c r="N245" s="85" t="n">
        <x:v>7</x:v>
      </x:c>
      <x:c r="O245" s="85" t="n">
        <x:v>0</x:v>
      </x:c>
      <x:c r="P245" s="85" t="n">
        <x:v>0</x:v>
      </x:c>
      <x:c r="Q245" s="85" t="n">
        <x:v>0</x:v>
      </x:c>
    </x:row>
    <x:row r="246" ht="22" customHeight="1">
      <x:c r="A246" s="85" t="n">
        <x:v>242</x:v>
      </x:c>
      <x:c r="B246" s="82" t="str">
        <x:v>Thor Hushovd</x:v>
      </x:c>
      <x:c r="C246" s="85" t="n">
        <x:v>0</x:v>
      </x:c>
      <x:c r="D246" s="85" t="n">
        <x:v>10</x:v>
      </x:c>
      <x:c r="E246" s="85" t="n">
        <x:v>2</x:v>
      </x:c>
      <x:c r="F246" s="85" t="n">
        <x:v>0</x:v>
      </x:c>
      <x:c r="G246" s="85" t="n">
        <x:v>0</x:v>
      </x:c>
      <x:c r="H246" s="85" t="n">
        <x:v>0</x:v>
      </x:c>
      <x:c r="I246" s="85" t="n">
        <x:v>0</x:v>
      </x:c>
      <x:c r="J246" s="85" t="n">
        <x:v>0</x:v>
      </x:c>
      <x:c r="K246" s="85" t="n">
        <x:v>0</x:v>
      </x:c>
      <x:c r="L246" s="85" t="n">
        <x:v>0</x:v>
      </x:c>
      <x:c r="M246" s="85" t="n">
        <x:v>0</x:v>
      </x:c>
      <x:c r="N246" s="85" t="n">
        <x:v>3</x:v>
      </x:c>
      <x:c r="O246" s="85" t="n">
        <x:v>1</x:v>
      </x:c>
      <x:c r="P246" s="85" t="n">
        <x:v>0</x:v>
      </x:c>
      <x:c r="Q246" s="85" t="n">
        <x:v>0</x:v>
      </x:c>
    </x:row>
    <x:row r="247" ht="22" customHeight="1">
      <x:c r="A247" s="85" t="n">
        <x:v>243</x:v>
      </x:c>
      <x:c r="B247" s="82" t="str">
        <x:v>Alexander Kristoff</x:v>
      </x:c>
      <x:c r="C247" s="85" t="n">
        <x:v>0</x:v>
      </x:c>
      <x:c r="D247" s="85" t="n">
        <x:v>4</x:v>
      </x:c>
      <x:c r="E247" s="85" t="n">
        <x:v>0</x:v>
      </x:c>
      <x:c r="F247" s="85" t="n">
        <x:v>0</x:v>
      </x:c>
      <x:c r="G247" s="85" t="n">
        <x:v>0</x:v>
      </x:c>
      <x:c r="H247" s="85" t="n">
        <x:v>0</x:v>
      </x:c>
      <x:c r="I247" s="85" t="n">
        <x:v>0</x:v>
      </x:c>
      <x:c r="J247" s="85" t="n">
        <x:v>0</x:v>
      </x:c>
      <x:c r="K247" s="85" t="n">
        <x:v>0</x:v>
      </x:c>
      <x:c r="L247" s="85" t="n">
        <x:v>0</x:v>
      </x:c>
      <x:c r="M247" s="85" t="n">
        <x:v>0</x:v>
      </x:c>
      <x:c r="N247" s="85" t="n">
        <x:v>0</x:v>
      </x:c>
      <x:c r="O247" s="85" t="n">
        <x:v>0</x:v>
      </x:c>
      <x:c r="P247" s="85" t="n">
        <x:v>0</x:v>
      </x:c>
      <x:c r="Q247" s="85" t="n">
        <x:v>0</x:v>
      </x:c>
    </x:row>
    <x:row r="248" ht="22" customHeight="1">
      <x:c r="A248" s="85" t="n">
        <x:v>244</x:v>
      </x:c>
      <x:c r="B248" s="82" t="str">
        <x:v>Arnaud Demare</x:v>
      </x:c>
      <x:c r="C248" s="85" t="n">
        <x:v>0</x:v>
      </x:c>
      <x:c r="D248" s="85" t="n">
        <x:v>2</x:v>
      </x:c>
      <x:c r="E248" s="85" t="n">
        <x:v>0</x:v>
      </x:c>
      <x:c r="F248" s="85" t="n">
        <x:v>0</x:v>
      </x:c>
      <x:c r="G248" s="85" t="n">
        <x:v>0</x:v>
      </x:c>
      <x:c r="H248" s="85" t="n">
        <x:v>0</x:v>
      </x:c>
      <x:c r="I248" s="85" t="n">
        <x:v>8</x:v>
      </x:c>
      <x:c r="J248" s="85" t="n">
        <x:v>2</x:v>
      </x:c>
      <x:c r="K248" s="85" t="n">
        <x:v>0</x:v>
      </x:c>
      <x:c r="L248" s="85" t="n">
        <x:v>0</x:v>
      </x:c>
      <x:c r="M248" s="85" t="n">
        <x:v>0</x:v>
      </x:c>
      <x:c r="N248" s="85" t="n">
        <x:v>0</x:v>
      </x:c>
      <x:c r="O248" s="85" t="n">
        <x:v>0</x:v>
      </x:c>
      <x:c r="P248" s="85" t="n">
        <x:v>0</x:v>
      </x:c>
      <x:c r="Q248" s="85" t="n">
        <x:v>0</x:v>
      </x:c>
    </x:row>
    <x:row r="249" ht="22" customHeight="1">
      <x:c r="A249" s="85" t="n">
        <x:v>245</x:v>
      </x:c>
      <x:c r="B249" s="82" t="str">
        <x:v>Caleb Ewan</x:v>
      </x:c>
      <x:c r="C249" s="85" t="n">
        <x:v>0</x:v>
      </x:c>
      <x:c r="D249" s="85" t="n">
        <x:v>5</x:v>
      </x:c>
      <x:c r="E249" s="85" t="n">
        <x:v>0</x:v>
      </x:c>
      <x:c r="F249" s="85" t="n">
        <x:v>0</x:v>
      </x:c>
      <x:c r="G249" s="85" t="n">
        <x:v>0</x:v>
      </x:c>
      <x:c r="H249" s="85" t="n">
        <x:v>0</x:v>
      </x:c>
      <x:c r="I249" s="85" t="n">
        <x:v>5</x:v>
      </x:c>
      <x:c r="J249" s="85" t="n">
        <x:v>0</x:v>
      </x:c>
      <x:c r="K249" s="85" t="n">
        <x:v>0</x:v>
      </x:c>
      <x:c r="L249" s="85" t="n">
        <x:v>0</x:v>
      </x:c>
      <x:c r="M249" s="85" t="n">
        <x:v>0</x:v>
      </x:c>
      <x:c r="N249" s="85" t="n">
        <x:v>1</x:v>
      </x:c>
      <x:c r="O249" s="85" t="n">
        <x:v>0</x:v>
      </x:c>
      <x:c r="P249" s="85" t="n">
        <x:v>0</x:v>
      </x:c>
      <x:c r="Q249" s="85" t="n">
        <x:v>0</x:v>
      </x:c>
    </x:row>
    <x:row r="250" ht="22" customHeight="1">
      <x:c r="A250" s="85" t="n">
        <x:v>246</x:v>
      </x:c>
      <x:c r="B250" s="82" t="str">
        <x:v>Sam Bennett</x:v>
      </x:c>
      <x:c r="C250" s="85" t="n">
        <x:v>0</x:v>
      </x:c>
      <x:c r="D250" s="85" t="n">
        <x:v>2</x:v>
      </x:c>
      <x:c r="E250" s="85" t="n">
        <x:v>1</x:v>
      </x:c>
      <x:c r="F250" s="85" t="n">
        <x:v>0</x:v>
      </x:c>
      <x:c r="G250" s="85" t="n">
        <x:v>0</x:v>
      </x:c>
      <x:c r="H250" s="85" t="n">
        <x:v>0</x:v>
      </x:c>
      <x:c r="I250" s="85" t="n">
        <x:v>3</x:v>
      </x:c>
      <x:c r="J250" s="85" t="n">
        <x:v>0</x:v>
      </x:c>
      <x:c r="K250" s="85" t="n">
        <x:v>0</x:v>
      </x:c>
      <x:c r="L250" s="85" t="n">
        <x:v>0</x:v>
      </x:c>
      <x:c r="M250" s="85" t="n">
        <x:v>0</x:v>
      </x:c>
      <x:c r="N250" s="85" t="n">
        <x:v>5</x:v>
      </x:c>
      <x:c r="O250" s="85" t="n">
        <x:v>0</x:v>
      </x:c>
      <x:c r="P250" s="85" t="n">
        <x:v>0</x:v>
      </x:c>
      <x:c r="Q250" s="85" t="n">
        <x:v>0</x:v>
      </x:c>
    </x:row>
    <x:row r="251" ht="22" customHeight="1">
      <x:c r="A251" s="85" t="n">
        <x:v>247</x:v>
      </x:c>
      <x:c r="B251" s="82" t="str">
        <x:v>Elia Viviani</x:v>
      </x:c>
      <x:c r="C251" s="85" t="n">
        <x:v>0</x:v>
      </x:c>
      <x:c r="D251" s="85" t="n">
        <x:v>1</x:v>
      </x:c>
      <x:c r="E251" s="85" t="n">
        <x:v>0</x:v>
      </x:c>
      <x:c r="F251" s="85" t="n">
        <x:v>0</x:v>
      </x:c>
      <x:c r="G251" s="85" t="n">
        <x:v>0</x:v>
      </x:c>
      <x:c r="H251" s="85" t="n">
        <x:v>0</x:v>
      </x:c>
      <x:c r="I251" s="85" t="n">
        <x:v>5</x:v>
      </x:c>
      <x:c r="J251" s="85" t="n">
        <x:v>1</x:v>
      </x:c>
      <x:c r="K251" s="85" t="n">
        <x:v>0</x:v>
      </x:c>
      <x:c r="L251" s="85" t="n">
        <x:v>0</x:v>
      </x:c>
      <x:c r="M251" s="85" t="n">
        <x:v>0</x:v>
      </x:c>
      <x:c r="N251" s="85" t="n">
        <x:v>3</x:v>
      </x:c>
      <x:c r="O251" s="85" t="n">
        <x:v>0</x:v>
      </x:c>
      <x:c r="P251" s="85" t="n">
        <x:v>0</x:v>
      </x:c>
      <x:c r="Q251" s="85" t="n">
        <x:v>0</x:v>
      </x:c>
    </x:row>
    <x:row r="252" ht="22" customHeight="1">
      <x:c r="A252" s="85" t="n">
        <x:v>248</x:v>
      </x:c>
      <x:c r="B252" s="82" t="str">
        <x:v>Dylan Groenewegen</x:v>
      </x:c>
      <x:c r="C252" s="85" t="n">
        <x:v>0</x:v>
      </x:c>
      <x:c r="D252" s="85" t="n">
        <x:v>6</x:v>
      </x:c>
      <x:c r="E252" s="85" t="n">
        <x:v>0</x:v>
      </x:c>
      <x:c r="F252" s="85" t="n">
        <x:v>0</x:v>
      </x:c>
      <x:c r="G252" s="85" t="n">
        <x:v>0</x:v>
      </x:c>
      <x:c r="H252" s="85" t="n">
        <x:v>0</x:v>
      </x:c>
      <x:c r="I252" s="85" t="n">
        <x:v>0</x:v>
      </x:c>
      <x:c r="J252" s="85" t="n">
        <x:v>0</x:v>
      </x:c>
      <x:c r="K252" s="85" t="n">
        <x:v>0</x:v>
      </x:c>
      <x:c r="L252" s="85" t="n">
        <x:v>0</x:v>
      </x:c>
      <x:c r="M252" s="85" t="n">
        <x:v>0</x:v>
      </x:c>
      <x:c r="N252" s="85" t="n">
        <x:v>0</x:v>
      </x:c>
      <x:c r="O252" s="85" t="n">
        <x:v>0</x:v>
      </x:c>
      <x:c r="P252" s="85" t="n">
        <x:v>0</x:v>
      </x:c>
      <x:c r="Q252" s="85" t="n">
        <x:v>0</x:v>
      </x:c>
    </x:row>
    <x:row r="253" ht="22" customHeight="1">
      <x:c r="A253" s="85" t="n">
        <x:v>249</x:v>
      </x:c>
      <x:c r="B253" s="82" t="str">
        <x:v>Fabio Jakobsen</x:v>
      </x:c>
      <x:c r="C253" s="85" t="n">
        <x:v>0</x:v>
      </x:c>
      <x:c r="D253" s="85" t="n">
        <x:v>1</x:v>
      </x:c>
      <x:c r="E253" s="85" t="n">
        <x:v>0</x:v>
      </x:c>
      <x:c r="F253" s="85" t="n">
        <x:v>0</x:v>
      </x:c>
      <x:c r="G253" s="85" t="n">
        <x:v>0</x:v>
      </x:c>
      <x:c r="H253" s="85" t="n">
        <x:v>0</x:v>
      </x:c>
      <x:c r="I253" s="85" t="n">
        <x:v>0</x:v>
      </x:c>
      <x:c r="J253" s="85" t="n">
        <x:v>0</x:v>
      </x:c>
      <x:c r="K253" s="85" t="n">
        <x:v>0</x:v>
      </x:c>
      <x:c r="L253" s="85" t="n">
        <x:v>0</x:v>
      </x:c>
      <x:c r="M253" s="85" t="n">
        <x:v>0</x:v>
      </x:c>
      <x:c r="N253" s="85" t="n">
        <x:v>5</x:v>
      </x:c>
      <x:c r="O253" s="85" t="n">
        <x:v>1</x:v>
      </x:c>
      <x:c r="P253" s="85" t="n">
        <x:v>0</x:v>
      </x:c>
      <x:c r="Q253" s="85" t="n">
        <x:v>0</x:v>
      </x:c>
    </x:row>
    <x:row r="254" ht="22" customHeight="1">
      <x:c r="A254" s="85" t="n">
        <x:v>250</x:v>
      </x:c>
      <x:c r="B254" s="82" t="str">
        <x:v>Tim Merlier</x:v>
      </x:c>
      <x:c r="C254" s="85" t="n">
        <x:v>0</x:v>
      </x:c>
      <x:c r="D254" s="85" t="n">
        <x:v>3</x:v>
      </x:c>
      <x:c r="E254" s="85" t="n">
        <x:v>0</x:v>
      </x:c>
      <x:c r="F254" s="85" t="n">
        <x:v>0</x:v>
      </x:c>
      <x:c r="G254" s="85" t="n">
        <x:v>0</x:v>
      </x:c>
      <x:c r="H254" s="85" t="n">
        <x:v>0</x:v>
      </x:c>
      <x:c r="I254" s="85" t="n">
        <x:v>4</x:v>
      </x:c>
      <x:c r="J254" s="85" t="n">
        <x:v>0</x:v>
      </x:c>
      <x:c r="K254" s="85" t="n">
        <x:v>0</x:v>
      </x:c>
      <x:c r="L254" s="85" t="n">
        <x:v>0</x:v>
      </x:c>
      <x:c r="M254" s="85" t="n">
        <x:v>0</x:v>
      </x:c>
      <x:c r="N254" s="85" t="n">
        <x:v>0</x:v>
      </x:c>
      <x:c r="O254" s="85" t="n">
        <x:v>0</x:v>
      </x:c>
      <x:c r="P254" s="85" t="n">
        <x:v>0</x:v>
      </x:c>
      <x:c r="Q254" s="85" t="n">
        <x:v>0</x:v>
      </x:c>
    </x:row>
    <x:row r="255" ht="22" customHeight="1">
      <x:c r="A255" s="85" t="n">
        <x:v>251</x:v>
      </x:c>
      <x:c r="B255" s="82" t="str">
        <x:v>Fernando Gaviria</x:v>
      </x:c>
      <x:c r="C255" s="85" t="n">
        <x:v>0</x:v>
      </x:c>
      <x:c r="D255" s="85" t="n">
        <x:v>2</x:v>
      </x:c>
      <x:c r="E255" s="85" t="n">
        <x:v>0</x:v>
      </x:c>
      <x:c r="F255" s="85" t="n">
        <x:v>0</x:v>
      </x:c>
      <x:c r="G255" s="85" t="n">
        <x:v>0</x:v>
      </x:c>
      <x:c r="H255" s="85" t="n">
        <x:v>0</x:v>
      </x:c>
      <x:c r="I255" s="85" t="n">
        <x:v>5</x:v>
      </x:c>
      <x:c r="J255" s="85" t="n">
        <x:v>1</x:v>
      </x:c>
      <x:c r="K255" s="85" t="n">
        <x:v>0</x:v>
      </x:c>
      <x:c r="L255" s="85" t="n">
        <x:v>0</x:v>
      </x:c>
      <x:c r="M255" s="85" t="n">
        <x:v>0</x:v>
      </x:c>
      <x:c r="N255" s="85" t="n">
        <x:v>0</x:v>
      </x:c>
      <x:c r="O255" s="85" t="n">
        <x:v>0</x:v>
      </x:c>
      <x:c r="P255" s="85" t="n">
        <x:v>0</x:v>
      </x:c>
      <x:c r="Q255" s="85" t="n">
        <x:v>0</x:v>
      </x:c>
    </x:row>
    <x:row r="256" ht="22" customHeight="1">
      <x:c r="A256" s="85" t="n">
        <x:v>252</x:v>
      </x:c>
      <x:c r="B256" s="82" t="str">
        <x:v>Nacer Bouhanni</x:v>
      </x:c>
      <x:c r="C256" s="85" t="n">
        <x:v>0</x:v>
      </x:c>
      <x:c r="D256" s="85" t="n">
        <x:v>0</x:v>
      </x:c>
      <x:c r="E256" s="85" t="n">
        <x:v>0</x:v>
      </x:c>
      <x:c r="F256" s="85" t="n">
        <x:v>0</x:v>
      </x:c>
      <x:c r="G256" s="85" t="n">
        <x:v>0</x:v>
      </x:c>
      <x:c r="H256" s="85" t="n">
        <x:v>0</x:v>
      </x:c>
      <x:c r="I256" s="85" t="n">
        <x:v>3</x:v>
      </x:c>
      <x:c r="J256" s="85" t="n">
        <x:v>1</x:v>
      </x:c>
      <x:c r="K256" s="85" t="n">
        <x:v>0</x:v>
      </x:c>
      <x:c r="L256" s="85" t="n">
        <x:v>0</x:v>
      </x:c>
      <x:c r="M256" s="85" t="n">
        <x:v>0</x:v>
      </x:c>
      <x:c r="N256" s="85" t="n">
        <x:v>3</x:v>
      </x:c>
      <x:c r="O256" s="85" t="n">
        <x:v>0</x:v>
      </x:c>
      <x:c r="P256" s="85" t="n">
        <x:v>0</x:v>
      </x:c>
      <x:c r="Q256" s="85" t="n">
        <x:v>0</x:v>
      </x:c>
    </x:row>
    <x:row r="257" ht="22" customHeight="1">
      <x:c r="A257" s="85" t="n">
        <x:v>253</x:v>
      </x:c>
      <x:c r="B257" s="82" t="str">
        <x:v>Tom Steels</x:v>
      </x:c>
      <x:c r="C257" s="85" t="n">
        <x:v>0</x:v>
      </x:c>
      <x:c r="D257" s="85" t="n">
        <x:v>9</x:v>
      </x:c>
      <x:c r="E257" s="85" t="n">
        <x:v>0</x:v>
      </x:c>
      <x:c r="F257" s="85" t="n">
        <x:v>0</x:v>
      </x:c>
      <x:c r="G257" s="85" t="n">
        <x:v>0</x:v>
      </x:c>
      <x:c r="H257" s="85" t="n">
        <x:v>0</x:v>
      </x:c>
      <x:c r="I257" s="85" t="n">
        <x:v>0</x:v>
      </x:c>
      <x:c r="J257" s="85" t="n">
        <x:v>0</x:v>
      </x:c>
      <x:c r="K257" s="85" t="n">
        <x:v>0</x:v>
      </x:c>
      <x:c r="L257" s="85" t="n">
        <x:v>0</x:v>
      </x:c>
      <x:c r="M257" s="85" t="n">
        <x:v>0</x:v>
      </x:c>
      <x:c r="N257" s="85" t="n">
        <x:v>2</x:v>
      </x:c>
      <x:c r="O257" s="85" t="n">
        <x:v>0</x:v>
      </x:c>
      <x:c r="P257" s="85" t="n">
        <x:v>0</x:v>
      </x:c>
      <x:c r="Q257" s="85" t="n">
        <x:v>0</x:v>
      </x:c>
    </x:row>
    <x:row r="258" ht="22" customHeight="1">
      <x:c r="A258" s="85" t="n">
        <x:v>254</x:v>
      </x:c>
      <x:c r="B258" s="82" t="str">
        <x:v>Djamolidine Abdoujaparov</x:v>
      </x:c>
      <x:c r="C258" s="85" t="n">
        <x:v>0</x:v>
      </x:c>
      <x:c r="D258" s="85" t="n">
        <x:v>9</x:v>
      </x:c>
      <x:c r="E258" s="85" t="n">
        <x:v>3</x:v>
      </x:c>
      <x:c r="F258" s="85" t="n">
        <x:v>0</x:v>
      </x:c>
      <x:c r="G258" s="85" t="n">
        <x:v>0</x:v>
      </x:c>
      <x:c r="H258" s="85" t="n">
        <x:v>0</x:v>
      </x:c>
      <x:c r="I258" s="85" t="n">
        <x:v>1</x:v>
      </x:c>
      <x:c r="J258" s="85" t="n">
        <x:v>1</x:v>
      </x:c>
      <x:c r="K258" s="85" t="n">
        <x:v>0</x:v>
      </x:c>
      <x:c r="L258" s="85" t="n">
        <x:v>0</x:v>
      </x:c>
      <x:c r="M258" s="85" t="n">
        <x:v>0</x:v>
      </x:c>
      <x:c r="N258" s="85" t="n">
        <x:v>7</x:v>
      </x:c>
      <x:c r="O258" s="85" t="n">
        <x:v>1</x:v>
      </x:c>
      <x:c r="P258" s="85" t="n">
        <x:v>0</x:v>
      </x:c>
      <x:c r="Q258" s="85" t="n">
        <x:v>0</x:v>
      </x:c>
    </x:row>
    <x:row r="259" ht="22" customHeight="1">
      <x:c r="A259" s="85" t="n">
        <x:v>255</x:v>
      </x:c>
      <x:c r="B259" s="82" t="str">
        <x:v>Daniele Bennati</x:v>
      </x:c>
      <x:c r="C259" s="85" t="n">
        <x:v>0</x:v>
      </x:c>
      <x:c r="D259" s="85" t="n">
        <x:v>2</x:v>
      </x:c>
      <x:c r="E259" s="85" t="n">
        <x:v>0</x:v>
      </x:c>
      <x:c r="F259" s="85" t="n">
        <x:v>0</x:v>
      </x:c>
      <x:c r="G259" s="85" t="n">
        <x:v>0</x:v>
      </x:c>
      <x:c r="H259" s="85" t="n">
        <x:v>0</x:v>
      </x:c>
      <x:c r="I259" s="85" t="n">
        <x:v>3</x:v>
      </x:c>
      <x:c r="J259" s="85" t="n">
        <x:v>1</x:v>
      </x:c>
      <x:c r="K259" s="85" t="n">
        <x:v>0</x:v>
      </x:c>
      <x:c r="L259" s="85" t="n">
        <x:v>0</x:v>
      </x:c>
      <x:c r="M259" s="85" t="n">
        <x:v>0</x:v>
      </x:c>
      <x:c r="N259" s="85" t="n">
        <x:v>6</x:v>
      </x:c>
      <x:c r="O259" s="85" t="n">
        <x:v>1</x:v>
      </x:c>
      <x:c r="P259" s="85" t="n">
        <x:v>0</x:v>
      </x:c>
      <x:c r="Q259" s="85" t="n">
        <x:v>0</x:v>
      </x:c>
    </x:row>
    <x:row r="260" ht="22" customHeight="1">
      <x:c r="A260" s="85" t="n">
        <x:v>256</x:v>
      </x:c>
      <x:c r="B260" s="82" t="str">
        <x:v>Tyler Farrar</x:v>
      </x:c>
      <x:c r="C260" s="85" t="n">
        <x:v>0</x:v>
      </x:c>
      <x:c r="D260" s="85" t="n">
        <x:v>1</x:v>
      </x:c>
      <x:c r="E260" s="85" t="n">
        <x:v>0</x:v>
      </x:c>
      <x:c r="F260" s="85" t="n">
        <x:v>0</x:v>
      </x:c>
      <x:c r="G260" s="85" t="n">
        <x:v>0</x:v>
      </x:c>
      <x:c r="H260" s="85" t="n">
        <x:v>0</x:v>
      </x:c>
      <x:c r="I260" s="85" t="n">
        <x:v>2</x:v>
      </x:c>
      <x:c r="J260" s="85" t="n">
        <x:v>0</x:v>
      </x:c>
      <x:c r="K260" s="85" t="n">
        <x:v>0</x:v>
      </x:c>
      <x:c r="L260" s="85" t="n">
        <x:v>0</x:v>
      </x:c>
      <x:c r="M260" s="85" t="n">
        <x:v>0</x:v>
      </x:c>
      <x:c r="N260" s="85" t="n">
        <x:v>3</x:v>
      </x:c>
      <x:c r="O260" s="85" t="n">
        <x:v>0</x:v>
      </x:c>
      <x:c r="P260" s="85" t="n">
        <x:v>0</x:v>
      </x:c>
      <x:c r="Q260" s="85" t="n">
        <x:v>0</x:v>
      </x:c>
    </x:row>
    <x:row r="261" ht="22" customHeight="1">
      <x:c r="A261" s="85" t="n">
        <x:v>257</x:v>
      </x:c>
      <x:c r="B261" s="82" t="str">
        <x:v>Juan Sebastian Molano</x:v>
      </x:c>
      <x:c r="C261" s="85" t="n">
        <x:v>0</x:v>
      </x:c>
      <x:c r="D261" s="85" t="n">
        <x:v>0</x:v>
      </x:c>
      <x:c r="E261" s="85" t="n">
        <x:v>0</x:v>
      </x:c>
      <x:c r="F261" s="85" t="n">
        <x:v>0</x:v>
      </x:c>
      <x:c r="G261" s="85" t="n">
        <x:v>0</x:v>
      </x:c>
      <x:c r="H261" s="85" t="n">
        <x:v>0</x:v>
      </x:c>
      <x:c r="I261" s="85" t="n">
        <x:v>0</x:v>
      </x:c>
      <x:c r="J261" s="85" t="n">
        <x:v>0</x:v>
      </x:c>
      <x:c r="K261" s="85" t="n">
        <x:v>0</x:v>
      </x:c>
      <x:c r="L261" s="85" t="n">
        <x:v>0</x:v>
      </x:c>
      <x:c r="M261" s="85" t="n">
        <x:v>0</x:v>
      </x:c>
      <x:c r="N261" s="85" t="n">
        <x:v>2</x:v>
      </x:c>
      <x:c r="O261" s="85" t="n">
        <x:v>0</x:v>
      </x:c>
      <x:c r="P261" s="85" t="n">
        <x:v>0</x:v>
      </x:c>
      <x:c r="Q261" s="85" t="n">
        <x:v>0</x:v>
      </x:c>
    </x:row>
    <x:row r="262" ht="22" customHeight="1">
      <x:c r="A262" s="85" t="n">
        <x:v>258</x:v>
      </x:c>
      <x:c r="B262" s="82" t="str">
        <x:v>Pascal Ackermann</x:v>
      </x:c>
      <x:c r="C262" s="85" t="n">
        <x:v>0</x:v>
      </x:c>
      <x:c r="D262" s="85" t="n">
        <x:v>0</x:v>
      </x:c>
      <x:c r="E262" s="85" t="n">
        <x:v>0</x:v>
      </x:c>
      <x:c r="F262" s="85" t="n">
        <x:v>0</x:v>
      </x:c>
      <x:c r="G262" s="85" t="n">
        <x:v>0</x:v>
      </x:c>
      <x:c r="H262" s="85" t="n">
        <x:v>0</x:v>
      </x:c>
      <x:c r="I262" s="85" t="n">
        <x:v>3</x:v>
      </x:c>
      <x:c r="J262" s="85" t="n">
        <x:v>1</x:v>
      </x:c>
      <x:c r="K262" s="85" t="n">
        <x:v>0</x:v>
      </x:c>
      <x:c r="L262" s="85" t="n">
        <x:v>0</x:v>
      </x:c>
      <x:c r="M262" s="85" t="n">
        <x:v>0</x:v>
      </x:c>
      <x:c r="N262" s="85" t="n">
        <x:v>2</x:v>
      </x:c>
      <x:c r="O262" s="85" t="n">
        <x:v>0</x:v>
      </x:c>
      <x:c r="P262" s="85" t="n">
        <x:v>0</x:v>
      </x:c>
      <x:c r="Q262" s="85" t="n">
        <x:v>0</x:v>
      </x:c>
    </x:row>
    <x:row r="263" ht="22" customHeight="1">
      <x:c r="A263" s="85" t="n">
        <x:v>259</x:v>
      </x:c>
      <x:c r="B263" s="82" t="str">
        <x:v>Kaden Groves</x:v>
      </x:c>
      <x:c r="C263" s="85" t="n">
        <x:v>0</x:v>
      </x:c>
      <x:c r="D263" s="85" t="n">
        <x:v>1</x:v>
      </x:c>
      <x:c r="E263" s="85" t="n">
        <x:v>0</x:v>
      </x:c>
      <x:c r="F263" s="85" t="n">
        <x:v>0</x:v>
      </x:c>
      <x:c r="G263" s="85" t="n">
        <x:v>0</x:v>
      </x:c>
      <x:c r="H263" s="85" t="n">
        <x:v>0</x:v>
      </x:c>
      <x:c r="I263" s="85" t="n">
        <x:v>2</x:v>
      </x:c>
      <x:c r="J263" s="85" t="n">
        <x:v>0</x:v>
      </x:c>
      <x:c r="K263" s="85" t="n">
        <x:v>0</x:v>
      </x:c>
      <x:c r="L263" s="85" t="n">
        <x:v>0</x:v>
      </x:c>
      <x:c r="M263" s="85" t="n">
        <x:v>0</x:v>
      </x:c>
      <x:c r="N263" s="85" t="n">
        <x:v>7</x:v>
      </x:c>
      <x:c r="O263" s="85" t="n">
        <x:v>2</x:v>
      </x:c>
      <x:c r="P263" s="85" t="n">
        <x:v>0</x:v>
      </x:c>
      <x:c r="Q263" s="85" t="n">
        <x:v>0</x:v>
      </x:c>
    </x:row>
    <x:row r="264" ht="22" customHeight="1">
      <x:c r="A264" s="85" t="n">
        <x:v>260</x:v>
      </x:c>
      <x:c r="B264" s="82" t="str">
        <x:v>Jordi Meeus</x:v>
      </x:c>
      <x:c r="C264" s="85" t="n">
        <x:v>0</x:v>
      </x:c>
      <x:c r="D264" s="85" t="n">
        <x:v>1</x:v>
      </x:c>
      <x:c r="E264" s="85" t="n">
        <x:v>0</x:v>
      </x:c>
      <x:c r="F264" s="85" t="n">
        <x:v>0</x:v>
      </x:c>
      <x:c r="G264" s="85" t="n">
        <x:v>0</x:v>
      </x:c>
      <x:c r="H264" s="85" t="n">
        <x:v>0</x:v>
      </x:c>
      <x:c r="I264" s="85" t="n">
        <x:v>0</x:v>
      </x:c>
      <x:c r="J264" s="85" t="n">
        <x:v>0</x:v>
      </x:c>
      <x:c r="K264" s="85" t="n">
        <x:v>0</x:v>
      </x:c>
      <x:c r="L264" s="85" t="n">
        <x:v>0</x:v>
      </x:c>
      <x:c r="M264" s="85" t="n">
        <x:v>0</x:v>
      </x:c>
      <x:c r="N264" s="85" t="n">
        <x:v>0</x:v>
      </x:c>
      <x:c r="O264" s="85" t="n">
        <x:v>0</x:v>
      </x:c>
      <x:c r="P264" s="85" t="n">
        <x:v>0</x:v>
      </x:c>
      <x:c r="Q264" s="85" t="n">
        <x:v>0</x:v>
      </x:c>
    </x:row>
    <x:row r="265" ht="22" customHeight="1">
      <x:c r="A265" s="85" t="n">
        <x:v>261</x:v>
      </x:c>
      <x:c r="B265" s="82" t="str">
        <x:v>Matej Mohoric</x:v>
      </x:c>
      <x:c r="C265" s="85" t="n">
        <x:v>0</x:v>
      </x:c>
      <x:c r="D265" s="85" t="n">
        <x:v>3</x:v>
      </x:c>
      <x:c r="E265" s="85" t="n">
        <x:v>0</x:v>
      </x:c>
      <x:c r="F265" s="85" t="n">
        <x:v>0</x:v>
      </x:c>
      <x:c r="G265" s="85" t="n">
        <x:v>0</x:v>
      </x:c>
      <x:c r="H265" s="85" t="n">
        <x:v>0</x:v>
      </x:c>
      <x:c r="I265" s="85" t="n">
        <x:v>1</x:v>
      </x:c>
      <x:c r="J265" s="85" t="n">
        <x:v>0</x:v>
      </x:c>
      <x:c r="K265" s="85" t="n">
        <x:v>0</x:v>
      </x:c>
      <x:c r="L265" s="85" t="n">
        <x:v>0</x:v>
      </x:c>
      <x:c r="M265" s="85" t="n">
        <x:v>0</x:v>
      </x:c>
      <x:c r="N265" s="85" t="n">
        <x:v>1</x:v>
      </x:c>
      <x:c r="O265" s="85" t="n">
        <x:v>0</x:v>
      </x:c>
      <x:c r="P265" s="85" t="n">
        <x:v>0</x:v>
      </x:c>
      <x:c r="Q265" s="85" t="n">
        <x:v>0</x:v>
      </x:c>
    </x:row>
    <x:row r="266" ht="22" customHeight="1">
      <x:c r="A266" s="85" t="n">
        <x:v>262</x:v>
      </x:c>
      <x:c r="B266" s="82" t="str">
        <x:v>Jasper Stuyven</x:v>
      </x:c>
      <x:c r="C266" s="85" t="n">
        <x:v>0</x:v>
      </x:c>
      <x:c r="D266" s="85" t="n">
        <x:v>0</x:v>
      </x:c>
      <x:c r="E266" s="85" t="n">
        <x:v>0</x:v>
      </x:c>
      <x:c r="F266" s="85" t="n">
        <x:v>0</x:v>
      </x:c>
      <x:c r="G266" s="85" t="n">
        <x:v>0</x:v>
      </x:c>
      <x:c r="H266" s="85" t="n">
        <x:v>0</x:v>
      </x:c>
      <x:c r="I266" s="85" t="n">
        <x:v>0</x:v>
      </x:c>
      <x:c r="J266" s="85" t="n">
        <x:v>0</x:v>
      </x:c>
      <x:c r="K266" s="85" t="n">
        <x:v>0</x:v>
      </x:c>
      <x:c r="L266" s="85" t="n">
        <x:v>0</x:v>
      </x:c>
      <x:c r="M266" s="85" t="n">
        <x:v>0</x:v>
      </x:c>
      <x:c r="N266" s="85" t="n">
        <x:v>1</x:v>
      </x:c>
      <x:c r="O266" s="85" t="n">
        <x:v>0</x:v>
      </x:c>
      <x:c r="P266" s="85" t="n">
        <x:v>0</x:v>
      </x:c>
      <x:c r="Q266" s="85" t="n">
        <x:v>0</x:v>
      </x:c>
    </x:row>
    <x:row r="267" ht="22" customHeight="1">
      <x:c r="A267" s="85" t="n">
        <x:v>263</x:v>
      </x:c>
      <x:c r="B267" s="82" t="str">
        <x:v>Niki Terpstra</x:v>
      </x:c>
      <x:c r="C267" s="85" t="n">
        <x:v>0</x:v>
      </x:c>
      <x:c r="D267" s="85" t="n">
        <x:v>0</x:v>
      </x:c>
      <x:c r="E267" s="85" t="n">
        <x:v>0</x:v>
      </x:c>
      <x:c r="F267" s="85" t="n">
        <x:v>0</x:v>
      </x:c>
      <x:c r="G267" s="85" t="n">
        <x:v>0</x:v>
      </x:c>
      <x:c r="H267" s="85" t="n">
        <x:v>0</x:v>
      </x:c>
      <x:c r="I267" s="85" t="n">
        <x:v>0</x:v>
      </x:c>
      <x:c r="J267" s="85" t="n">
        <x:v>0</x:v>
      </x:c>
      <x:c r="K267" s="85" t="n">
        <x:v>0</x:v>
      </x:c>
      <x:c r="L267" s="85" t="n">
        <x:v>0</x:v>
      </x:c>
      <x:c r="M267" s="85" t="n">
        <x:v>0</x:v>
      </x:c>
      <x:c r="N267" s="85" t="n">
        <x:v>0</x:v>
      </x:c>
      <x:c r="O267" s="85" t="n">
        <x:v>0</x:v>
      </x:c>
      <x:c r="P267" s="85" t="n">
        <x:v>0</x:v>
      </x:c>
      <x:c r="Q267" s="85" t="n">
        <x:v>0</x:v>
      </x:c>
    </x:row>
    <x:row r="268" ht="22" customHeight="1">
      <x:c r="A268" s="85" t="n">
        <x:v>264</x:v>
      </x:c>
      <x:c r="B268" s="82" t="str">
        <x:v>Alberto Bettiol</x:v>
      </x:c>
      <x:c r="C268" s="85" t="n">
        <x:v>0</x:v>
      </x:c>
      <x:c r="D268" s="85" t="n">
        <x:v>0</x:v>
      </x:c>
      <x:c r="E268" s="85" t="n">
        <x:v>0</x:v>
      </x:c>
      <x:c r="F268" s="85" t="n">
        <x:v>0</x:v>
      </x:c>
      <x:c r="G268" s="85" t="n">
        <x:v>0</x:v>
      </x:c>
      <x:c r="H268" s="85" t="n">
        <x:v>0</x:v>
      </x:c>
      <x:c r="I268" s="85" t="n">
        <x:v>2</x:v>
      </x:c>
      <x:c r="J268" s="85" t="n">
        <x:v>0</x:v>
      </x:c>
      <x:c r="K268" s="85" t="n">
        <x:v>0</x:v>
      </x:c>
      <x:c r="L268" s="85" t="n">
        <x:v>0</x:v>
      </x:c>
      <x:c r="M268" s="85" t="n">
        <x:v>0</x:v>
      </x:c>
      <x:c r="N268" s="85" t="n">
        <x:v>0</x:v>
      </x:c>
      <x:c r="O268" s="85" t="n">
        <x:v>0</x:v>
      </x:c>
      <x:c r="P268" s="85" t="n">
        <x:v>0</x:v>
      </x:c>
      <x:c r="Q268" s="85" t="n">
        <x:v>0</x:v>
      </x:c>
    </x:row>
    <x:row r="269" ht="22" customHeight="1">
      <x:c r="A269" s="85" t="n">
        <x:v>265</x:v>
      </x:c>
      <x:c r="B269" s="82" t="str">
        <x:v>Sonny Colbrelli</x:v>
      </x:c>
      <x:c r="C269" s="85" t="n">
        <x:v>0</x:v>
      </x:c>
      <x:c r="D269" s="85" t="n">
        <x:v>0</x:v>
      </x:c>
      <x:c r="E269" s="85" t="n">
        <x:v>0</x:v>
      </x:c>
      <x:c r="F269" s="85" t="n">
        <x:v>0</x:v>
      </x:c>
      <x:c r="G269" s="85" t="n">
        <x:v>0</x:v>
      </x:c>
      <x:c r="H269" s="85" t="n">
        <x:v>0</x:v>
      </x:c>
      <x:c r="I269" s="85" t="n">
        <x:v>0</x:v>
      </x:c>
      <x:c r="J269" s="85" t="n">
        <x:v>0</x:v>
      </x:c>
      <x:c r="K269" s="85" t="n">
        <x:v>0</x:v>
      </x:c>
      <x:c r="L269" s="85" t="n">
        <x:v>0</x:v>
      </x:c>
      <x:c r="M269" s="85" t="n">
        <x:v>0</x:v>
      </x:c>
      <x:c r="N269" s="85" t="n">
        <x:v>0</x:v>
      </x:c>
      <x:c r="O269" s="85" t="n">
        <x:v>0</x:v>
      </x:c>
      <x:c r="P269" s="85" t="n">
        <x:v>0</x:v>
      </x:c>
      <x:c r="Q269" s="85" t="n">
        <x:v>0</x:v>
      </x:c>
    </x:row>
    <x:row r="270" ht="22" customHeight="1">
      <x:c r="A270" s="85" t="n">
        <x:v>266</x:v>
      </x:c>
      <x:c r="B270" s="82" t="str">
        <x:v>Peter Van Petegem</x:v>
      </x:c>
      <x:c r="C270" s="85" t="n">
        <x:v>0</x:v>
      </x:c>
      <x:c r="D270" s="85" t="n">
        <x:v>0</x:v>
      </x:c>
      <x:c r="E270" s="85" t="n">
        <x:v>0</x:v>
      </x:c>
      <x:c r="F270" s="85" t="n">
        <x:v>0</x:v>
      </x:c>
      <x:c r="G270" s="85" t="n">
        <x:v>0</x:v>
      </x:c>
      <x:c r="H270" s="85" t="n">
        <x:v>0</x:v>
      </x:c>
      <x:c r="I270" s="85" t="n">
        <x:v>0</x:v>
      </x:c>
      <x:c r="J270" s="85" t="n">
        <x:v>0</x:v>
      </x:c>
      <x:c r="K270" s="85" t="n">
        <x:v>0</x:v>
      </x:c>
      <x:c r="L270" s="85" t="n">
        <x:v>0</x:v>
      </x:c>
      <x:c r="M270" s="85" t="n">
        <x:v>0</x:v>
      </x:c>
      <x:c r="N270" s="85" t="n">
        <x:v>0</x:v>
      </x:c>
      <x:c r="O270" s="85" t="n">
        <x:v>0</x:v>
      </x:c>
      <x:c r="P270" s="85" t="n">
        <x:v>0</x:v>
      </x:c>
      <x:c r="Q270" s="85" t="n">
        <x:v>0</x:v>
      </x:c>
    </x:row>
    <x:row r="271" ht="22" customHeight="1">
      <x:c r="A271" s="85" t="n">
        <x:v>267</x:v>
      </x:c>
      <x:c r="B271" s="82" t="str">
        <x:v>Andrei Tchmil</x:v>
      </x:c>
      <x:c r="C271" s="85" t="n">
        <x:v>0</x:v>
      </x:c>
      <x:c r="D271" s="85" t="n">
        <x:v>0</x:v>
      </x:c>
      <x:c r="E271" s="85" t="n">
        <x:v>0</x:v>
      </x:c>
      <x:c r="F271" s="85" t="n">
        <x:v>0</x:v>
      </x:c>
      <x:c r="G271" s="85" t="n">
        <x:v>0</x:v>
      </x:c>
      <x:c r="H271" s="85" t="n">
        <x:v>0</x:v>
      </x:c>
      <x:c r="I271" s="85" t="n">
        <x:v>0</x:v>
      </x:c>
      <x:c r="J271" s="85" t="n">
        <x:v>0</x:v>
      </x:c>
      <x:c r="K271" s="85" t="n">
        <x:v>0</x:v>
      </x:c>
      <x:c r="L271" s="85" t="n">
        <x:v>0</x:v>
      </x:c>
      <x:c r="M271" s="85" t="n">
        <x:v>0</x:v>
      </x:c>
      <x:c r="N271" s="85" t="n">
        <x:v>0</x:v>
      </x:c>
      <x:c r="O271" s="85" t="n">
        <x:v>0</x:v>
      </x:c>
      <x:c r="P271" s="85" t="n">
        <x:v>0</x:v>
      </x:c>
      <x:c r="Q271" s="85" t="n">
        <x:v>0</x:v>
      </x:c>
    </x:row>
    <x:row r="272" ht="22" customHeight="1">
      <x:c r="A272" s="85" t="n">
        <x:v>268</x:v>
      </x:c>
      <x:c r="B272" s="82" t="str">
        <x:v>Andrea Tafi</x:v>
      </x:c>
      <x:c r="C272" s="85" t="n">
        <x:v>0</x:v>
      </x:c>
      <x:c r="D272" s="85" t="n">
        <x:v>0</x:v>
      </x:c>
      <x:c r="E272" s="85" t="n">
        <x:v>0</x:v>
      </x:c>
      <x:c r="F272" s="85" t="n">
        <x:v>0</x:v>
      </x:c>
      <x:c r="G272" s="85" t="n">
        <x:v>0</x:v>
      </x:c>
      <x:c r="H272" s="85" t="n">
        <x:v>0</x:v>
      </x:c>
      <x:c r="I272" s="85" t="n">
        <x:v>0</x:v>
      </x:c>
      <x:c r="J272" s="85" t="n">
        <x:v>0</x:v>
      </x:c>
      <x:c r="K272" s="85" t="n">
        <x:v>0</x:v>
      </x:c>
      <x:c r="L272" s="85" t="n">
        <x:v>0</x:v>
      </x:c>
      <x:c r="M272" s="85" t="n">
        <x:v>0</x:v>
      </x:c>
      <x:c r="N272" s="85" t="n">
        <x:v>0</x:v>
      </x:c>
      <x:c r="O272" s="85" t="n">
        <x:v>0</x:v>
      </x:c>
      <x:c r="P272" s="85" t="n">
        <x:v>0</x:v>
      </x:c>
      <x:c r="Q272" s="85" t="n">
        <x:v>0</x:v>
      </x:c>
    </x:row>
    <x:row r="273" ht="22" customHeight="1">
      <x:c r="A273" s="85" t="n">
        <x:v>269</x:v>
      </x:c>
      <x:c r="B273" s="82" t="str">
        <x:v>Franco Ballerini</x:v>
      </x:c>
      <x:c r="C273" s="85" t="n">
        <x:v>0</x:v>
      </x:c>
      <x:c r="D273" s="85" t="n">
        <x:v>0</x:v>
      </x:c>
      <x:c r="E273" s="85" t="n">
        <x:v>0</x:v>
      </x:c>
      <x:c r="F273" s="85" t="n">
        <x:v>0</x:v>
      </x:c>
      <x:c r="G273" s="85" t="n">
        <x:v>0</x:v>
      </x:c>
      <x:c r="H273" s="85" t="n">
        <x:v>0</x:v>
      </x:c>
      <x:c r="I273" s="85" t="n">
        <x:v>1</x:v>
      </x:c>
      <x:c r="J273" s="85" t="n">
        <x:v>0</x:v>
      </x:c>
      <x:c r="K273" s="85" t="n">
        <x:v>0</x:v>
      </x:c>
      <x:c r="L273" s="85" t="n">
        <x:v>0</x:v>
      </x:c>
      <x:c r="M273" s="85" t="n">
        <x:v>0</x:v>
      </x:c>
      <x:c r="N273" s="85" t="n">
        <x:v>0</x:v>
      </x:c>
      <x:c r="O273" s="85" t="n">
        <x:v>0</x:v>
      </x:c>
      <x:c r="P273" s="85" t="n">
        <x:v>0</x:v>
      </x:c>
      <x:c r="Q273" s="85" t="n">
        <x:v>0</x:v>
      </x:c>
    </x:row>
    <x:row r="274" ht="22" customHeight="1">
      <x:c r="A274" s="85" t="n">
        <x:v>270</x:v>
      </x:c>
      <x:c r="B274" s="82" t="str">
        <x:v>Magnus Backstedt</x:v>
      </x:c>
      <x:c r="C274" s="85" t="n">
        <x:v>0</x:v>
      </x:c>
      <x:c r="D274" s="85" t="n">
        <x:v>1</x:v>
      </x:c>
      <x:c r="E274" s="85" t="n">
        <x:v>0</x:v>
      </x:c>
      <x:c r="F274" s="85" t="n">
        <x:v>0</x:v>
      </x:c>
      <x:c r="G274" s="85" t="n">
        <x:v>0</x:v>
      </x:c>
      <x:c r="H274" s="85" t="n">
        <x:v>0</x:v>
      </x:c>
      <x:c r="I274" s="85" t="n">
        <x:v>0</x:v>
      </x:c>
      <x:c r="J274" s="85" t="n">
        <x:v>0</x:v>
      </x:c>
      <x:c r="K274" s="85" t="n">
        <x:v>0</x:v>
      </x:c>
      <x:c r="L274" s="85" t="n">
        <x:v>0</x:v>
      </x:c>
      <x:c r="M274" s="85" t="n">
        <x:v>0</x:v>
      </x:c>
      <x:c r="N274" s="85" t="n">
        <x:v>0</x:v>
      </x:c>
      <x:c r="O274" s="85" t="n">
        <x:v>0</x:v>
      </x:c>
      <x:c r="P274" s="85" t="n">
        <x:v>0</x:v>
      </x:c>
      <x:c r="Q274" s="85" t="n">
        <x:v>0</x:v>
      </x:c>
    </x:row>
    <x:row r="275" ht="22" customHeight="1">
      <x:c r="A275" s="85" t="n">
        <x:v>271</x:v>
      </x:c>
      <x:c r="B275" s="82" t="str">
        <x:v>Servais Knaven</x:v>
      </x:c>
      <x:c r="C275" s="85" t="n">
        <x:v>0</x:v>
      </x:c>
      <x:c r="D275" s="85" t="n">
        <x:v>1</x:v>
      </x:c>
      <x:c r="E275" s="85" t="n">
        <x:v>0</x:v>
      </x:c>
      <x:c r="F275" s="85" t="n">
        <x:v>0</x:v>
      </x:c>
      <x:c r="G275" s="85" t="n">
        <x:v>0</x:v>
      </x:c>
      <x:c r="H275" s="85" t="n">
        <x:v>0</x:v>
      </x:c>
      <x:c r="I275" s="85" t="n">
        <x:v>0</x:v>
      </x:c>
      <x:c r="J275" s="85" t="n">
        <x:v>0</x:v>
      </x:c>
      <x:c r="K275" s="85" t="n">
        <x:v>0</x:v>
      </x:c>
      <x:c r="L275" s="85" t="n">
        <x:v>0</x:v>
      </x:c>
      <x:c r="M275" s="85" t="n">
        <x:v>0</x:v>
      </x:c>
      <x:c r="N275" s="85" t="n">
        <x:v>0</x:v>
      </x:c>
      <x:c r="O275" s="85" t="n">
        <x:v>0</x:v>
      </x:c>
      <x:c r="P275" s="85" t="n">
        <x:v>0</x:v>
      </x:c>
      <x:c r="Q275" s="85" t="n">
        <x:v>0</x:v>
      </x:c>
    </x:row>
    <x:row r="276" ht="22" customHeight="1">
      <x:c r="A276" s="85" t="n">
        <x:v>272</x:v>
      </x:c>
      <x:c r="B276" s="82" t="str">
        <x:v>Johan Vansummeren</x:v>
      </x:c>
      <x:c r="C276" s="85" t="n">
        <x:v>0</x:v>
      </x:c>
      <x:c r="D276" s="85" t="n">
        <x:v>0</x:v>
      </x:c>
      <x:c r="E276" s="85" t="n">
        <x:v>0</x:v>
      </x:c>
      <x:c r="F276" s="85" t="n">
        <x:v>0</x:v>
      </x:c>
      <x:c r="G276" s="85" t="n">
        <x:v>0</x:v>
      </x:c>
      <x:c r="H276" s="85" t="n">
        <x:v>0</x:v>
      </x:c>
      <x:c r="I276" s="85" t="n">
        <x:v>0</x:v>
      </x:c>
      <x:c r="J276" s="85" t="n">
        <x:v>0</x:v>
      </x:c>
      <x:c r="K276" s="85" t="n">
        <x:v>0</x:v>
      </x:c>
      <x:c r="L276" s="85" t="n">
        <x:v>0</x:v>
      </x:c>
      <x:c r="M276" s="85" t="n">
        <x:v>0</x:v>
      </x:c>
      <x:c r="N276" s="85" t="n">
        <x:v>0</x:v>
      </x:c>
      <x:c r="O276" s="85" t="n">
        <x:v>0</x:v>
      </x:c>
      <x:c r="P276" s="85" t="n">
        <x:v>0</x:v>
      </x:c>
      <x:c r="Q276" s="85" t="n">
        <x:v>0</x:v>
      </x:c>
    </x:row>
    <x:row r="277" ht="22" customHeight="1">
      <x:c r="A277" s="85" t="n">
        <x:v>273</x:v>
      </x:c>
      <x:c r="B277" s="82" t="str">
        <x:v>Nick Nuyens</x:v>
      </x:c>
      <x:c r="C277" s="85" t="n">
        <x:v>0</x:v>
      </x:c>
      <x:c r="D277" s="85" t="n">
        <x:v>0</x:v>
      </x:c>
      <x:c r="E277" s="85" t="n">
        <x:v>0</x:v>
      </x:c>
      <x:c r="F277" s="85" t="n">
        <x:v>0</x:v>
      </x:c>
      <x:c r="G277" s="85" t="n">
        <x:v>0</x:v>
      </x:c>
      <x:c r="H277" s="85" t="n">
        <x:v>0</x:v>
      </x:c>
      <x:c r="I277" s="85" t="n">
        <x:v>0</x:v>
      </x:c>
      <x:c r="J277" s="85" t="n">
        <x:v>0</x:v>
      </x:c>
      <x:c r="K277" s="85" t="n">
        <x:v>0</x:v>
      </x:c>
      <x:c r="L277" s="85" t="n">
        <x:v>0</x:v>
      </x:c>
      <x:c r="M277" s="85" t="n">
        <x:v>0</x:v>
      </x:c>
      <x:c r="N277" s="85" t="n">
        <x:v>0</x:v>
      </x:c>
      <x:c r="O277" s="85" t="n">
        <x:v>0</x:v>
      </x:c>
      <x:c r="P277" s="85" t="n">
        <x:v>0</x:v>
      </x:c>
      <x:c r="Q277" s="85" t="n">
        <x:v>0</x:v>
      </x:c>
    </x:row>
    <x:row r="278" ht="22" customHeight="1">
      <x:c r="A278" s="85" t="n">
        <x:v>274</x:v>
      </x:c>
      <x:c r="B278" s="82" t="str">
        <x:v>Stijn Devolder</x:v>
      </x:c>
      <x:c r="C278" s="85" t="n">
        <x:v>0</x:v>
      </x:c>
      <x:c r="D278" s="85" t="n">
        <x:v>0</x:v>
      </x:c>
      <x:c r="E278" s="85" t="n">
        <x:v>0</x:v>
      </x:c>
      <x:c r="F278" s="85" t="n">
        <x:v>0</x:v>
      </x:c>
      <x:c r="G278" s="85" t="n">
        <x:v>0</x:v>
      </x:c>
      <x:c r="H278" s="85" t="n">
        <x:v>0</x:v>
      </x:c>
      <x:c r="I278" s="85" t="n">
        <x:v>0</x:v>
      </x:c>
      <x:c r="J278" s="85" t="n">
        <x:v>0</x:v>
      </x:c>
      <x:c r="K278" s="85" t="n">
        <x:v>0</x:v>
      </x:c>
      <x:c r="L278" s="85" t="n">
        <x:v>0</x:v>
      </x:c>
      <x:c r="M278" s="85" t="n">
        <x:v>0</x:v>
      </x:c>
      <x:c r="N278" s="85" t="n">
        <x:v>0</x:v>
      </x:c>
      <x:c r="O278" s="85" t="n">
        <x:v>0</x:v>
      </x:c>
      <x:c r="P278" s="85" t="n">
        <x:v>0</x:v>
      </x:c>
      <x:c r="Q278" s="85" t="n">
        <x:v>0</x:v>
      </x:c>
    </x:row>
    <x:row r="279" ht="22" customHeight="1">
      <x:c r="A279" s="85" t="n">
        <x:v>275</x:v>
      </x:c>
      <x:c r="B279" s="82" t="str">
        <x:v>Steffen Wesemann</x:v>
      </x:c>
      <x:c r="C279" s="85" t="n">
        <x:v>0</x:v>
      </x:c>
      <x:c r="D279" s="85" t="n">
        <x:v>0</x:v>
      </x:c>
      <x:c r="E279" s="85" t="n">
        <x:v>0</x:v>
      </x:c>
      <x:c r="F279" s="85" t="n">
        <x:v>0</x:v>
      </x:c>
      <x:c r="G279" s="85" t="n">
        <x:v>0</x:v>
      </x:c>
      <x:c r="H279" s="85" t="n">
        <x:v>0</x:v>
      </x:c>
      <x:c r="I279" s="85" t="n">
        <x:v>0</x:v>
      </x:c>
      <x:c r="J279" s="85" t="n">
        <x:v>0</x:v>
      </x:c>
      <x:c r="K279" s="85" t="n">
        <x:v>0</x:v>
      </x:c>
      <x:c r="L279" s="85" t="n">
        <x:v>0</x:v>
      </x:c>
      <x:c r="M279" s="85" t="n">
        <x:v>0</x:v>
      </x:c>
      <x:c r="N279" s="85" t="n">
        <x:v>0</x:v>
      </x:c>
      <x:c r="O279" s="85" t="n">
        <x:v>0</x:v>
      </x:c>
      <x:c r="P279" s="85" t="n">
        <x:v>0</x:v>
      </x:c>
      <x:c r="Q279" s="85" t="n">
        <x:v>0</x:v>
      </x:c>
    </x:row>
    <x:row r="280" ht="22" customHeight="1">
      <x:c r="A280" s="85" t="n">
        <x:v>276</x:v>
      </x:c>
      <x:c r="B280" s="82" t="str">
        <x:v>Filippo Pozzato</x:v>
      </x:c>
      <x:c r="C280" s="85" t="n">
        <x:v>0</x:v>
      </x:c>
      <x:c r="D280" s="85" t="n">
        <x:v>2</x:v>
      </x:c>
      <x:c r="E280" s="85" t="n">
        <x:v>0</x:v>
      </x:c>
      <x:c r="F280" s="85" t="n">
        <x:v>0</x:v>
      </x:c>
      <x:c r="G280" s="85" t="n">
        <x:v>0</x:v>
      </x:c>
      <x:c r="H280" s="85" t="n">
        <x:v>0</x:v>
      </x:c>
      <x:c r="I280" s="85" t="n">
        <x:v>1</x:v>
      </x:c>
      <x:c r="J280" s="85" t="n">
        <x:v>0</x:v>
      </x:c>
      <x:c r="K280" s="85" t="n">
        <x:v>0</x:v>
      </x:c>
      <x:c r="L280" s="85" t="n">
        <x:v>0</x:v>
      </x:c>
      <x:c r="M280" s="85" t="n">
        <x:v>0</x:v>
      </x:c>
      <x:c r="N280" s="85" t="n">
        <x:v>0</x:v>
      </x:c>
      <x:c r="O280" s="85" t="n">
        <x:v>0</x:v>
      </x:c>
      <x:c r="P280" s="85" t="n">
        <x:v>0</x:v>
      </x:c>
      <x:c r="Q280" s="85" t="n">
        <x:v>0</x:v>
      </x:c>
    </x:row>
    <x:row r="281" ht="22" customHeight="1">
      <x:c r="A281" s="85" t="n">
        <x:v>277</x:v>
      </x:c>
      <x:c r="B281" s="82" t="str">
        <x:v>Tiesj Benoot</x:v>
      </x:c>
      <x:c r="C281" s="85" t="n">
        <x:v>0</x:v>
      </x:c>
      <x:c r="D281" s="85" t="n">
        <x:v>0</x:v>
      </x:c>
      <x:c r="E281" s="85" t="n">
        <x:v>0</x:v>
      </x:c>
      <x:c r="F281" s="85" t="n">
        <x:v>0</x:v>
      </x:c>
      <x:c r="G281" s="85" t="n">
        <x:v>0</x:v>
      </x:c>
      <x:c r="H281" s="85" t="n">
        <x:v>0</x:v>
      </x:c>
      <x:c r="I281" s="85" t="n">
        <x:v>0</x:v>
      </x:c>
      <x:c r="J281" s="85" t="n">
        <x:v>0</x:v>
      </x:c>
      <x:c r="K281" s="85" t="n">
        <x:v>0</x:v>
      </x:c>
      <x:c r="L281" s="85" t="n">
        <x:v>0</x:v>
      </x:c>
      <x:c r="M281" s="85" t="n">
        <x:v>0</x:v>
      </x:c>
      <x:c r="N281" s="85" t="n">
        <x:v>0</x:v>
      </x:c>
      <x:c r="O281" s="85" t="n">
        <x:v>0</x:v>
      </x:c>
      <x:c r="P281" s="85" t="n">
        <x:v>0</x:v>
      </x:c>
      <x:c r="Q281" s="85" t="n">
        <x:v>0</x:v>
      </x:c>
    </x:row>
    <x:row r="282" ht="22" customHeight="1">
      <x:c r="A282" s="85" t="n">
        <x:v>278</x:v>
      </x:c>
      <x:c r="B282" s="82" t="str">
        <x:v>Dylan Teuns</x:v>
      </x:c>
      <x:c r="C282" s="85" t="n">
        <x:v>0</x:v>
      </x:c>
      <x:c r="D282" s="85" t="n">
        <x:v>2</x:v>
      </x:c>
      <x:c r="E282" s="85" t="n">
        <x:v>0</x:v>
      </x:c>
      <x:c r="F282" s="85" t="n">
        <x:v>0</x:v>
      </x:c>
      <x:c r="G282" s="85" t="n">
        <x:v>0</x:v>
      </x:c>
      <x:c r="H282" s="85" t="n">
        <x:v>0</x:v>
      </x:c>
      <x:c r="I282" s="85" t="n">
        <x:v>0</x:v>
      </x:c>
      <x:c r="J282" s="85" t="n">
        <x:v>0</x:v>
      </x:c>
      <x:c r="K282" s="85" t="n">
        <x:v>0</x:v>
      </x:c>
      <x:c r="L282" s="85" t="n">
        <x:v>0</x:v>
      </x:c>
      <x:c r="M282" s="85" t="n">
        <x:v>0</x:v>
      </x:c>
      <x:c r="N282" s="85" t="n">
        <x:v>0</x:v>
      </x:c>
      <x:c r="O282" s="85" t="n">
        <x:v>0</x:v>
      </x:c>
      <x:c r="P282" s="85" t="n">
        <x:v>0</x:v>
      </x:c>
      <x:c r="Q282" s="85" t="n">
        <x:v>0</x:v>
      </x:c>
    </x:row>
    <x:row r="283" ht="22" customHeight="1">
      <x:c r="A283" s="85" t="n">
        <x:v>279</x:v>
      </x:c>
      <x:c r="B283" s="82" t="str">
        <x:v>Tim Wellens</x:v>
      </x:c>
      <x:c r="C283" s="85" t="n">
        <x:v>0</x:v>
      </x:c>
      <x:c r="D283" s="85" t="n">
        <x:v>1</x:v>
      </x:c>
      <x:c r="E283" s="85" t="n">
        <x:v>0</x:v>
      </x:c>
      <x:c r="F283" s="85" t="n">
        <x:v>0</x:v>
      </x:c>
      <x:c r="G283" s="85" t="n">
        <x:v>0</x:v>
      </x:c>
      <x:c r="H283" s="85" t="n">
        <x:v>0</x:v>
      </x:c>
      <x:c r="I283" s="85" t="n">
        <x:v>2</x:v>
      </x:c>
      <x:c r="J283" s="85" t="n">
        <x:v>0</x:v>
      </x:c>
      <x:c r="K283" s="85" t="n">
        <x:v>0</x:v>
      </x:c>
      <x:c r="L283" s="85" t="n">
        <x:v>0</x:v>
      </x:c>
      <x:c r="M283" s="85" t="n">
        <x:v>0</x:v>
      </x:c>
      <x:c r="N283" s="85" t="n">
        <x:v>2</x:v>
      </x:c>
      <x:c r="O283" s="85" t="n">
        <x:v>0</x:v>
      </x:c>
      <x:c r="P283" s="85" t="n">
        <x:v>0</x:v>
      </x:c>
      <x:c r="Q283" s="85" t="n">
        <x:v>0</x:v>
      </x:c>
    </x:row>
    <x:row r="284" ht="22" customHeight="1">
      <x:c r="A284" s="85" t="n">
        <x:v>280</x:v>
      </x:c>
      <x:c r="B284" s="82" t="str">
        <x:v>Jhonatan Narvaez</x:v>
      </x:c>
      <x:c r="C284" s="85" t="n">
        <x:v>0</x:v>
      </x:c>
      <x:c r="D284" s="85" t="n">
        <x:v>0</x:v>
      </x:c>
      <x:c r="E284" s="85" t="n">
        <x:v>0</x:v>
      </x:c>
      <x:c r="F284" s="85" t="n">
        <x:v>0</x:v>
      </x:c>
      <x:c r="G284" s="85" t="n">
        <x:v>0</x:v>
      </x:c>
      <x:c r="H284" s="85" t="n">
        <x:v>0</x:v>
      </x:c>
      <x:c r="I284" s="85" t="n">
        <x:v>5</x:v>
      </x:c>
      <x:c r="J284" s="85" t="n">
        <x:v>0</x:v>
      </x:c>
      <x:c r="K284" s="85" t="n">
        <x:v>0</x:v>
      </x:c>
      <x:c r="L284" s="85" t="n">
        <x:v>0</x:v>
      </x:c>
      <x:c r="M284" s="85" t="n">
        <x:v>0</x:v>
      </x:c>
      <x:c r="N284" s="85" t="n">
        <x:v>0</x:v>
      </x:c>
      <x:c r="O284" s="85" t="n">
        <x:v>0</x:v>
      </x:c>
      <x:c r="P284" s="85" t="n">
        <x:v>0</x:v>
      </x:c>
      <x:c r="Q284" s="85" t="n">
        <x:v>0</x:v>
      </x:c>
    </x:row>
    <x:row r="285" ht="22" customHeight="1">
      <x:c r="A285" s="85" t="n">
        <x:v>281</x:v>
      </x:c>
      <x:c r="B285" s="82" t="str">
        <x:v>Daniel Martin</x:v>
      </x:c>
      <x:c r="C285" s="85" t="n">
        <x:v>0</x:v>
      </x:c>
      <x:c r="D285" s="85" t="n">
        <x:v>0</x:v>
      </x:c>
      <x:c r="E285" s="85" t="n">
        <x:v>0</x:v>
      </x:c>
      <x:c r="F285" s="85" t="n">
        <x:v>0</x:v>
      </x:c>
      <x:c r="G285" s="85" t="n">
        <x:v>0</x:v>
      </x:c>
      <x:c r="H285" s="85" t="n">
        <x:v>0</x:v>
      </x:c>
      <x:c r="I285" s="85" t="n">
        <x:v>0</x:v>
      </x:c>
      <x:c r="J285" s="85" t="n">
        <x:v>0</x:v>
      </x:c>
      <x:c r="K285" s="85" t="n">
        <x:v>0</x:v>
      </x:c>
      <x:c r="L285" s="85" t="n">
        <x:v>0</x:v>
      </x:c>
      <x:c r="M285" s="85" t="n">
        <x:v>0</x:v>
      </x:c>
      <x:c r="N285" s="85" t="n">
        <x:v>0</x:v>
      </x:c>
      <x:c r="O285" s="85" t="n">
        <x:v>0</x:v>
      </x:c>
      <x:c r="P285" s="85" t="n">
        <x:v>0</x:v>
      </x:c>
      <x:c r="Q285" s="85" t="n">
        <x:v>0</x:v>
      </x:c>
    </x:row>
    <x:row r="286" ht="22" customHeight="1">
      <x:c r="A286" s="85" t="n">
        <x:v>282</x:v>
      </x:c>
      <x:c r="B286" s="82" t="str">
        <x:v>Jakob Fuglsang</x:v>
      </x:c>
      <x:c r="C286" s="85" t="n">
        <x:v>0</x:v>
      </x:c>
      <x:c r="D286" s="85" t="n">
        <x:v>0</x:v>
      </x:c>
      <x:c r="E286" s="85" t="n">
        <x:v>0</x:v>
      </x:c>
      <x:c r="F286" s="85" t="n">
        <x:v>0</x:v>
      </x:c>
      <x:c r="G286" s="85" t="n">
        <x:v>0</x:v>
      </x:c>
      <x:c r="H286" s="85" t="n">
        <x:v>0</x:v>
      </x:c>
      <x:c r="I286" s="85" t="n">
        <x:v>0</x:v>
      </x:c>
      <x:c r="J286" s="85" t="n">
        <x:v>0</x:v>
      </x:c>
      <x:c r="K286" s="85" t="n">
        <x:v>0</x:v>
      </x:c>
      <x:c r="L286" s="85" t="n">
        <x:v>0</x:v>
      </x:c>
      <x:c r="M286" s="85" t="n">
        <x:v>0</x:v>
      </x:c>
      <x:c r="N286" s="85" t="n">
        <x:v>1</x:v>
      </x:c>
      <x:c r="O286" s="85" t="n">
        <x:v>0</x:v>
      </x:c>
      <x:c r="P286" s="85" t="n">
        <x:v>0</x:v>
      </x:c>
      <x:c r="Q286" s="85" t="n">
        <x:v>0</x:v>
      </x:c>
    </x:row>
    <x:row r="287" ht="22" customHeight="1">
      <x:c r="A287" s="85" t="n">
        <x:v>283</x:v>
      </x:c>
      <x:c r="B287" s="82" t="str">
        <x:v>Michael Woods</x:v>
      </x:c>
      <x:c r="C287" s="85" t="n">
        <x:v>0</x:v>
      </x:c>
      <x:c r="D287" s="85" t="n">
        <x:v>1</x:v>
      </x:c>
      <x:c r="E287" s="85" t="n">
        <x:v>0</x:v>
      </x:c>
      <x:c r="F287" s="85" t="n">
        <x:v>0</x:v>
      </x:c>
      <x:c r="G287" s="85" t="n">
        <x:v>0</x:v>
      </x:c>
      <x:c r="H287" s="85" t="n">
        <x:v>0</x:v>
      </x:c>
      <x:c r="I287" s="85" t="n">
        <x:v>0</x:v>
      </x:c>
      <x:c r="J287" s="85" t="n">
        <x:v>0</x:v>
      </x:c>
      <x:c r="K287" s="85" t="n">
        <x:v>0</x:v>
      </x:c>
      <x:c r="L287" s="85" t="n">
        <x:v>0</x:v>
      </x:c>
      <x:c r="M287" s="85" t="n">
        <x:v>0</x:v>
      </x:c>
      <x:c r="N287" s="85" t="n">
        <x:v>3</x:v>
      </x:c>
      <x:c r="O287" s="85" t="n">
        <x:v>0</x:v>
      </x:c>
      <x:c r="P287" s="85" t="n">
        <x:v>0</x:v>
      </x:c>
      <x:c r="Q287" s="85" t="n">
        <x:v>0</x:v>
      </x:c>
    </x:row>
    <x:row r="288" ht="22" customHeight="1">
      <x:c r="A288" s="85" t="n">
        <x:v>284</x:v>
      </x:c>
      <x:c r="B288" s="82" t="str">
        <x:v>Marc Hirschi</x:v>
      </x:c>
      <x:c r="C288" s="85" t="n">
        <x:v>0</x:v>
      </x:c>
      <x:c r="D288" s="85" t="n">
        <x:v>1</x:v>
      </x:c>
      <x:c r="E288" s="85" t="n">
        <x:v>0</x:v>
      </x:c>
      <x:c r="F288" s="85" t="n">
        <x:v>0</x:v>
      </x:c>
      <x:c r="G288" s="85" t="n">
        <x:v>0</x:v>
      </x:c>
      <x:c r="H288" s="85" t="n">
        <x:v>0</x:v>
      </x:c>
      <x:c r="I288" s="85" t="n">
        <x:v>0</x:v>
      </x:c>
      <x:c r="J288" s="85" t="n">
        <x:v>0</x:v>
      </x:c>
      <x:c r="K288" s="85" t="n">
        <x:v>0</x:v>
      </x:c>
      <x:c r="L288" s="85" t="n">
        <x:v>0</x:v>
      </x:c>
      <x:c r="M288" s="85" t="n">
        <x:v>0</x:v>
      </x:c>
      <x:c r="N288" s="85" t="n">
        <x:v>0</x:v>
      </x:c>
      <x:c r="O288" s="85" t="n">
        <x:v>0</x:v>
      </x:c>
      <x:c r="P288" s="85" t="n">
        <x:v>0</x:v>
      </x:c>
      <x:c r="Q288" s="85" t="n">
        <x:v>0</x:v>
      </x:c>
    </x:row>
    <x:row r="289" ht="22" customHeight="1">
      <x:c r="A289" s="85" t="n">
        <x:v>285</x:v>
      </x:c>
      <x:c r="B289" s="82" t="str">
        <x:v>Benoit Cosnefroy</x:v>
      </x:c>
      <x:c r="C289" s="85" t="n">
        <x:v>0</x:v>
      </x:c>
      <x:c r="D289" s="85" t="n">
        <x:v>0</x:v>
      </x:c>
      <x:c r="E289" s="85" t="n">
        <x:v>0</x:v>
      </x:c>
      <x:c r="F289" s="85" t="n">
        <x:v>0</x:v>
      </x:c>
      <x:c r="G289" s="85" t="n">
        <x:v>0</x:v>
      </x:c>
      <x:c r="H289" s="85" t="n">
        <x:v>0</x:v>
      </x:c>
      <x:c r="I289" s="85" t="n">
        <x:v>0</x:v>
      </x:c>
      <x:c r="J289" s="85" t="n">
        <x:v>0</x:v>
      </x:c>
      <x:c r="K289" s="85" t="n">
        <x:v>0</x:v>
      </x:c>
      <x:c r="L289" s="85" t="n">
        <x:v>0</x:v>
      </x:c>
      <x:c r="M289" s="85" t="n">
        <x:v>0</x:v>
      </x:c>
      <x:c r="N289" s="85" t="n">
        <x:v>0</x:v>
      </x:c>
      <x:c r="O289" s="85" t="n">
        <x:v>0</x:v>
      </x:c>
      <x:c r="P289" s="85" t="n">
        <x:v>0</x:v>
      </x:c>
      <x:c r="Q289" s="85" t="n">
        <x:v>0</x:v>
      </x:c>
    </x:row>
    <x:row r="290" ht="22" customHeight="1">
      <x:c r="A290" s="85" t="n">
        <x:v>286</x:v>
      </x:c>
      <x:c r="B290" s="82" t="str">
        <x:v>Valentin Madouas</x:v>
      </x:c>
      <x:c r="C290" s="85" t="n">
        <x:v>0</x:v>
      </x:c>
      <x:c r="D290" s="85" t="n">
        <x:v>0</x:v>
      </x:c>
      <x:c r="E290" s="85" t="n">
        <x:v>0</x:v>
      </x:c>
      <x:c r="F290" s="85" t="n">
        <x:v>0</x:v>
      </x:c>
      <x:c r="G290" s="85" t="n">
        <x:v>0</x:v>
      </x:c>
      <x:c r="H290" s="85" t="n">
        <x:v>0</x:v>
      </x:c>
      <x:c r="I290" s="85" t="n">
        <x:v>0</x:v>
      </x:c>
      <x:c r="J290" s="85" t="n">
        <x:v>0</x:v>
      </x:c>
      <x:c r="K290" s="85" t="n">
        <x:v>0</x:v>
      </x:c>
      <x:c r="L290" s="85" t="n">
        <x:v>0</x:v>
      </x:c>
      <x:c r="M290" s="85" t="n">
        <x:v>0</x:v>
      </x:c>
      <x:c r="N290" s="85" t="n">
        <x:v>0</x:v>
      </x:c>
      <x:c r="O290" s="85" t="n">
        <x:v>0</x:v>
      </x:c>
      <x:c r="P290" s="85" t="n">
        <x:v>0</x:v>
      </x:c>
      <x:c r="Q290" s="85" t="n">
        <x:v>0</x:v>
      </x:c>
    </x:row>
    <x:row r="291" ht="22" customHeight="1">
      <x:c r="A291" s="85" t="n">
        <x:v>287</x:v>
      </x:c>
      <x:c r="B291" s="82" t="str">
        <x:v>Romain Gregoire</x:v>
      </x:c>
      <x:c r="C291" s="85" t="n">
        <x:v>0</x:v>
      </x:c>
      <x:c r="D291" s="85" t="n">
        <x:v>0</x:v>
      </x:c>
      <x:c r="E291" s="85" t="n">
        <x:v>0</x:v>
      </x:c>
      <x:c r="F291" s="85" t="n">
        <x:v>0</x:v>
      </x:c>
      <x:c r="G291" s="85" t="n">
        <x:v>0</x:v>
      </x:c>
      <x:c r="H291" s="85" t="n">
        <x:v>0</x:v>
      </x:c>
      <x:c r="I291" s="85" t="n">
        <x:v>0</x:v>
      </x:c>
      <x:c r="J291" s="85" t="n">
        <x:v>0</x:v>
      </x:c>
      <x:c r="K291" s="85" t="n">
        <x:v>0</x:v>
      </x:c>
      <x:c r="L291" s="85" t="n">
        <x:v>0</x:v>
      </x:c>
      <x:c r="M291" s="85" t="n">
        <x:v>0</x:v>
      </x:c>
      <x:c r="N291" s="85" t="n">
        <x:v>0</x:v>
      </x:c>
      <x:c r="O291" s="85" t="n">
        <x:v>0</x:v>
      </x:c>
      <x:c r="P291" s="85" t="n">
        <x:v>0</x:v>
      </x:c>
      <x:c r="Q291" s="85" t="n">
        <x:v>0</x:v>
      </x:c>
    </x:row>
    <x:row r="292" ht="22" customHeight="1">
      <x:c r="A292" s="85" t="n">
        <x:v>288</x:v>
      </x:c>
      <x:c r="B292" s="82" t="str">
        <x:v>Maxim Van Gils</x:v>
      </x:c>
      <x:c r="C292" s="85" t="n">
        <x:v>0</x:v>
      </x:c>
      <x:c r="D292" s="85" t="n">
        <x:v>0</x:v>
      </x:c>
      <x:c r="E292" s="85" t="n">
        <x:v>0</x:v>
      </x:c>
      <x:c r="F292" s="85" t="n">
        <x:v>0</x:v>
      </x:c>
      <x:c r="G292" s="85" t="n">
        <x:v>0</x:v>
      </x:c>
      <x:c r="H292" s="85" t="n">
        <x:v>0</x:v>
      </x:c>
      <x:c r="I292" s="85" t="n">
        <x:v>0</x:v>
      </x:c>
      <x:c r="J292" s="85" t="n">
        <x:v>0</x:v>
      </x:c>
      <x:c r="K292" s="85" t="n">
        <x:v>0</x:v>
      </x:c>
      <x:c r="L292" s="85" t="n">
        <x:v>0</x:v>
      </x:c>
      <x:c r="M292" s="85" t="n">
        <x:v>0</x:v>
      </x:c>
      <x:c r="N292" s="85" t="n">
        <x:v>0</x:v>
      </x:c>
      <x:c r="O292" s="85" t="n">
        <x:v>0</x:v>
      </x:c>
      <x:c r="P292" s="85" t="n">
        <x:v>0</x:v>
      </x:c>
      <x:c r="Q292" s="85" t="n">
        <x:v>0</x:v>
      </x:c>
    </x:row>
    <x:row r="293" ht="22" customHeight="1">
      <x:c r="A293" s="85" t="n">
        <x:v>289</x:v>
      </x:c>
      <x:c r="B293" s="82" t="str">
        <x:v>Rui Costa</x:v>
      </x:c>
      <x:c r="C293" s="85" t="n">
        <x:v>0</x:v>
      </x:c>
      <x:c r="D293" s="85" t="n">
        <x:v>3</x:v>
      </x:c>
      <x:c r="E293" s="85" t="n">
        <x:v>0</x:v>
      </x:c>
      <x:c r="F293" s="85" t="n">
        <x:v>0</x:v>
      </x:c>
      <x:c r="G293" s="85" t="n">
        <x:v>0</x:v>
      </x:c>
      <x:c r="H293" s="85" t="n">
        <x:v>0</x:v>
      </x:c>
      <x:c r="I293" s="85" t="n">
        <x:v>0</x:v>
      </x:c>
      <x:c r="J293" s="85" t="n">
        <x:v>0</x:v>
      </x:c>
      <x:c r="K293" s="85" t="n">
        <x:v>0</x:v>
      </x:c>
      <x:c r="L293" s="85" t="n">
        <x:v>0</x:v>
      </x:c>
      <x:c r="M293" s="85" t="n">
        <x:v>0</x:v>
      </x:c>
      <x:c r="N293" s="85" t="n">
        <x:v>1</x:v>
      </x:c>
      <x:c r="O293" s="85" t="n">
        <x:v>0</x:v>
      </x:c>
      <x:c r="P293" s="85" t="n">
        <x:v>0</x:v>
      </x:c>
      <x:c r="Q293" s="85" t="n">
        <x:v>0</x:v>
      </x:c>
    </x:row>
    <x:row r="294" ht="22" customHeight="1">
      <x:c r="A294" s="85" t="n">
        <x:v>290</x:v>
      </x:c>
      <x:c r="B294" s="82" t="str">
        <x:v>Michael Albasini</x:v>
      </x:c>
      <x:c r="C294" s="85" t="n">
        <x:v>0</x:v>
      </x:c>
      <x:c r="D294" s="85" t="n">
        <x:v>0</x:v>
      </x:c>
      <x:c r="E294" s="85" t="n">
        <x:v>0</x:v>
      </x:c>
      <x:c r="F294" s="85" t="n">
        <x:v>0</x:v>
      </x:c>
      <x:c r="G294" s="85" t="n">
        <x:v>0</x:v>
      </x:c>
      <x:c r="H294" s="85" t="n">
        <x:v>0</x:v>
      </x:c>
      <x:c r="I294" s="85" t="n">
        <x:v>0</x:v>
      </x:c>
      <x:c r="J294" s="85" t="n">
        <x:v>0</x:v>
      </x:c>
      <x:c r="K294" s="85" t="n">
        <x:v>0</x:v>
      </x:c>
      <x:c r="L294" s="85" t="n">
        <x:v>0</x:v>
      </x:c>
      <x:c r="M294" s="85" t="n">
        <x:v>0</x:v>
      </x:c>
      <x:c r="N294" s="85" t="n">
        <x:v>1</x:v>
      </x:c>
      <x:c r="O294" s="85" t="n">
        <x:v>0</x:v>
      </x:c>
      <x:c r="P294" s="85" t="n">
        <x:v>0</x:v>
      </x:c>
      <x:c r="Q294" s="85" t="n">
        <x:v>0</x:v>
      </x:c>
    </x:row>
    <x:row r="295" ht="22" customHeight="1">
      <x:c r="A295" s="85" t="n">
        <x:v>291</x:v>
      </x:c>
      <x:c r="B295" s="82" t="str">
        <x:v>Victor Campenaerts</x:v>
      </x:c>
      <x:c r="C295" s="85" t="n">
        <x:v>0</x:v>
      </x:c>
      <x:c r="D295" s="85" t="n">
        <x:v>1</x:v>
      </x:c>
      <x:c r="E295" s="85" t="n">
        <x:v>0</x:v>
      </x:c>
      <x:c r="F295" s="85" t="n">
        <x:v>0</x:v>
      </x:c>
      <x:c r="G295" s="85" t="n">
        <x:v>0</x:v>
      </x:c>
      <x:c r="H295" s="85" t="n">
        <x:v>0</x:v>
      </x:c>
      <x:c r="I295" s="85" t="n">
        <x:v>1</x:v>
      </x:c>
      <x:c r="J295" s="85" t="n">
        <x:v>0</x:v>
      </x:c>
      <x:c r="K295" s="85" t="n">
        <x:v>0</x:v>
      </x:c>
      <x:c r="L295" s="85" t="n">
        <x:v>0</x:v>
      </x:c>
      <x:c r="M295" s="85" t="n">
        <x:v>0</x:v>
      </x:c>
      <x:c r="N295" s="85" t="n">
        <x:v>0</x:v>
      </x:c>
      <x:c r="O295" s="85" t="n">
        <x:v>0</x:v>
      </x:c>
      <x:c r="P295" s="85" t="n">
        <x:v>0</x:v>
      </x:c>
      <x:c r="Q295" s="85" t="n">
        <x:v>0</x:v>
      </x:c>
    </x:row>
    <x:row r="296" ht="22" customHeight="1">
      <x:c r="A296" s="85" t="n">
        <x:v>292</x:v>
      </x:c>
      <x:c r="B296" s="82" t="str">
        <x:v>Stefan Bissegger</x:v>
      </x:c>
      <x:c r="C296" s="85" t="n">
        <x:v>0</x:v>
      </x:c>
      <x:c r="D296" s="85" t="n">
        <x:v>0</x:v>
      </x:c>
      <x:c r="E296" s="85" t="n">
        <x:v>0</x:v>
      </x:c>
      <x:c r="F296" s="85" t="n">
        <x:v>0</x:v>
      </x:c>
      <x:c r="G296" s="85" t="n">
        <x:v>0</x:v>
      </x:c>
      <x:c r="H296" s="85" t="n">
        <x:v>0</x:v>
      </x:c>
      <x:c r="I296" s="85" t="n">
        <x:v>0</x:v>
      </x:c>
      <x:c r="J296" s="85" t="n">
        <x:v>0</x:v>
      </x:c>
      <x:c r="K296" s="85" t="n">
        <x:v>0</x:v>
      </x:c>
      <x:c r="L296" s="85" t="n">
        <x:v>0</x:v>
      </x:c>
      <x:c r="M296" s="85" t="n">
        <x:v>0</x:v>
      </x:c>
      <x:c r="N296" s="85" t="n">
        <x:v>0</x:v>
      </x:c>
      <x:c r="O296" s="85" t="n">
        <x:v>0</x:v>
      </x:c>
      <x:c r="P296" s="85" t="n">
        <x:v>0</x:v>
      </x:c>
      <x:c r="Q296" s="85" t="n">
        <x:v>0</x:v>
      </x:c>
    </x:row>
    <x:row r="297" ht="22" customHeight="1">
      <x:c r="A297" s="85" t="n">
        <x:v>293</x:v>
      </x:c>
      <x:c r="B297" s="82" t="str">
        <x:v>Joshua Tarling</x:v>
      </x:c>
      <x:c r="C297" s="85" t="n">
        <x:v>0</x:v>
      </x:c>
      <x:c r="D297" s="85" t="n">
        <x:v>0</x:v>
      </x:c>
      <x:c r="E297" s="85" t="n">
        <x:v>0</x:v>
      </x:c>
      <x:c r="F297" s="85" t="n">
        <x:v>0</x:v>
      </x:c>
      <x:c r="G297" s="85" t="n">
        <x:v>0</x:v>
      </x:c>
      <x:c r="H297" s="85" t="n">
        <x:v>0</x:v>
      </x:c>
      <x:c r="I297" s="85" t="n">
        <x:v>0</x:v>
      </x:c>
      <x:c r="J297" s="85" t="n">
        <x:v>0</x:v>
      </x:c>
      <x:c r="K297" s="85" t="n">
        <x:v>0</x:v>
      </x:c>
      <x:c r="L297" s="85" t="n">
        <x:v>0</x:v>
      </x:c>
      <x:c r="M297" s="85" t="n">
        <x:v>0</x:v>
      </x:c>
      <x:c r="N297" s="85" t="n">
        <x:v>0</x:v>
      </x:c>
      <x:c r="O297" s="85" t="n">
        <x:v>0</x:v>
      </x:c>
      <x:c r="P297" s="85" t="n">
        <x:v>0</x:v>
      </x:c>
      <x:c r="Q297" s="85" t="n">
        <x:v>0</x:v>
      </x:c>
    </x:row>
    <x:row r="298" ht="22" customHeight="1">
      <x:c r="A298" s="85" t="n">
        <x:v>294</x:v>
      </x:c>
      <x:c r="B298" s="82" t="str">
        <x:v>Soren Waerenskjold</x:v>
      </x:c>
      <x:c r="C298" s="85" t="n">
        <x:v>0</x:v>
      </x:c>
      <x:c r="D298" s="85" t="n">
        <x:v>0</x:v>
      </x:c>
      <x:c r="E298" s="85" t="n">
        <x:v>0</x:v>
      </x:c>
      <x:c r="F298" s="85" t="n">
        <x:v>0</x:v>
      </x:c>
      <x:c r="G298" s="85" t="n">
        <x:v>0</x:v>
      </x:c>
      <x:c r="H298" s="85" t="n">
        <x:v>0</x:v>
      </x:c>
      <x:c r="I298" s="85" t="n">
        <x:v>0</x:v>
      </x:c>
      <x:c r="J298" s="85" t="n">
        <x:v>0</x:v>
      </x:c>
      <x:c r="K298" s="85" t="n">
        <x:v>0</x:v>
      </x:c>
      <x:c r="L298" s="85" t="n">
        <x:v>0</x:v>
      </x:c>
      <x:c r="M298" s="85" t="n">
        <x:v>0</x:v>
      </x:c>
      <x:c r="N298" s="85" t="n">
        <x:v>0</x:v>
      </x:c>
      <x:c r="O298" s="85" t="n">
        <x:v>0</x:v>
      </x:c>
      <x:c r="P298" s="85" t="n">
        <x:v>0</x:v>
      </x:c>
      <x:c r="Q298" s="85" t="n">
        <x:v>0</x:v>
      </x:c>
    </x:row>
    <x:row r="299" ht="22" customHeight="1">
      <x:c r="A299" s="85" t="n">
        <x:v>295</x:v>
      </x:c>
      <x:c r="B299" s="82" t="str">
        <x:v>Tobias Ludvigsson</x:v>
      </x:c>
      <x:c r="C299" s="85" t="n">
        <x:v>0</x:v>
      </x:c>
      <x:c r="D299" s="85" t="n">
        <x:v>0</x:v>
      </x:c>
      <x:c r="E299" s="85" t="n">
        <x:v>0</x:v>
      </x:c>
      <x:c r="F299" s="85" t="n">
        <x:v>0</x:v>
      </x:c>
      <x:c r="G299" s="85" t="n">
        <x:v>0</x:v>
      </x:c>
      <x:c r="H299" s="85" t="n">
        <x:v>0</x:v>
      </x:c>
      <x:c r="I299" s="85" t="n">
        <x:v>0</x:v>
      </x:c>
      <x:c r="J299" s="85" t="n">
        <x:v>0</x:v>
      </x:c>
      <x:c r="K299" s="85" t="n">
        <x:v>0</x:v>
      </x:c>
      <x:c r="L299" s="85" t="n">
        <x:v>0</x:v>
      </x:c>
      <x:c r="M299" s="85" t="n">
        <x:v>0</x:v>
      </x:c>
      <x:c r="N299" s="85" t="n">
        <x:v>0</x:v>
      </x:c>
      <x:c r="O299" s="85" t="n">
        <x:v>0</x:v>
      </x:c>
      <x:c r="P299" s="85" t="n">
        <x:v>0</x:v>
      </x:c>
      <x:c r="Q299" s="85" t="n">
        <x:v>0</x:v>
      </x:c>
    </x:row>
    <x:row r="300" ht="22" customHeight="1">
      <x:c r="A300" s="85" t="n">
        <x:v>296</x:v>
      </x:c>
      <x:c r="B300" s="82" t="str">
        <x:v>David Zabriskie</x:v>
      </x:c>
      <x:c r="C300" s="85" t="n">
        <x:v>0</x:v>
      </x:c>
      <x:c r="D300" s="85" t="n">
        <x:v>1</x:v>
      </x:c>
      <x:c r="E300" s="85" t="n">
        <x:v>0</x:v>
      </x:c>
      <x:c r="F300" s="85" t="n">
        <x:v>0</x:v>
      </x:c>
      <x:c r="G300" s="85" t="n">
        <x:v>0</x:v>
      </x:c>
      <x:c r="H300" s="85" t="n">
        <x:v>0</x:v>
      </x:c>
      <x:c r="I300" s="85" t="n">
        <x:v>1</x:v>
      </x:c>
      <x:c r="J300" s="85" t="n">
        <x:v>0</x:v>
      </x:c>
      <x:c r="K300" s="85" t="n">
        <x:v>0</x:v>
      </x:c>
      <x:c r="L300" s="85" t="n">
        <x:v>0</x:v>
      </x:c>
      <x:c r="M300" s="85" t="n">
        <x:v>0</x:v>
      </x:c>
      <x:c r="N300" s="85" t="n">
        <x:v>1</x:v>
      </x:c>
      <x:c r="O300" s="85" t="n">
        <x:v>0</x:v>
      </x:c>
      <x:c r="P300" s="85" t="n">
        <x:v>0</x:v>
      </x:c>
      <x:c r="Q300" s="85" t="n">
        <x:v>0</x:v>
      </x:c>
    </x:row>
    <x:row r="301" ht="22" customHeight="1">
      <x:c r="A301" s="85" t="n">
        <x:v>297</x:v>
      </x:c>
      <x:c r="B301" s="82" t="str">
        <x:v>Gustav Erik Larsson</x:v>
      </x:c>
      <x:c r="C301" s="85" t="n">
        <x:v>0</x:v>
      </x:c>
      <x:c r="D301" s="85" t="n">
        <x:v>0</x:v>
      </x:c>
      <x:c r="E301" s="85" t="n">
        <x:v>0</x:v>
      </x:c>
      <x:c r="F301" s="85" t="n">
        <x:v>0</x:v>
      </x:c>
      <x:c r="G301" s="85" t="n">
        <x:v>0</x:v>
      </x:c>
      <x:c r="H301" s="85" t="n">
        <x:v>0</x:v>
      </x:c>
      <x:c r="I301" s="85" t="n">
        <x:v>0</x:v>
      </x:c>
      <x:c r="J301" s="85" t="n">
        <x:v>0</x:v>
      </x:c>
      <x:c r="K301" s="85" t="n">
        <x:v>0</x:v>
      </x:c>
      <x:c r="L301" s="85" t="n">
        <x:v>0</x:v>
      </x:c>
      <x:c r="M301" s="85" t="n">
        <x:v>0</x:v>
      </x:c>
      <x:c r="N301" s="85" t="n">
        <x:v>0</x:v>
      </x:c>
      <x:c r="O301" s="85" t="n">
        <x:v>0</x:v>
      </x:c>
      <x:c r="P301" s="85" t="n">
        <x:v>0</x:v>
      </x:c>
      <x:c r="Q301" s="85" t="n">
        <x:v>0</x:v>
      </x:c>
    </x:row>
    <x:row r="302" ht="22" customHeight="1">
      <x:c r="A302" s="85" t="n">
        <x:v>298</x:v>
      </x:c>
      <x:c r="B302" s="82" t="str">
        <x:v>Levi Leipheimer</x:v>
      </x:c>
      <x:c r="C302" s="85" t="n">
        <x:v>0</x:v>
      </x:c>
      <x:c r="D302" s="85" t="n">
        <x:v>1</x:v>
      </x:c>
      <x:c r="E302" s="85" t="n">
        <x:v>0</x:v>
      </x:c>
      <x:c r="F302" s="85" t="n">
        <x:v>0</x:v>
      </x:c>
      <x:c r="G302" s="85" t="n">
        <x:v>0</x:v>
      </x:c>
      <x:c r="H302" s="85" t="n">
        <x:v>0</x:v>
      </x:c>
      <x:c r="I302" s="85" t="n">
        <x:v>0</x:v>
      </x:c>
      <x:c r="J302" s="85" t="n">
        <x:v>0</x:v>
      </x:c>
      <x:c r="K302" s="85" t="n">
        <x:v>0</x:v>
      </x:c>
      <x:c r="L302" s="85" t="n">
        <x:v>0</x:v>
      </x:c>
      <x:c r="M302" s="85" t="n">
        <x:v>0</x:v>
      </x:c>
      <x:c r="N302" s="85" t="n">
        <x:v>2</x:v>
      </x:c>
      <x:c r="O302" s="85" t="n">
        <x:v>0</x:v>
      </x:c>
      <x:c r="P302" s="85" t="n">
        <x:v>0</x:v>
      </x:c>
      <x:c r="Q302" s="85" t="n">
        <x:v>0</x:v>
      </x:c>
    </x:row>
    <x:row r="303" ht="22" customHeight="1">
      <x:c r="A303" s="85" t="n">
        <x:v>299</x:v>
      </x:c>
      <x:c r="B303" s="82" t="str">
        <x:v>Andreas Kloden</x:v>
      </x:c>
      <x:c r="C303" s="85" t="n">
        <x:v>0</x:v>
      </x:c>
      <x:c r="D303" s="85" t="n">
        <x:v>0</x:v>
      </x:c>
      <x:c r="E303" s="85" t="n">
        <x:v>0</x:v>
      </x:c>
      <x:c r="F303" s="85" t="n">
        <x:v>0</x:v>
      </x:c>
      <x:c r="G303" s="85" t="n">
        <x:v>0</x:v>
      </x:c>
      <x:c r="H303" s="85" t="n">
        <x:v>0</x:v>
      </x:c>
      <x:c r="I303" s="85" t="n">
        <x:v>0</x:v>
      </x:c>
      <x:c r="J303" s="85" t="n">
        <x:v>0</x:v>
      </x:c>
      <x:c r="K303" s="85" t="n">
        <x:v>0</x:v>
      </x:c>
      <x:c r="L303" s="85" t="n">
        <x:v>0</x:v>
      </x:c>
      <x:c r="M303" s="85" t="n">
        <x:v>0</x:v>
      </x:c>
      <x:c r="N303" s="85" t="n">
        <x:v>0</x:v>
      </x:c>
      <x:c r="O303" s="85" t="n">
        <x:v>0</x:v>
      </x:c>
      <x:c r="P303" s="85" t="n">
        <x:v>0</x:v>
      </x:c>
      <x:c r="Q303" s="85" t="n">
        <x:v>0</x:v>
      </x:c>
    </x:row>
    <x:row r="304" ht="22" customHeight="1">
      <x:c r="A304" s="86" t="n">
        <x:v>300</x:v>
      </x:c>
      <x:c r="B304" s="83" t="str">
        <x:v>Jose Azevedo</x:v>
      </x:c>
      <x:c r="C304" s="86" t="n">
        <x:v>0</x:v>
      </x:c>
      <x:c r="D304" s="86" t="n">
        <x:v>0</x:v>
      </x:c>
      <x:c r="E304" s="86" t="n">
        <x:v>0</x:v>
      </x:c>
      <x:c r="F304" s="86" t="n">
        <x:v>0</x:v>
      </x:c>
      <x:c r="G304" s="86" t="n">
        <x:v>0</x:v>
      </x:c>
      <x:c r="H304" s="86" t="n">
        <x:v>0</x:v>
      </x:c>
      <x:c r="I304" s="86" t="n">
        <x:v>0</x:v>
      </x:c>
      <x:c r="J304" s="86" t="n">
        <x:v>0</x:v>
      </x:c>
      <x:c r="K304" s="86" t="n">
        <x:v>0</x:v>
      </x:c>
      <x:c r="L304" s="86" t="n">
        <x:v>0</x:v>
      </x:c>
      <x:c r="M304" s="86" t="n">
        <x:v>0</x:v>
      </x:c>
      <x:c r="N304" s="86" t="n">
        <x:v>0</x:v>
      </x:c>
      <x:c r="O304" s="86" t="n">
        <x:v>0</x:v>
      </x:c>
      <x:c r="P304" s="86" t="n">
        <x:v>0</x:v>
      </x:c>
      <x:c r="Q304" s="86" t="n">
        <x:v>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532192dd85f49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06" t="str">
        <x:v>実在選手300名 — 固定パラメーター設計</x:v>
      </x:c>
      <x:c r="B1" s="106"/>
      <x:c r="C1" s="106"/>
      <x:c r="D1" s="106"/>
      <x:c r="E1" s="106"/>
      <x:c r="F1" s="106"/>
      <x:c r="G1" s="106"/>
      <x:c r="H1" s="106"/>
    </x:row>
    <x:row r="2" ht="34" customHeight="1">
      <x:c r="A2" s="109" t="str">
        <x:v>通常選手は50〜85。Tadej Pogacarのみ特別Tier上限88。世界選手権、パリ〜ルーベ、ロンド実績を反映します。</x:v>
      </x:c>
      <x:c r="B2" s="109"/>
      <x:c r="C2" s="109"/>
      <x:c r="D2" s="109"/>
      <x:c r="E2" s="109"/>
      <x:c r="F2" s="109"/>
      <x:c r="G2" s="109"/>
      <x:c r="H2" s="109"/>
    </x:row>
    <x:row r="3" ht="24" customHeight="1"/>
    <x:row r="4" ht="24" customHeight="1">
      <x:c r="A4" s="131" t="str">
        <x:v>検証項目</x:v>
      </x:c>
      <x:c r="B4" s="132" t="str">
        <x:v>値</x:v>
      </x:c>
      <x:c r="D4" s="131" t="str">
        <x:v>尺度</x:v>
      </x:c>
      <x:c r="E4" s="138" t="str">
        <x:v>意味</x:v>
      </x:c>
      <x:c r="F4" s="138" t="str">
        <x:v>用途</x:v>
      </x:c>
      <x:c r="G4" s="138" t="str">
        <x:v>確度</x:v>
      </x:c>
      <x:c r="H4" s="132" t="str">
        <x:v>扱い</x:v>
      </x:c>
    </x:row>
    <x:row r="5" ht="24" customHeight="1">
      <x:c r="A5" s="133" t="str">
        <x:v>総人数</x:v>
      </x:c>
      <x:c r="B5" s="91" t="n">
        <x:v>300</x:v>
      </x:c>
      <x:c r="D5" s="133" t="str">
        <x:v>50〜59</x:v>
      </x:c>
      <x:c r="E5" s="91" t="str">
        <x:v>未実績・不得意</x:v>
      </x:c>
      <x:c r="F5" s="91" t="str">
        <x:v>専門外</x:v>
      </x:c>
      <x:c r="G5" s="91" t="str">
        <x:v>初期値</x:v>
      </x:c>
      <x:c r="H5" s="91" t="str">
        <x:v>低評価</x:v>
      </x:c>
    </x:row>
    <x:row r="6" ht="24" customHeight="1">
      <x:c r="A6" s="133" t="str">
        <x:v>能力種類</x:v>
      </x:c>
      <x:c r="B6" s="91" t="n">
        <x:v>15</x:v>
      </x:c>
      <x:c r="D6" s="133" t="str">
        <x:v>60〜69</x:v>
      </x:c>
      <x:c r="E6" s="91" t="str">
        <x:v>完走・対応可能</x:v>
      </x:c>
      <x:c r="F6" s="91" t="str">
        <x:v>支援・限定運用</x:v>
      </x:c>
      <x:c r="G6" s="91" t="str">
        <x:v>実績/推定</x:v>
      </x:c>
      <x:c r="H6" s="91" t="str">
        <x:v>並</x:v>
      </x:c>
    </x:row>
    <x:row r="7" ht="24" customHeight="1">
      <x:c r="A7" s="133" t="str">
        <x:v>通常50〜85・特例上限88</x:v>
      </x:c>
      <x:c r="B7" s="91" t="str">
        <x:v>OK</x:v>
      </x:c>
      <x:c r="D7" s="133" t="str">
        <x:v>70〜76</x:v>
      </x:c>
      <x:c r="E7" s="91" t="str">
        <x:v>一線級</x:v>
      </x:c>
      <x:c r="F7" s="91" t="str">
        <x:v>主力</x:v>
      </x:c>
      <x:c r="G7" s="91" t="str">
        <x:v>実績/脚質</x:v>
      </x:c>
      <x:c r="H7" s="91" t="str">
        <x:v>高</x:v>
      </x:c>
    </x:row>
    <x:row r="8" ht="24" customHeight="1">
      <x:c r="A8" s="133" t="str">
        <x:v>パヴェ結果照合済</x:v>
      </x:c>
      <x:c r="B8" s="91" t="n">
        <x:v>109</x:v>
      </x:c>
      <x:c r="D8" s="133" t="str">
        <x:v>77〜81</x:v>
      </x:c>
      <x:c r="E8" s="91" t="str">
        <x:v>世界トップ級</x:v>
      </x:c>
      <x:c r="F8" s="91" t="str">
        <x:v>エース候補</x:v>
      </x:c>
      <x:c r="G8" s="91" t="str">
        <x:v>上位実績</x:v>
      </x:c>
      <x:c r="H8" s="91" t="str">
        <x:v>非常に高い</x:v>
      </x:c>
    </x:row>
    <x:row r="9" ht="24" customHeight="1">
      <x:c r="A9" s="133" t="str">
        <x:v>パヴェ要出走確認</x:v>
      </x:c>
      <x:c r="B9" s="91" t="n">
        <x:v>191</x:v>
      </x:c>
      <x:c r="D9" s="133" t="str">
        <x:v>82〜84</x:v>
      </x:c>
      <x:c r="E9" s="91" t="str">
        <x:v>優勝級</x:v>
      </x:c>
      <x:c r="F9" s="91" t="str">
        <x:v>最高峰エース</x:v>
      </x:c>
      <x:c r="G9" s="91" t="str">
        <x:v>勝利実績</x:v>
      </x:c>
      <x:c r="H9" s="91" t="str">
        <x:v>最高</x:v>
      </x:c>
    </x:row>
    <x:row r="10" ht="24" customHeight="1">
      <x:c r="A10" s="133" t="str">
        <x:v>再編成済選手</x:v>
      </x:c>
      <x:c r="B10" s="91" t="n">
        <x:v>0</x:v>
      </x:c>
      <x:c r="D10" s="134" t="str">
        <x:v>85 / 86〜88</x:v>
      </x:c>
      <x:c r="E10" s="135" t="str">
        <x:v>通常上限 / 特別Tier</x:v>
      </x:c>
      <x:c r="F10" s="135" t="str">
        <x:v>歴史的最高峰 / ポガチャル</x:v>
      </x:c>
      <x:c r="G10" s="135" t="str">
        <x:v>複数優勝 / 例外</x:v>
      </x:c>
      <x:c r="H10" s="135" t="str">
        <x:v>上限</x:v>
      </x:c>
    </x:row>
    <x:row r="11" ht="24" customHeight="1">
      <x:c r="A11" s="134" t="str">
        <x:v>氏名重複</x:v>
      </x:c>
      <x:c r="B11" s="135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48" hidden="0" customWidth="1"/>
    <x:col min="5" max="5" width="42" hidden="0" customWidth="1"/>
  </x:cols>
  <x:sheetData>
    <x:row r="1" ht="34" customHeight="1">
      <x:c r="A1" s="106" t="str">
        <x:v>パラメーター15種類と特徴</x:v>
      </x:c>
      <x:c r="B1" s="106"/>
      <x:c r="C1" s="106"/>
      <x:c r="D1" s="106"/>
      <x:c r="E1" s="106"/>
    </x:row>
    <x:row r="2" ht="34" customHeight="1">
      <x:c r="A2" s="109" t="str">
        <x:v>レース中能力、連続ステージ回復、精神・連携を分離。パヴェはバイクコントロールやグラベルと別能力です。</x:v>
      </x:c>
      <x:c r="B2" s="109"/>
      <x:c r="C2" s="109"/>
      <x:c r="D2" s="109"/>
      <x:c r="E2" s="109"/>
    </x:row>
    <x:row r="3" ht="34" customHeight="1"/>
    <x:row r="4" ht="34" customHeight="1">
      <x:c r="A4" s="116" t="str">
        <x:v>キー</x:v>
      </x:c>
      <x:c r="B4" s="120" t="str">
        <x:v>表示名</x:v>
      </x:c>
      <x:c r="C4" s="120" t="str">
        <x:v>特徴</x:v>
      </x:c>
      <x:c r="D4" s="120" t="str">
        <x:v>ゲームへの影響</x:v>
      </x:c>
      <x:c r="E4" s="117" t="str">
        <x:v>主な根拠</x:v>
      </x:c>
    </x:row>
    <x:row r="5" ht="34" customHeight="1">
      <x:c r="A5" s="90" t="str">
        <x:v>sprint</x:v>
      </x:c>
      <x:c r="B5" s="90" t="str">
        <x:v>スプリント</x:v>
      </x:c>
      <x:c r="C5" s="90" t="str">
        <x:v>5〜20秒の最高速</x:v>
      </x:c>
      <x:c r="D5" s="90" t="str">
        <x:v>ゴールスプリント、最高速維持</x:v>
      </x:c>
      <x:c r="E5" s="90" t="str">
        <x:v>スプリント勝利・ポイント賞・脚質</x:v>
      </x:c>
    </x:row>
    <x:row r="6" ht="34" customHeight="1">
      <x:c r="A6" s="91" t="str">
        <x:v>acceleration</x:v>
      </x:c>
      <x:c r="B6" s="91" t="str">
        <x:v>加速力</x:v>
      </x:c>
      <x:c r="C6" s="91" t="str">
        <x:v>速度変化の鋭さ</x:v>
      </x:c>
      <x:c r="D6" s="91" t="str">
        <x:v>アタック開始、位置取り、再加速</x:v>
      </x:c>
      <x:c r="E6" s="91" t="str">
        <x:v>脚質・スプリント/パンチ特性</x:v>
      </x:c>
    </x:row>
    <x:row r="7" ht="34" customHeight="1">
      <x:c r="A7" s="91" t="str">
        <x:v>punch</x:v>
      </x:c>
      <x:c r="B7" s="91" t="str">
        <x:v>パンチ力</x:v>
      </x:c>
      <x:c r="C7" s="91" t="str">
        <x:v>30秒〜5分の高出力</x:v>
      </x:c>
      <x:c r="D7" s="91" t="str">
        <x:v>短坂、丘陵アタック、集団からの飛び出し</x:v>
      </x:c>
      <x:c r="E7" s="91" t="str">
        <x:v>丘陵脚質・リエージュ/ロンド実績</x:v>
      </x:c>
    </x:row>
    <x:row r="8" ht="34" customHeight="1">
      <x:c r="A8" s="91" t="str">
        <x:v>cruise</x:v>
      </x:c>
      <x:c r="B8" s="91" t="str">
        <x:v>巡航力</x:v>
      </x:c>
      <x:c r="C8" s="91" t="str">
        <x:v>数分以上の高速維持</x:v>
      </x:c>
      <x:c r="D8" s="91" t="str">
        <x:v>平坦牽引、逃げ、個人TT、チームTT</x:v>
      </x:c>
      <x:c r="E8" s="91" t="str">
        <x:v>TT・ルーラー脚質・GT実績</x:v>
      </x:c>
    </x:row>
    <x:row r="9" ht="34" customHeight="1">
      <x:c r="A9" s="91" t="str">
        <x:v>climb</x:v>
      </x:c>
      <x:c r="B9" s="91" t="str">
        <x:v>登坂力</x:v>
      </x:c>
      <x:c r="C9" s="91" t="str">
        <x:v>長い登りでの速度</x:v>
      </x:c>
      <x:c r="D9" s="91" t="str">
        <x:v>山岳、総合争い、山岳牽引</x:v>
      </x:c>
      <x:c r="E9" s="91" t="str">
        <x:v>総合・山岳実績、クライマー脚質</x:v>
      </x:c>
    </x:row>
    <x:row r="10" ht="34" customHeight="1">
      <x:c r="A10" s="91" t="str">
        <x:v>stamina</x:v>
      </x:c>
      <x:c r="B10" s="91" t="str">
        <x:v>持久力</x:v>
      </x:c>
      <x:c r="C10" s="91" t="str">
        <x:v>長距離を走り切る容量</x:v>
      </x:c>
      <x:c r="D10" s="91" t="str">
        <x:v>距離による疲労増加を軽減</x:v>
      </x:c>
      <x:c r="E10" s="91" t="str">
        <x:v>長距離クラシック・GT実績</x:v>
      </x:c>
    </x:row>
    <x:row r="11" ht="34" customHeight="1">
      <x:c r="A11" s="91" t="str">
        <x:v>resistance</x:v>
      </x:c>
      <x:c r="B11" s="91" t="str">
        <x:v>耐性</x:v>
      </x:c>
      <x:c r="C11" s="91" t="str">
        <x:v>高強度を繰り返す力</x:v>
      </x:c>
      <x:c r="D11" s="91" t="str">
        <x:v>アタック・スプリント時の疲労と乳酸を軽減</x:v>
      </x:c>
      <x:c r="E11" s="91" t="str">
        <x:v>脚質、反復勝負、長期実績</x:v>
      </x:c>
    </x:row>
    <x:row r="12" ht="34" customHeight="1">
      <x:c r="A12" s="91" t="str">
        <x:v>technique</x:v>
      </x:c>
      <x:c r="B12" s="91" t="str">
        <x:v>技術</x:v>
      </x:c>
      <x:c r="C12" s="91" t="str">
        <x:v>位置取り・判断・走行効率</x:v>
      </x:c>
      <x:c r="D12" s="91" t="str">
        <x:v>隊列、補給、TT、トラブル回避</x:v>
      </x:c>
      <x:c r="E12" s="91" t="str">
        <x:v>脚質・適性タグ・アシスト適性</x:v>
      </x:c>
    </x:row>
    <x:row r="13" ht="34" customHeight="1">
      <x:c r="A13" s="91" t="str">
        <x:v>bikeControl</x:v>
      </x:c>
      <x:c r="B13" s="91" t="str">
        <x:v>バイクコントロール</x:v>
      </x:c>
      <x:c r="C13" s="91" t="str">
        <x:v>コーナー・下り・悪路の操作</x:v>
      </x:c>
      <x:c r="D13" s="91" t="str">
        <x:v>下り速度、落車・悪路消耗を軽減</x:v>
      </x:c>
      <x:c r="E13" s="91" t="str">
        <x:v>下り・悪路・複合競技特性</x:v>
      </x:c>
    </x:row>
    <x:row r="14" ht="34" customHeight="1">
      <x:c r="A14" s="91" t="str">
        <x:v>pave</x:v>
      </x:c>
      <x:c r="B14" s="91" t="str">
        <x:v>パヴェ</x:v>
      </x:c>
      <x:c r="C14" s="91" t="str">
        <x:v>石畳を速く安全に走る専門能力</x:v>
      </x:c>
      <x:c r="D14" s="91" t="str">
        <x:v>石畳出力とトラブル耐性。グラベルとは分離</x:v>
      </x:c>
      <x:c r="E14" s="91" t="str">
        <x:v>パリ〜ルーベを主基準、ロンド優勝実績を副基準</x:v>
      </x:c>
    </x:row>
    <x:row r="15" ht="34" customHeight="1">
      <x:c r="A15" s="91" t="str">
        <x:v>recovery</x:v>
      </x:c>
      <x:c r="B15" s="91" t="str">
        <x:v>回復力</x:v>
      </x:c>
      <x:c r="C15" s="91" t="str">
        <x:v>レース中の短時間回復</x:v>
      </x:c>
      <x:c r="D15" s="91" t="str">
        <x:v>乳酸低下、SP回復、反復アタック</x:v>
      </x:c>
      <x:c r="E15" s="91" t="str">
        <x:v>脚質・ステージ実績・回復特性</x:v>
      </x:c>
    </x:row>
    <x:row r="16" ht="34" customHeight="1">
      <x:c r="A16" s="91" t="str">
        <x:v>dailyRecovery</x:v>
      </x:c>
      <x:c r="B16" s="91" t="str">
        <x:v>日間回復力</x:v>
      </x:c>
      <x:c r="C16" s="91" t="str">
        <x:v>ステージ間の一晩の回復</x:v>
      </x:c>
      <x:c r="D16" s="91" t="str">
        <x:v>翌日の疲労・SP・健康・乳酸開始値</x:v>
      </x:c>
      <x:c r="E16" s="91" t="str">
        <x:v>GT総合・長期安定性・適性タグ</x:v>
      </x:c>
    </x:row>
    <x:row r="17" ht="34" customHeight="1">
      <x:c r="A17" s="91" t="str">
        <x:v>teamwork</x:v>
      </x:c>
      <x:c r="B17" s="91" t="str">
        <x:v>チームワーク</x:v>
      </x:c>
      <x:c r="C17" s="91" t="str">
        <x:v>役割遂行と連携</x:v>
      </x:c>
      <x:c r="D17" s="91" t="str">
        <x:v>牽引、エース保護、補給、隊列維持</x:v>
      </x:c>
      <x:c r="E17" s="91" t="str">
        <x:v>アシスト適性・役割特性</x:v>
      </x:c>
    </x:row>
    <x:row r="18" ht="34" customHeight="1">
      <x:c r="A18" s="91" t="str">
        <x:v>ego</x:v>
      </x:c>
      <x:c r="B18" s="91" t="str">
        <x:v>エゴ</x:v>
      </x:c>
      <x:c r="C18" s="91" t="str">
        <x:v>自分で勝負したがる強さ</x:v>
      </x:c>
      <x:c r="D18" s="91" t="str">
        <x:v>チームワーク超過分だけ編成リスク</x:v>
      </x:c>
      <x:c r="E18" s="91" t="str">
        <x:v>エース適性とアシスト適性の差</x:v>
      </x:c>
    </x:row>
    <x:row r="19" ht="34" customHeight="1">
      <x:c r="A19" s="92" t="str">
        <x:v>fighting</x:v>
      </x:c>
      <x:c r="B19" s="92" t="str">
        <x:v>負けん気</x:v>
      </x:c>
      <x:c r="C19" s="92" t="str">
        <x:v>苦しい局面で勝負を続ける力</x:v>
      </x:c>
      <x:c r="D19" s="92" t="str">
        <x:v>終盤、逃げ、悪条件、接戦</x:v>
      </x:c>
      <x:c r="E19" s="92" t="str">
        <x:v>勝利実績・脚質・戦術特性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30c1f165e664f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7" hidden="0" customWidth="1"/>
    <x:col min="4" max="4" width="48" hidden="0" customWidth="1"/>
    <x:col min="5" max="5" width="48" hidden="0" customWidth="1"/>
    <x:col min="6" max="6" width="32" hidden="0" customWidth="1"/>
    <x:col min="7" max="7" width="32" hidden="0" customWidth="1"/>
    <x:col min="8" max="8" width="14" hidden="0" customWidth="1"/>
  </x:cols>
  <x:sheetData>
    <x:row r="1" ht="34" customHeight="1">
      <x:c r="A1" s="106" t="str">
        <x:v>役割・戦術特性 — 30種類</x:v>
      </x:c>
      <x:c r="B1" s="106"/>
      <x:c r="C1" s="106"/>
      <x:c r="D1" s="106"/>
      <x:c r="E1" s="106"/>
      <x:c r="F1" s="106"/>
      <x:c r="G1" s="106"/>
      <x:c r="H1" s="106"/>
    </x:row>
    <x:row r="2" ht="34" customHeight="1">
      <x:c r="A2" s="109" t="str">
        <x:v>旧『得意役割』『専門役割』を統合。現役300名への付与人数を表示します。</x:v>
      </x:c>
      <x:c r="B2" s="109"/>
      <x:c r="C2" s="109"/>
      <x:c r="D2" s="109"/>
      <x:c r="E2" s="109"/>
      <x:c r="F2" s="109"/>
      <x:c r="G2" s="109"/>
      <x:c r="H2" s="109"/>
    </x:row>
    <x:row r="3" ht="44" customHeight="1"/>
    <x:row r="4" ht="42" customHeight="1">
      <x:c r="A4" s="116" t="str">
        <x:v>No.</x:v>
      </x:c>
      <x:c r="B4" s="120" t="str">
        <x:v>カテゴリー</x:v>
      </x:c>
      <x:c r="C4" s="120" t="str">
        <x:v>役割・戦術特性</x:v>
      </x:c>
      <x:c r="D4" s="120" t="str">
        <x:v>ロードレース上の意味</x:v>
      </x:c>
      <x:c r="E4" s="120" t="str">
        <x:v>ゲーム内効果</x:v>
      </x:c>
      <x:c r="F4" s="120" t="str">
        <x:v>主に参照する能力</x:v>
      </x:c>
      <x:c r="G4" s="120" t="str">
        <x:v>実戦用語・英語</x:v>
      </x:c>
      <x:c r="H4" s="117" t="str">
        <x:v>現役選手数</x:v>
      </x:c>
    </x:row>
    <x:row r="5" ht="44" customHeight="1">
      <x:c r="A5" s="139" t="n">
        <x:v>1</x:v>
      </x:c>
      <x:c r="B5" s="139" t="str">
        <x:v>指揮・勝利</x:v>
      </x:c>
      <x:c r="C5" s="139" t="str">
        <x:v>エース</x:v>
      </x:c>
      <x:c r="D5" s="139" t="str">
        <x:v>チームが最優先で勝利を狙う中心選手。</x:v>
      </x:c>
      <x:c r="E5" s="139" t="str">
        <x:v>支援を集中でき、終盤の勝負指示とチーム戦術の基準になる。</x:v>
      </x:c>
      <x:c r="F5" s="139" t="str">
        <x:v>ace_aptitude、course_fit、recovery</x:v>
      </x:c>
      <x:c r="G5" s="139" t="str">
        <x:v>Team leader / GC leader</x:v>
      </x:c>
      <x:c r="H5" s="139" t="n">
        <x:v>50</x:v>
      </x:c>
    </x:row>
    <x:row r="6" ht="44" customHeight="1">
      <x:c r="A6" s="140" t="n">
        <x:v>2</x:v>
      </x:c>
      <x:c r="B6" s="140" t="str">
        <x:v>指揮・勝利</x:v>
      </x:c>
      <x:c r="C6" s="140" t="str">
        <x:v>サブエース</x:v>
      </x:c>
      <x:c r="D6" s="140" t="str">
        <x:v>エースに次ぐ第二の勝利候補。</x:v>
      </x:c>
      <x:c r="E6" s="140" t="str">
        <x:v>エースの不調や脱落時に第二の勝利プランへ移行する。</x:v>
      </x:c>
      <x:c r="F6" s="140" t="str">
        <x:v>ace_aptitude、recovery、fighting</x:v>
      </x:c>
      <x:c r="G6" s="140" t="str">
        <x:v>Co-leader / Backup leader</x:v>
      </x:c>
      <x:c r="H6" s="140" t="n">
        <x:v>4</x:v>
      </x:c>
    </x:row>
    <x:row r="7" ht="44" customHeight="1">
      <x:c r="A7" s="140" t="n">
        <x:v>3</x:v>
      </x:c>
      <x:c r="B7" s="140" t="str">
        <x:v>指揮・勝利</x:v>
      </x:c>
      <x:c r="C7" s="140" t="str">
        <x:v>ロードキャプテン</x:v>
      </x:c>
      <x:c r="D7" s="140" t="str">
        <x:v>隊列、追走、補給、危険回避の判断をまとめる現場指揮役。</x:v>
      </x:c>
      <x:c r="E7" s="140" t="str">
        <x:v>味方の位置取りと戦術判断を安定させる。</x:v>
      </x:c>
      <x:c r="F7" s="140" t="str">
        <x:v>teamwork、technique、recovery</x:v>
      </x:c>
      <x:c r="G7" s="140" t="str">
        <x:v>Road captain</x:v>
      </x:c>
      <x:c r="H7" s="140" t="n">
        <x:v>30</x:v>
      </x:c>
    </x:row>
    <x:row r="8" ht="44" customHeight="1">
      <x:c r="A8" s="140" t="n">
        <x:v>4</x:v>
      </x:c>
      <x:c r="B8" s="140" t="str">
        <x:v>指揮・勝利</x:v>
      </x:c>
      <x:c r="C8" s="140" t="str">
        <x:v>スーパー・ドメスティーク</x:v>
      </x:c>
      <x:c r="D8" s="140" t="str">
        <x:v>エース級の能力で勝利候補を最後まで支える最上位アシスト。</x:v>
      </x:c>
      <x:c r="E8" s="140" t="str">
        <x:v>高強度牽引と長時間護衛を終盤まで維持する。</x:v>
      </x:c>
      <x:c r="F8" s="140" t="str">
        <x:v>support_aptitude、stamina、recovery、teamwork</x:v>
      </x:c>
      <x:c r="G8" s="140" t="str">
        <x:v>Super-domestique</x:v>
      </x:c>
      <x:c r="H8" s="140" t="n">
        <x:v>3</x:v>
      </x:c>
    </x:row>
    <x:row r="9" ht="44" customHeight="1">
      <x:c r="A9" s="140" t="n">
        <x:v>5</x:v>
      </x:c>
      <x:c r="B9" s="140" t="str">
        <x:v>指揮・勝利</x:v>
      </x:c>
      <x:c r="C9" s="140" t="str">
        <x:v>ステージハンター</x:v>
      </x:c>
      <x:c r="D9" s="140" t="str">
        <x:v>総合順位より自分に合う特定ステージの勝利を狙う。</x:v>
      </x:c>
      <x:c r="E9" s="140" t="str">
        <x:v>コース適性が合う日の攻撃成功率を高める。</x:v>
      </x:c>
      <x:c r="F9" s="140" t="str">
        <x:v>course_fit、fighting、recovery</x:v>
      </x:c>
      <x:c r="G9" s="140" t="str">
        <x:v>Stage hunter</x:v>
      </x:c>
      <x:c r="H9" s="140" t="n">
        <x:v>68</x:v>
      </x:c>
    </x:row>
    <x:row r="10" ht="44" customHeight="1">
      <x:c r="A10" s="140" t="n">
        <x:v>6</x:v>
      </x:c>
      <x:c r="B10" s="140" t="str">
        <x:v>指揮・勝利</x:v>
      </x:c>
      <x:c r="C10" s="140" t="str">
        <x:v>山岳賞ハンター</x:v>
      </x:c>
      <x:c r="D10" s="140" t="str">
        <x:v>山岳ポイントを積み上げ山岳賞を狙う。</x:v>
      </x:c>
      <x:c r="E10" s="140" t="str">
        <x:v>山岳逃げと山頂通過争いを強化する。</x:v>
      </x:c>
      <x:c r="F10" s="140" t="str">
        <x:v>climb、acceleration、stamina、recovery</x:v>
      </x:c>
      <x:c r="G10" s="140" t="str">
        <x:v>KOM hunter / Climber</x:v>
      </x:c>
      <x:c r="H10" s="140" t="n">
        <x:v>119</x:v>
      </x:c>
    </x:row>
    <x:row r="11" ht="44" customHeight="1">
      <x:c r="A11" s="140" t="n">
        <x:v>7</x:v>
      </x:c>
      <x:c r="B11" s="140" t="str">
        <x:v>指揮・勝利</x:v>
      </x:c>
      <x:c r="C11" s="140" t="str">
        <x:v>TTスペシャリスト</x:v>
      </x:c>
      <x:c r="D11" s="140" t="str">
        <x:v>個人タイムトライアルで高い巡航速度を維持する。</x:v>
      </x:c>
      <x:c r="E11" s="140" t="str">
        <x:v>単独走の速度効率とペース配分を高める。</x:v>
      </x:c>
      <x:c r="F11" s="140" t="str">
        <x:v>cruise、technique、stamina</x:v>
      </x:c>
      <x:c r="G11" s="140" t="str">
        <x:v>Time-trialist</x:v>
      </x:c>
      <x:c r="H11" s="140" t="n">
        <x:v>20</x:v>
      </x:c>
    </x:row>
    <x:row r="12" ht="44" customHeight="1">
      <x:c r="A12" s="140" t="n">
        <x:v>8</x:v>
      </x:c>
      <x:c r="B12" s="140" t="str">
        <x:v>スプリント</x:v>
      </x:c>
      <x:c r="C12" s="140" t="str">
        <x:v>リードアウト</x:v>
      </x:c>
      <x:c r="D12" s="140" t="str">
        <x:v>スプリンターを好位置まで運び最後に加速させる。</x:v>
      </x:c>
      <x:c r="E12" s="140" t="str">
        <x:v>味方スプリンターの位置取りと加速移行を補助する。</x:v>
      </x:c>
      <x:c r="F12" s="140" t="str">
        <x:v>acceleration、sprint、cruise、teamwork</x:v>
      </x:c>
      <x:c r="G12" s="140" t="str">
        <x:v>Lead-out rider</x:v>
      </x:c>
      <x:c r="H12" s="140" t="n">
        <x:v>46</x:v>
      </x:c>
    </x:row>
    <x:row r="13" ht="44" customHeight="1">
      <x:c r="A13" s="140" t="n">
        <x:v>9</x:v>
      </x:c>
      <x:c r="B13" s="140" t="str">
        <x:v>スプリント</x:v>
      </x:c>
      <x:c r="C13" s="140" t="str">
        <x:v>最終発射台</x:v>
      </x:c>
      <x:c r="D13" s="140" t="str">
        <x:v>ゴール前200〜500mで最後の牽引を行う。</x:v>
      </x:c>
      <x:c r="E13" s="140" t="str">
        <x:v>風よけを最後まで維持し発射タイミングを最適化する。</x:v>
      </x:c>
      <x:c r="F13" s="140" t="str">
        <x:v>acceleration、sprint、technique、teamwork</x:v>
      </x:c>
      <x:c r="G13" s="140" t="str">
        <x:v>Final lead-out</x:v>
      </x:c>
      <x:c r="H13" s="140" t="n">
        <x:v>42</x:v>
      </x:c>
    </x:row>
    <x:row r="14" ht="44" customHeight="1">
      <x:c r="A14" s="140" t="n">
        <x:v>10</x:v>
      </x:c>
      <x:c r="B14" s="140" t="str">
        <x:v>スプリント</x:v>
      </x:c>
      <x:c r="C14" s="140" t="str">
        <x:v>スプリントトレイン</x:v>
      </x:c>
      <x:c r="D14" s="140" t="str">
        <x:v>複数人の高速隊列でスプリンターを前方へ運ぶ。</x:v>
      </x:c>
      <x:c r="E14" s="140" t="str">
        <x:v>終盤の隊列維持と速度の受け渡しを安定させる。</x:v>
      </x:c>
      <x:c r="F14" s="140" t="str">
        <x:v>cruise、acceleration、sprint、teamwork</x:v>
      </x:c>
      <x:c r="G14" s="140" t="str">
        <x:v>Sprint train</x:v>
      </x:c>
      <x:c r="H14" s="140" t="n">
        <x:v>82</x:v>
      </x:c>
    </x:row>
    <x:row r="15" ht="44" customHeight="1">
      <x:c r="A15" s="140" t="n">
        <x:v>11</x:v>
      </x:c>
      <x:c r="B15" s="140" t="str">
        <x:v>牽引・保護</x:v>
      </x:c>
      <x:c r="C15" s="140" t="str">
        <x:v>平坦アシスト</x:v>
      </x:c>
      <x:c r="D15" s="140" t="str">
        <x:v>平坦路で補給、風よけ、位置取りを担当する。</x:v>
      </x:c>
      <x:c r="E15" s="140" t="str">
        <x:v>エースの消耗と集団内トラブルを軽減する。</x:v>
      </x:c>
      <x:c r="F15" s="140" t="str">
        <x:v>cruise、stamina、teamwork</x:v>
      </x:c>
      <x:c r="G15" s="140" t="str">
        <x:v>Domestique</x:v>
      </x:c>
      <x:c r="H15" s="140" t="n">
        <x:v>59</x:v>
      </x:c>
    </x:row>
    <x:row r="16" ht="44" customHeight="1">
      <x:c r="A16" s="140" t="n">
        <x:v>12</x:v>
      </x:c>
      <x:c r="B16" s="140" t="str">
        <x:v>牽引・保護</x:v>
      </x:c>
      <x:c r="C16" s="140" t="str">
        <x:v>平坦ペースメーカー</x:v>
      </x:c>
      <x:c r="D16" s="140" t="str">
        <x:v>平坦路で一定の高速ペースを長く刻む。</x:v>
      </x:c>
      <x:c r="E16" s="140" t="str">
        <x:v>逃げとの差と集団速度を安定させる。</x:v>
      </x:c>
      <x:c r="F16" s="140" t="str">
        <x:v>cruise、stamina、recovery</x:v>
      </x:c>
      <x:c r="G16" s="140" t="str">
        <x:v>Pace-setter / Rouleur</x:v>
      </x:c>
      <x:c r="H16" s="140" t="n">
        <x:v>17</x:v>
      </x:c>
    </x:row>
    <x:row r="17" ht="44" customHeight="1">
      <x:c r="A17" s="140" t="n">
        <x:v>13</x:v>
      </x:c>
      <x:c r="B17" s="140" t="str">
        <x:v>牽引・保護</x:v>
      </x:c>
      <x:c r="C17" s="140" t="str">
        <x:v>山岳アシスト</x:v>
      </x:c>
      <x:c r="D17" s="140" t="str">
        <x:v>登りでエースの風よけ、補給、ペース維持を行う。</x:v>
      </x:c>
      <x:c r="E17" s="140" t="str">
        <x:v>エースの登坂時消耗を抑え孤立を遅らせる。</x:v>
      </x:c>
      <x:c r="F17" s="140" t="str">
        <x:v>climb、stamina、recovery、teamwork</x:v>
      </x:c>
      <x:c r="G17" s="140" t="str">
        <x:v>Climbing domestique</x:v>
      </x:c>
      <x:c r="H17" s="140" t="n">
        <x:v>89</x:v>
      </x:c>
    </x:row>
    <x:row r="18" ht="44" customHeight="1">
      <x:c r="A18" s="140" t="n">
        <x:v>14</x:v>
      </x:c>
      <x:c r="B18" s="140" t="str">
        <x:v>牽引・保護</x:v>
      </x:c>
      <x:c r="C18" s="140" t="str">
        <x:v>山岳番手</x:v>
      </x:c>
      <x:c r="D18" s="140" t="str">
        <x:v>山岳終盤までエースのそばに残る最後の山岳アシスト。</x:v>
      </x:c>
      <x:c r="E18" s="140" t="str">
        <x:v>山頂付近の攻撃対応と最終発射を支援する。</x:v>
      </x:c>
      <x:c r="F18" s="140" t="str">
        <x:v>climb、acceleration、stamina、recovery</x:v>
      </x:c>
      <x:c r="G18" s="140" t="str">
        <x:v>Last mountain domestique</x:v>
      </x:c>
      <x:c r="H18" s="140" t="n">
        <x:v>31</x:v>
      </x:c>
    </x:row>
    <x:row r="19" ht="44" customHeight="1">
      <x:c r="A19" s="140" t="n">
        <x:v>15</x:v>
      </x:c>
      <x:c r="B19" s="140" t="str">
        <x:v>牽引・保護</x:v>
      </x:c>
      <x:c r="C19" s="140" t="str">
        <x:v>山岳ペースメーカー</x:v>
      </x:c>
      <x:c r="D19" s="140" t="str">
        <x:v>登りで高い一定ペースを刻みライバルの余力を削る。</x:v>
      </x:c>
      <x:c r="E19" s="140" t="str">
        <x:v>集団を絞り込み急なアタックを抑制する。</x:v>
      </x:c>
      <x:c r="F19" s="140" t="str">
        <x:v>climb、stamina、cruise</x:v>
      </x:c>
      <x:c r="G19" s="140" t="str">
        <x:v>Mountain pace-setter</x:v>
      </x:c>
      <x:c r="H19" s="140" t="n">
        <x:v>19</x:v>
      </x:c>
    </x:row>
    <x:row r="20" ht="44" customHeight="1">
      <x:c r="A20" s="140" t="n">
        <x:v>16</x:v>
      </x:c>
      <x:c r="B20" s="140" t="str">
        <x:v>牽引・保護</x:v>
      </x:c>
      <x:c r="C20" s="140" t="str">
        <x:v>TT牽引</x:v>
      </x:c>
      <x:c r="D20" s="140" t="str">
        <x:v>空力姿勢で高速巡航し平坦の先頭交代を担う。</x:v>
      </x:c>
      <x:c r="E20" s="140" t="str">
        <x:v>高速隊列の平均速度を引き上げる。</x:v>
      </x:c>
      <x:c r="F20" s="140" t="str">
        <x:v>cruise、stamina、technique</x:v>
      </x:c>
      <x:c r="G20" s="140" t="str">
        <x:v>TT puller / Rouleur</x:v>
      </x:c>
      <x:c r="H20" s="140" t="n">
        <x:v>45</x:v>
      </x:c>
    </x:row>
    <x:row r="21" ht="44" customHeight="1">
      <x:c r="A21" s="140" t="n">
        <x:v>17</x:v>
      </x:c>
      <x:c r="B21" s="140" t="str">
        <x:v>牽引・保護</x:v>
      </x:c>
      <x:c r="C21" s="140" t="str">
        <x:v>石畳護衛</x:v>
      </x:c>
      <x:c r="D21" s="140" t="str">
        <x:v>石畳区間でエースを前方に置きトラブル損失を抑える。</x:v>
      </x:c>
      <x:c r="E21" s="140" t="str">
        <x:v>パヴェ進入時の位置取りとトラブル耐性を補助する。</x:v>
      </x:c>
      <x:c r="F21" s="140" t="str">
        <x:v>pave、fighting、technique、cruise</x:v>
      </x:c>
      <x:c r="G21" s="140" t="str">
        <x:v>Cobbled classics protector</x:v>
      </x:c>
      <x:c r="H21" s="140" t="n">
        <x:v>57</x:v>
      </x:c>
    </x:row>
    <x:row r="22" ht="44" customHeight="1">
      <x:c r="A22" s="140" t="n">
        <x:v>18</x:v>
      </x:c>
      <x:c r="B22" s="140" t="str">
        <x:v>牽引・保護</x:v>
      </x:c>
      <x:c r="C22" s="140" t="str">
        <x:v>下り牽引</x:v>
      </x:c>
      <x:c r="D22" s="140" t="str">
        <x:v>下りで速いラインを示し味方を集団へ導く。</x:v>
      </x:c>
      <x:c r="E22" s="140" t="str">
        <x:v>下り速度と隊列安定性を高める。</x:v>
      </x:c>
      <x:c r="F22" s="140" t="str">
        <x:v>bikeControl、technique、fighting</x:v>
      </x:c>
      <x:c r="G22" s="140" t="str">
        <x:v>Descending guide</x:v>
      </x:c>
      <x:c r="H22" s="140" t="n">
        <x:v>30</x:v>
      </x:c>
    </x:row>
    <x:row r="23" ht="44" customHeight="1">
      <x:c r="A23" s="140" t="n">
        <x:v>19</x:v>
      </x:c>
      <x:c r="B23" s="140" t="str">
        <x:v>牽引・保護</x:v>
      </x:c>
      <x:c r="C23" s="140" t="str">
        <x:v>集団コントローラー</x:v>
      </x:c>
      <x:c r="D23" s="140" t="str">
        <x:v>逃げとの差や集団速度を調整し展開を管理する。</x:v>
      </x:c>
      <x:c r="E23" s="140" t="str">
        <x:v>追走強度とタイムギャップを安定させる。</x:v>
      </x:c>
      <x:c r="F23" s="140" t="str">
        <x:v>cruise、stamina、teamwork</x:v>
      </x:c>
      <x:c r="G23" s="140" t="str">
        <x:v>Peloton controller</x:v>
      </x:c>
      <x:c r="H23" s="140" t="n">
        <x:v>98</x:v>
      </x:c>
    </x:row>
    <x:row r="24" ht="44" customHeight="1">
      <x:c r="A24" s="140" t="n">
        <x:v>20</x:v>
      </x:c>
      <x:c r="B24" s="140" t="str">
        <x:v>牽引・保護</x:v>
      </x:c>
      <x:c r="C24" s="140" t="str">
        <x:v>ブレイクアウェイキラー</x:v>
      </x:c>
      <x:c r="D24" s="140" t="str">
        <x:v>逃げ集団を長時間追いゴール前までに吸収する。</x:v>
      </x:c>
      <x:c r="E24" s="140" t="str">
        <x:v>逃げとのタイム差を効率よく削る。</x:v>
      </x:c>
      <x:c r="F24" s="140" t="str">
        <x:v>cruise、stamina、teamwork</x:v>
      </x:c>
      <x:c r="G24" s="140" t="str">
        <x:v>Breakaway killer / Chaser</x:v>
      </x:c>
      <x:c r="H24" s="140" t="n">
        <x:v>40</x:v>
      </x:c>
    </x:row>
    <x:row r="25" ht="44" customHeight="1">
      <x:c r="A25" s="140" t="n">
        <x:v>21</x:v>
      </x:c>
      <x:c r="B25" s="140" t="str">
        <x:v>牽引・保護</x:v>
      </x:c>
      <x:c r="C25" s="140" t="str">
        <x:v>横風要員</x:v>
      </x:c>
      <x:c r="D25" s="140" t="str">
        <x:v>横風区間でエースを守り分断されない位置へ運ぶ。</x:v>
      </x:c>
      <x:c r="E25" s="140" t="str">
        <x:v>横風消耗と集団分断リスクを軽減する。</x:v>
      </x:c>
      <x:c r="F25" s="140" t="str">
        <x:v>cruise、fighting、technique、teamwork</x:v>
      </x:c>
      <x:c r="G25" s="140" t="str">
        <x:v>Crosswind domestique</x:v>
      </x:c>
      <x:c r="H25" s="140" t="n">
        <x:v>35</x:v>
      </x:c>
    </x:row>
    <x:row r="26" ht="44" customHeight="1">
      <x:c r="A26" s="140" t="n">
        <x:v>22</x:v>
      </x:c>
      <x:c r="B26" s="140" t="str">
        <x:v>牽引・保護</x:v>
      </x:c>
      <x:c r="C26" s="140" t="str">
        <x:v>トラブル復帰牽引</x:v>
      </x:c>
      <x:c r="D26" s="140" t="str">
        <x:v>パンクなどで遅れたエースを集団へ連れ戻す。</x:v>
      </x:c>
      <x:c r="E26" s="140" t="str">
        <x:v>復帰速度を上げエースの消耗を抑える。</x:v>
      </x:c>
      <x:c r="F26" s="140" t="str">
        <x:v>cruise、stamina、teamwork</x:v>
      </x:c>
      <x:c r="G26" s="140" t="str">
        <x:v>Chase-back domestique</x:v>
      </x:c>
      <x:c r="H26" s="140" t="n">
        <x:v>7</x:v>
      </x:c>
    </x:row>
    <x:row r="27" ht="44" customHeight="1">
      <x:c r="A27" s="140" t="n">
        <x:v>23</x:v>
      </x:c>
      <x:c r="B27" s="140" t="str">
        <x:v>攻撃・逃げ</x:v>
      </x:c>
      <x:c r="C27" s="140" t="str">
        <x:v>逃げ屋</x:v>
      </x:c>
      <x:c r="D27" s="140" t="str">
        <x:v>序盤から逃げ集団へ入り先行して勝利や露出を狙う。</x:v>
      </x:c>
      <x:c r="E27" s="140" t="str">
        <x:v>逃げ参加、先頭交代、逃げ残り判断を強化する。</x:v>
      </x:c>
      <x:c r="F27" s="140" t="str">
        <x:v>stamina、cruise、fighting、recovery</x:v>
      </x:c>
      <x:c r="G27" s="140" t="str">
        <x:v>Baroudeur / Breakaway specialist</x:v>
      </x:c>
      <x:c r="H27" s="140" t="n">
        <x:v>52</x:v>
      </x:c>
    </x:row>
    <x:row r="28" ht="44" customHeight="1">
      <x:c r="A28" s="140" t="n">
        <x:v>24</x:v>
      </x:c>
      <x:c r="B28" s="140" t="str">
        <x:v>攻撃・逃げ</x:v>
      </x:c>
      <x:c r="C28" s="140" t="str">
        <x:v>超ロングスパート</x:v>
      </x:c>
      <x:c r="D28" s="140" t="str">
        <x:v>残り80〜100km級から単独または少人数で仕掛ける。</x:v>
      </x:c>
      <x:c r="E28" s="140" t="str">
        <x:v>長距離単独走の維持力と攻撃判断を強化する。</x:v>
      </x:c>
      <x:c r="F28" s="140" t="str">
        <x:v>cruise、stamina、fighting、recovery</x:v>
      </x:c>
      <x:c r="G28" s="140" t="str">
        <x:v>Long-range attacker / Solo raid</x:v>
      </x:c>
      <x:c r="H28" s="140" t="n">
        <x:v>24</x:v>
      </x:c>
    </x:row>
    <x:row r="29" ht="44" customHeight="1">
      <x:c r="A29" s="140" t="n">
        <x:v>25</x:v>
      </x:c>
      <x:c r="B29" s="140" t="str">
        <x:v>攻撃・逃げ</x:v>
      </x:c>
      <x:c r="C29" s="140" t="str">
        <x:v>ブリッジャー</x:v>
      </x:c>
      <x:c r="D29" s="140" t="str">
        <x:v>集団と先頭グループの間を一気に埋める。</x:v>
      </x:c>
      <x:c r="E29" s="140" t="str">
        <x:v>短時間の高出力で前方グループへ合流しやすくする。</x:v>
      </x:c>
      <x:c r="F29" s="140" t="str">
        <x:v>acceleration、cruise、stamina、fighting</x:v>
      </x:c>
      <x:c r="G29" s="140" t="str">
        <x:v>Bridger / Bridge the gap</x:v>
      </x:c>
      <x:c r="H29" s="140" t="n">
        <x:v>20</x:v>
      </x:c>
    </x:row>
    <x:row r="30" ht="44" customHeight="1">
      <x:c r="A30" s="140" t="n">
        <x:v>26</x:v>
      </x:c>
      <x:c r="B30" s="140" t="str">
        <x:v>攻撃・逃げ</x:v>
      </x:c>
      <x:c r="C30" s="140" t="str">
        <x:v>カウンターアタッカー</x:v>
      </x:c>
      <x:c r="D30" s="140" t="str">
        <x:v>他選手の攻撃が止まった直後の隙に反撃する。</x:v>
      </x:c>
      <x:c r="E30" s="140" t="str">
        <x:v>攻撃直後の成功判定を強化する。</x:v>
      </x:c>
      <x:c r="F30" s="140" t="str">
        <x:v>acceleration、punch、technique、fighting</x:v>
      </x:c>
      <x:c r="G30" s="140" t="str">
        <x:v>Counter-attacker</x:v>
      </x:c>
      <x:c r="H30" s="140" t="n">
        <x:v>29</x:v>
      </x:c>
    </x:row>
    <x:row r="31" ht="44" customHeight="1">
      <x:c r="A31" s="140" t="n">
        <x:v>27</x:v>
      </x:c>
      <x:c r="B31" s="140" t="str">
        <x:v>攻撃・逃げ</x:v>
      </x:c>
      <x:c r="C31" s="140" t="str">
        <x:v>サテライトライダー</x:v>
      </x:c>
      <x:c r="D31" s="140" t="str">
        <x:v>先に逃げへ入り後から追いつくエースを前方で待つ。</x:v>
      </x:c>
      <x:c r="E31" s="140" t="str">
        <x:v>合流後に補給、牽引、風よけを提供する。</x:v>
      </x:c>
      <x:c r="F31" s="140" t="str">
        <x:v>climb、stamina、recovery、teamwork</x:v>
      </x:c>
      <x:c r="G31" s="140" t="str">
        <x:v>Satellite rider</x:v>
      </x:c>
      <x:c r="H31" s="140" t="n">
        <x:v>6</x:v>
      </x:c>
    </x:row>
    <x:row r="32" ht="44" customHeight="1">
      <x:c r="A32" s="140" t="n">
        <x:v>28</x:v>
      </x:c>
      <x:c r="B32" s="140" t="str">
        <x:v>攻撃・逃げ</x:v>
      </x:c>
      <x:c r="C32" s="140" t="str">
        <x:v>横風分断</x:v>
      </x:c>
      <x:c r="D32" s="140" t="str">
        <x:v>横風区間でエシュロンを作り集団を意図的に分断する。</x:v>
      </x:c>
      <x:c r="E32" s="140" t="str">
        <x:v>ライバルを後方集団へ落とす成功率を高める。</x:v>
      </x:c>
      <x:c r="F32" s="140" t="str">
        <x:v>cruise、fighting、technique、teamwork</x:v>
      </x:c>
      <x:c r="G32" s="140" t="str">
        <x:v>Echelon specialist</x:v>
      </x:c>
      <x:c r="H32" s="140" t="n">
        <x:v>26</x:v>
      </x:c>
    </x:row>
    <x:row r="33" ht="44" customHeight="1">
      <x:c r="A33" s="140" t="n">
        <x:v>29</x:v>
      </x:c>
      <x:c r="B33" s="140" t="str">
        <x:v>駆け引き・位置取り</x:v>
      </x:c>
      <x:c r="C33" s="140" t="str">
        <x:v>無賃乗車</x:v>
      </x:c>
      <x:c r="D33" s="140" t="str">
        <x:v>他チームのトレインや車輪を利用し先頭交代を抑える。</x:v>
      </x:c>
      <x:c r="E33" s="140" t="str">
        <x:v>スタミナを節約する一方で協調への貢献は下がる。</x:v>
      </x:c>
      <x:c r="F33" s="140" t="str">
        <x:v>technique、fighting、ego</x:v>
      </x:c>
      <x:c r="G33" s="140" t="str">
        <x:v>Wheel-sucker / Sit-on</x:v>
      </x:c>
      <x:c r="H33" s="140" t="n">
        <x:v>22</x:v>
      </x:c>
    </x:row>
    <x:row r="34" ht="44" customHeight="1">
      <x:c r="A34" s="141" t="n">
        <x:v>30</x:v>
      </x:c>
      <x:c r="B34" s="141" t="str">
        <x:v>駆け引き・位置取り</x:v>
      </x:c>
      <x:c r="C34" s="141" t="str">
        <x:v>ポジションキーパー</x:v>
      </x:c>
      <x:c r="D34" s="141" t="str">
        <x:v>重要区間の手前から集団前方の位置を維持する。</x:v>
      </x:c>
      <x:c r="E34" s="141" t="str">
        <x:v>渋滞、落車、分断に巻き込まれる確率を下げる。</x:v>
      </x:c>
      <x:c r="F34" s="141" t="str">
        <x:v>technique、acceleration、fighting</x:v>
      </x:c>
      <x:c r="G34" s="141" t="str">
        <x:v>Positioning specialist</x:v>
      </x:c>
      <x:c r="H34" s="141" t="n">
        <x:v>29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78b33c57a1a4d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14" hidden="0" customWidth="1"/>
    <x:col min="5" max="5" width="10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28" hidden="0" customWidth="1"/>
    <x:col min="11" max="11" width="18" hidden="0" customWidth="1"/>
    <x:col min="12" max="12" width="28" hidden="0" customWidth="1"/>
    <x:col min="13" max="13" width="12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2" hidden="0" customWidth="1"/>
    <x:col min="30" max="30" width="10" hidden="0" customWidth="1"/>
    <x:col min="31" max="31" width="11" hidden="0" customWidth="1"/>
    <x:col min="32" max="32" width="9" hidden="0" customWidth="1"/>
    <x:col min="33" max="33" width="15" hidden="0" customWidth="1"/>
    <x:col min="34" max="34" width="42" hidden="0" customWidth="1"/>
    <x:col min="35" max="35" width="52" hidden="0" customWidth="1"/>
    <x:col min="36" max="36" width="14" hidden="0" customWidth="1"/>
    <x:col min="37" max="37" width="48" hidden="0" customWidth="1"/>
    <x:col min="38" max="38" width="52" hidden="0" customWidth="1"/>
  </x:cols>
  <x:sheetData>
    <x:row r="1" ht="34" customHeight="1">
      <x:c r="A1" s="106" t="str">
        <x:v>実在選手300名 — 全15パラメーター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  <x:c r="AA1" s="106"/>
      <x:c r="AB1" s="106"/>
      <x:c r="AC1" s="106"/>
      <x:c r="AD1" s="106"/>
      <x:c r="AE1" s="106"/>
      <x:c r="AF1" s="106"/>
      <x:c r="AG1" s="106"/>
      <x:c r="AH1" s="106"/>
      <x:c r="AI1" s="106"/>
      <x:c r="AJ1" s="106"/>
      <x:c r="AK1" s="106"/>
      <x:c r="AL1" s="106"/>
    </x:row>
    <x:row r="2" ht="34" customHeight="1">
      <x:c r="A2" s="109" t="str">
        <x:v>黄色はパヴェ、青は身体・技術、緑は回復・連携。フィルターで脚質・検証状態を絞り込めます。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  <x:c r="AA2" s="109"/>
      <x:c r="AB2" s="109"/>
      <x:c r="AC2" s="109"/>
      <x:c r="AD2" s="109"/>
      <x:c r="AE2" s="109"/>
      <x:c r="AF2" s="109"/>
      <x:c r="AG2" s="109"/>
      <x:c r="AH2" s="109"/>
      <x:c r="AI2" s="109"/>
      <x:c r="AJ2" s="109"/>
      <x:c r="AK2" s="109"/>
      <x:c r="AL2" s="109"/>
    </x:row>
    <x:row r="3" ht="24" customHeight="1"/>
    <x:row r="4" ht="42" customHeight="1">
      <x:c r="A4" s="116" t="str">
        <x:v>No.</x:v>
      </x:c>
      <x:c r="B4" s="120" t="str">
        <x:v>実在選手名</x:v>
      </x:c>
      <x:c r="C4" s="120" t="str">
        <x:v>二つ名</x:v>
      </x:c>
      <x:c r="D4" s="120" t="str">
        <x:v>国・地域</x:v>
      </x:c>
      <x:c r="E4" s="120" t="str">
        <x:v>時代</x:v>
      </x:c>
      <x:c r="F4" s="120" t="str">
        <x:v>主脚質</x:v>
      </x:c>
      <x:c r="G4" s="120" t="str">
        <x:v>副脚質</x:v>
      </x:c>
      <x:c r="H4" s="120" t="str">
        <x:v>エース適性</x:v>
      </x:c>
      <x:c r="I4" s="120" t="str">
        <x:v>アシスト適性</x:v>
      </x:c>
      <x:c r="J4" s="120" t="str">
        <x:v>役割・戦術特性</x:v>
      </x:c>
      <x:c r="K4" s="120" t="str">
        <x:v>旧専門役割</x:v>
      </x:c>
      <x:c r="L4" s="120" t="str">
        <x:v>適性タグ</x:v>
      </x:c>
      <x:c r="M4" s="120" t="str">
        <x:v>Credit</x:v>
      </x:c>
      <x:c r="N4" s="120" t="str">
        <x:v>スプリント</x:v>
      </x:c>
      <x:c r="O4" s="120" t="str">
        <x:v>加速力</x:v>
      </x:c>
      <x:c r="P4" s="120" t="str">
        <x:v>パンチ力</x:v>
      </x:c>
      <x:c r="Q4" s="120" t="str">
        <x:v>巡航力</x:v>
      </x:c>
      <x:c r="R4" s="120" t="str">
        <x:v>登坂力</x:v>
      </x:c>
      <x:c r="S4" s="120" t="str">
        <x:v>持久力</x:v>
      </x:c>
      <x:c r="T4" s="120" t="str">
        <x:v>耐性</x:v>
      </x:c>
      <x:c r="U4" s="120" t="str">
        <x:v>技術</x:v>
      </x:c>
      <x:c r="V4" s="120" t="str">
        <x:v>バイクコントロール</x:v>
      </x:c>
      <x:c r="W4" s="120" t="str">
        <x:v>パヴェ</x:v>
      </x:c>
      <x:c r="X4" s="120" t="str">
        <x:v>回復力</x:v>
      </x:c>
      <x:c r="Y4" s="120" t="str">
        <x:v>日間回復力</x:v>
      </x:c>
      <x:c r="Z4" s="120" t="str">
        <x:v>チームワーク</x:v>
      </x:c>
      <x:c r="AA4" s="120" t="str">
        <x:v>エゴ</x:v>
      </x:c>
      <x:c r="AB4" s="120" t="str">
        <x:v>負けん気</x:v>
      </x:c>
      <x:c r="AC4" s="120" t="str">
        <x:v>PR最高順位</x:v>
      </x:c>
      <x:c r="AD4" s="120" t="str">
        <x:v>PR完走</x:v>
      </x:c>
      <x:c r="AE4" s="120" t="str">
        <x:v>PR Top10</x:v>
      </x:c>
      <x:c r="AF4" s="120" t="str">
        <x:v>PR優勝</x:v>
      </x:c>
      <x:c r="AG4" s="120" t="str">
        <x:v>パヴェ検証</x:v>
      </x:c>
      <x:c r="AH4" s="120" t="str">
        <x:v>パヴェ根拠</x:v>
      </x:c>
      <x:c r="AI4" s="120" t="str">
        <x:v>パヴェ出典</x:v>
      </x:c>
      <x:c r="AJ4" s="120" t="str">
        <x:v>能力検証</x:v>
      </x:c>
      <x:c r="AK4" s="120" t="str">
        <x:v>能力算出根拠</x:v>
      </x:c>
      <x:c r="AL4" s="117" t="str">
        <x:v>人物URL</x:v>
      </x:c>
    </x:row>
    <x:row r="5" ht="24" customHeight="1">
      <x:c r="A5" s="81" t="n">
        <x:v>1</x:v>
      </x:c>
      <x:c r="B5" s="81" t="str">
        <x:v>Tadej Pogacar</x:v>
      </x:c>
      <x:c r="C5" s="142" t="str">
        <x:v>新時代の皇帝</x:v>
      </x:c>
      <x:c r="D5" s="81" t="str">
        <x:v>スロベニア</x:v>
      </x:c>
      <x:c r="E5" s="81" t="str">
        <x:v>現役</x:v>
      </x:c>
      <x:c r="F5" s="81" t="str">
        <x:v>総合型</x:v>
      </x:c>
      <x:c r="G5" s="81" t="str">
        <x:v>パンチャー</x:v>
      </x:c>
      <x:c r="H5" s="84" t="n">
        <x:v>100</x:v>
      </x:c>
      <x:c r="I5" s="84" t="n">
        <x:v>83</x:v>
      </x:c>
      <x:c r="J5" s="90" t="str">
        <x:v>エース / 山岳賞ハンター / 超ロングスパート / サテライトライダー / 無賃乗車 / カウンターアタッカー</x:v>
      </x:c>
      <x:c r="K5" s="90" t="str"/>
      <x:c r="L5" s="90" t="str">
        <x:v>パンチ力 / TT適性 / 日別回復</x:v>
      </x:c>
      <x:c r="M5" s="87" t="n">
        <x:v>20000</x:v>
      </x:c>
      <x:c r="N5" s="84" t="n">
        <x:v>66</x:v>
      </x:c>
      <x:c r="O5" s="84" t="n">
        <x:v>80</x:v>
      </x:c>
      <x:c r="P5" s="84" t="n">
        <x:v>85</x:v>
      </x:c>
      <x:c r="Q5" s="84" t="n">
        <x:v>82</x:v>
      </x:c>
      <x:c r="R5" s="84" t="n">
        <x:v>88</x:v>
      </x:c>
      <x:c r="S5" s="84" t="n">
        <x:v>88</x:v>
      </x:c>
      <x:c r="T5" s="84" t="n">
        <x:v>86</x:v>
      </x:c>
      <x:c r="U5" s="84" t="n">
        <x:v>84</x:v>
      </x:c>
      <x:c r="V5" s="84" t="n">
        <x:v>83</x:v>
      </x:c>
      <x:c r="W5" s="84" t="n">
        <x:v>82</x:v>
      </x:c>
      <x:c r="X5" s="84" t="n">
        <x:v>88</x:v>
      </x:c>
      <x:c r="Y5" s="84" t="n">
        <x:v>88</x:v>
      </x:c>
      <x:c r="Z5" s="84" t="n">
        <x:v>75</x:v>
      </x:c>
      <x:c r="AA5" s="84" t="n">
        <x:v>79</x:v>
      </x:c>
      <x:c r="AB5" s="84" t="n">
        <x:v>87</x:v>
      </x:c>
      <x:c r="AC5" s="81" t="n">
        <x:v>2</x:v>
      </x:c>
      <x:c r="AD5" s="81" t="n">
        <x:v>1</x:v>
      </x:c>
      <x:c r="AE5" s="81" t="n">
        <x:v>1</x:v>
      </x:c>
      <x:c r="AF5" s="81" t="n">
        <x:v>0</x:v>
      </x:c>
      <x:c r="AG5" s="90" t="str">
        <x:v>結果照合済</x:v>
      </x:c>
      <x:c r="AH5" s="90" t="str">
        <x:v>最高2位 / 完走1回 / Top10 1回 / 優勝0回 / ロンド優勝3回・加点+3・最低保証80</x:v>
      </x:c>
      <x:c r="AI5" s="90" t="str">
        <x:v>https://www.rondevanvlaanderen.be/en/race/men-elite/history</x:v>
      </x:c>
      <x:c r="AJ5" s="90" t="str">
        <x:v>能力・適性・Credit整合済</x:v>
      </x:c>
      <x:c r="AK5" s="90" t="str">
        <x:v>世界選手権ロード・個人TT表彰台実績を補正後、能力別順位上限を適用（85は各能力最大2名・1選手最大2項目）。パヴェはパリ〜ルーベ主基準・ロンド優勝を加点＋最低保証。特別Tier: Tadej Pogacarのみ通常上限85を超える能力上限88・エース適性100・Credit 20,000を適用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Poelは超ロングスパート固定。Pogacarはカウンターアタッカー固定。能力値を偏差値型分布（中央値約70）へ再配分。Tadej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" s="90" t="str">
        <x:v>https://en.wikipedia.org/wiki/Special:Search?search=Tadej%20Pogacar%20cyclist</x:v>
      </x:c>
    </x:row>
    <x:row r="6" ht="24" customHeight="1">
      <x:c r="A6" s="82" t="n">
        <x:v>2</x:v>
      </x:c>
      <x:c r="B6" s="82" t="str">
        <x:v>Mathieu van der Poel</x:v>
      </x:c>
      <x:c r="C6" s="143" t="str">
        <x:v>虹色の暴君</x:v>
      </x:c>
      <x:c r="D6" s="82" t="str">
        <x:v>オランダ</x:v>
      </x:c>
      <x:c r="E6" s="82" t="str">
        <x:v>現役</x:v>
      </x:c>
      <x:c r="F6" s="82" t="str">
        <x:v>クラシック型</x:v>
      </x:c>
      <x:c r="G6" s="82" t="str">
        <x:v>パンチャー</x:v>
      </x:c>
      <x:c r="H6" s="85" t="n">
        <x:v>97</x:v>
      </x:c>
      <x:c r="I6" s="85" t="n">
        <x:v>76</x:v>
      </x:c>
      <x:c r="J6" s="91" t="str">
        <x:v>エース / リードアウト / 最終発射台 / 石畳護衛 / 横風要員 / 超ロングスパート / 無賃乗車</x:v>
      </x:c>
      <x:c r="K6" s="91" t="str"/>
      <x:c r="L6" s="91" t="str">
        <x:v>バイクコントロール / 反復加速 / リードアウト</x:v>
      </x:c>
      <x:c r="M6" s="88" t="n">
        <x:v>13000</x:v>
      </x:c>
      <x:c r="N6" s="85" t="n">
        <x:v>79</x:v>
      </x:c>
      <x:c r="O6" s="85" t="n">
        <x:v>79</x:v>
      </x:c>
      <x:c r="P6" s="85" t="n">
        <x:v>79</x:v>
      </x:c>
      <x:c r="Q6" s="85" t="n">
        <x:v>79</x:v>
      </x:c>
      <x:c r="R6" s="85" t="n">
        <x:v>68</x:v>
      </x:c>
      <x:c r="S6" s="85" t="n">
        <x:v>83</x:v>
      </x:c>
      <x:c r="T6" s="85" t="n">
        <x:v>85</x:v>
      </x:c>
      <x:c r="U6" s="85" t="n">
        <x:v>85</x:v>
      </x:c>
      <x:c r="V6" s="85" t="n">
        <x:v>85</x:v>
      </x:c>
      <x:c r="W6" s="85" t="n">
        <x:v>85</x:v>
      </x:c>
      <x:c r="X6" s="85" t="n">
        <x:v>75</x:v>
      </x:c>
      <x:c r="Y6" s="85" t="n">
        <x:v>75</x:v>
      </x:c>
      <x:c r="Z6" s="85" t="n">
        <x:v>74</x:v>
      </x:c>
      <x:c r="AA6" s="85" t="n">
        <x:v>76</x:v>
      </x:c>
      <x:c r="AB6" s="85" t="n">
        <x:v>85</x:v>
      </x:c>
      <x:c r="AC6" s="82" t="n">
        <x:v>4</x:v>
      </x:c>
      <x:c r="AD6" s="82" t="n">
        <x:v>1</x:v>
      </x:c>
      <x:c r="AE6" s="82" t="n">
        <x:v>1</x:v>
      </x:c>
      <x:c r="AF6" s="82" t="n">
        <x:v>3</x:v>
      </x:c>
      <x:c r="AG6" s="91" t="str">
        <x:v>結果照合済</x:v>
      </x:c>
      <x:c r="AH6" s="91" t="str">
        <x:v>最高4位 / 完走1回 / Top10 1回 / 優勝3回 / ロンド優勝3回・加点+3・最低保証80</x:v>
      </x:c>
      <x:c r="AI6" s="91" t="str">
        <x:v>https://www.rondevanvlaanderen.be/en/race/men-elite/history</x:v>
      </x:c>
      <x:c r="AJ6" s="91" t="str">
        <x:v>能力・適性・Credit整合済</x:v>
      </x:c>
      <x:c r="AK6" s="91" t="str">
        <x:v>世界選手権ロード・個人TT表彰台実績を補正後、能力別順位上限を適用（85は各能力最大2名・1選手最大2項目）。パヴェはパリ〜ルーベ主基準・ロンド優勝を加点＋最低保証。手動調整: Mathieu van der Poelのスプリントを80に設定し、リードアウト役割を追加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" s="91" t="str">
        <x:v>https://en.wikipedia.org/wiki/Special:Search?search=Mathieu%20van%20der%20Poel%20cyclist</x:v>
      </x:c>
    </x:row>
    <x:row r="7" ht="24" customHeight="1">
      <x:c r="A7" s="82" t="n">
        <x:v>3</x:v>
      </x:c>
      <x:c r="B7" s="82" t="str">
        <x:v>Paul Seixas</x:v>
      </x:c>
      <x:c r="C7" s="143" t="str"/>
      <x:c r="D7" s="82" t="str">
        <x:v>フランス</x:v>
      </x:c>
      <x:c r="E7" s="82" t="str">
        <x:v>現役</x:v>
      </x:c>
      <x:c r="F7" s="82" t="str">
        <x:v>総合型</x:v>
      </x:c>
      <x:c r="G7" s="82" t="str">
        <x:v>パンチャー</x:v>
      </x:c>
      <x:c r="H7" s="85" t="n">
        <x:v>94</x:v>
      </x:c>
      <x:c r="I7" s="85" t="n">
        <x:v>74</x:v>
      </x:c>
      <x:c r="J7" s="91" t="str">
        <x:v>エース / 集団コントローラー</x:v>
      </x:c>
      <x:c r="K7" s="91" t="str"/>
      <x:c r="L7" s="91" t="str">
        <x:v>登坂力 / パンチ力 / 若手総合</x:v>
      </x:c>
      <x:c r="M7" s="88" t="n">
        <x:v>9300</x:v>
      </x:c>
      <x:c r="N7" s="85" t="n">
        <x:v>62</x:v>
      </x:c>
      <x:c r="O7" s="85" t="n">
        <x:v>71</x:v>
      </x:c>
      <x:c r="P7" s="85" t="n">
        <x:v>75</x:v>
      </x:c>
      <x:c r="Q7" s="85" t="n">
        <x:v>71</x:v>
      </x:c>
      <x:c r="R7" s="85" t="n">
        <x:v>77</x:v>
      </x:c>
      <x:c r="S7" s="85" t="n">
        <x:v>74</x:v>
      </x:c>
      <x:c r="T7" s="85" t="n">
        <x:v>74</x:v>
      </x:c>
      <x:c r="U7" s="85" t="n">
        <x:v>69</x:v>
      </x:c>
      <x:c r="V7" s="85" t="n">
        <x:v>70</x:v>
      </x:c>
      <x:c r="W7" s="85" t="n">
        <x:v>50</x:v>
      </x:c>
      <x:c r="X7" s="85" t="n">
        <x:v>81</x:v>
      </x:c>
      <x:c r="Y7" s="85" t="n">
        <x:v>81</x:v>
      </x:c>
      <x:c r="Z7" s="85" t="n">
        <x:v>70</x:v>
      </x:c>
      <x:c r="AA7" s="85" t="n">
        <x:v>78</x:v>
      </x:c>
      <x:c r="AB7" s="85" t="n">
        <x:v>69</x:v>
      </x:c>
      <x:c r="AC7" s="82" t="n">
        <x:v>0</x:v>
      </x:c>
      <x:c r="AD7" s="82" t="n">
        <x:v>0</x:v>
      </x:c>
      <x:c r="AE7" s="82" t="n">
        <x:v>0</x:v>
      </x:c>
      <x:c r="AF7" s="82" t="n">
        <x:v>0</x:v>
      </x:c>
      <x:c r="AG7" s="91" t="str">
        <x:v>要出走確認</x:v>
      </x:c>
      <x:c r="AH7" s="91" t="str">
        <x:v>1960〜2026完走順位との一致なし。未出走または表記差を要確認</x:v>
      </x:c>
      <x:c r="AI7" s="91" t="str">
        <x:v>https://bikeraceinfo.com/classics/paris-roubaix/paris-roubaix-index.html</x:v>
      </x:c>
      <x:c r="AJ7" s="91" t="str">
        <x:v>能力・適性・Credit整合済</x:v>
      </x:c>
      <x:c r="AK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" s="91" t="str">
        <x:v>https://en.wikipedia.org/wiki/Special:Search?search=Paul%20Seixas%20cyclist</x:v>
      </x:c>
    </x:row>
    <x:row r="8" ht="24" customHeight="1">
      <x:c r="A8" s="82" t="n">
        <x:v>4</x:v>
      </x:c>
      <x:c r="B8" s="82" t="str">
        <x:v>Isaac del Toro</x:v>
      </x:c>
      <x:c r="C8" s="143" t="str"/>
      <x:c r="D8" s="82" t="str">
        <x:v>メキシコ</x:v>
      </x:c>
      <x:c r="E8" s="82" t="str">
        <x:v>現役</x:v>
      </x:c>
      <x:c r="F8" s="82" t="str">
        <x:v>総合型</x:v>
      </x:c>
      <x:c r="G8" s="82" t="str">
        <x:v>パンチャー</x:v>
      </x:c>
      <x:c r="H8" s="85" t="n">
        <x:v>93</x:v>
      </x:c>
      <x:c r="I8" s="85" t="n">
        <x:v>75</x:v>
      </x:c>
      <x:c r="J8" s="91" t="str">
        <x:v>エース / 山岳番手</x:v>
      </x:c>
      <x:c r="K8" s="91" t="str"/>
      <x:c r="L8" s="91" t="str">
        <x:v>登坂力 / パンチ力 / 若手総合</x:v>
      </x:c>
      <x:c r="M8" s="88" t="n">
        <x:v>9200</x:v>
      </x:c>
      <x:c r="N8" s="85" t="n">
        <x:v>62</x:v>
      </x:c>
      <x:c r="O8" s="85" t="n">
        <x:v>70</x:v>
      </x:c>
      <x:c r="P8" s="85" t="n">
        <x:v>75</x:v>
      </x:c>
      <x:c r="Q8" s="85" t="n">
        <x:v>71</x:v>
      </x:c>
      <x:c r="R8" s="85" t="n">
        <x:v>76</x:v>
      </x:c>
      <x:c r="S8" s="85" t="n">
        <x:v>73</x:v>
      </x:c>
      <x:c r="T8" s="85" t="n">
        <x:v>74</x:v>
      </x:c>
      <x:c r="U8" s="85" t="n">
        <x:v>69</x:v>
      </x:c>
      <x:c r="V8" s="85" t="n">
        <x:v>70</x:v>
      </x:c>
      <x:c r="W8" s="85" t="n">
        <x:v>50</x:v>
      </x:c>
      <x:c r="X8" s="85" t="n">
        <x:v>81</x:v>
      </x:c>
      <x:c r="Y8" s="85" t="n">
        <x:v>81</x:v>
      </x:c>
      <x:c r="Z8" s="85" t="n">
        <x:v>70</x:v>
      </x:c>
      <x:c r="AA8" s="85" t="n">
        <x:v>78</x:v>
      </x:c>
      <x:c r="AB8" s="85" t="n">
        <x:v>68</x:v>
      </x:c>
      <x:c r="AC8" s="82" t="n">
        <x:v>0</x:v>
      </x:c>
      <x:c r="AD8" s="82" t="n">
        <x:v>0</x:v>
      </x:c>
      <x:c r="AE8" s="82" t="n">
        <x:v>0</x:v>
      </x:c>
      <x:c r="AF8" s="82" t="n">
        <x:v>0</x:v>
      </x:c>
      <x:c r="AG8" s="91" t="str">
        <x:v>要出走確認</x:v>
      </x:c>
      <x:c r="AH8" s="91" t="str">
        <x:v>1960〜2026完走順位との一致なし。未出走または表記差を要確認</x:v>
      </x:c>
      <x:c r="AI8" s="91" t="str">
        <x:v>https://bikeraceinfo.com/classics/paris-roubaix/paris-roubaix-index.html</x:v>
      </x:c>
      <x:c r="AJ8" s="91" t="str">
        <x:v>能力・適性・Credit整合済</x:v>
      </x:c>
      <x:c r="AK8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" s="91" t="str">
        <x:v>https://en.wikipedia.org/wiki/Special:Search?search=Isaac%20del%20Toro%20cyclist</x:v>
      </x:c>
    </x:row>
    <x:row r="9" ht="24" customHeight="1">
      <x:c r="A9" s="82" t="n">
        <x:v>5</x:v>
      </x:c>
      <x:c r="B9" s="82" t="str">
        <x:v>Jonas Vingegaard</x:v>
      </x:c>
      <x:c r="C9" s="143" t="str">
        <x:v>北海の山岳王</x:v>
      </x:c>
      <x:c r="D9" s="82" t="str">
        <x:v>デンマーク</x:v>
      </x:c>
      <x:c r="E9" s="82" t="str">
        <x:v>現役</x:v>
      </x:c>
      <x:c r="F9" s="82" t="str">
        <x:v>総合型</x:v>
      </x:c>
      <x:c r="G9" s="82" t="str">
        <x:v>クライマー</x:v>
      </x:c>
      <x:c r="H9" s="85" t="n">
        <x:v>92</x:v>
      </x:c>
      <x:c r="I9" s="85" t="n">
        <x:v>74</x:v>
      </x:c>
      <x:c r="J9" s="91" t="str">
        <x:v>エース / 山岳賞ハンター / 山岳番手</x:v>
      </x:c>
      <x:c r="K9" s="91" t="str"/>
      <x:c r="L9" s="91" t="str">
        <x:v>日別回復 / 登坂力</x:v>
      </x:c>
      <x:c r="M9" s="88" t="n">
        <x:v>13000</x:v>
      </x:c>
      <x:c r="N9" s="85" t="n">
        <x:v>58</x:v>
      </x:c>
      <x:c r="O9" s="85" t="n">
        <x:v>71</x:v>
      </x:c>
      <x:c r="P9" s="85" t="n">
        <x:v>75</x:v>
      </x:c>
      <x:c r="Q9" s="85" t="n">
        <x:v>73</x:v>
      </x:c>
      <x:c r="R9" s="85" t="n">
        <x:v>85</x:v>
      </x:c>
      <x:c r="S9" s="85" t="n">
        <x:v>80</x:v>
      </x:c>
      <x:c r="T9" s="85" t="n">
        <x:v>76</x:v>
      </x:c>
      <x:c r="U9" s="85" t="n">
        <x:v>71</x:v>
      </x:c>
      <x:c r="V9" s="85" t="n">
        <x:v>71</x:v>
      </x:c>
      <x:c r="W9" s="85" t="n">
        <x:v>50</x:v>
      </x:c>
      <x:c r="X9" s="85" t="n">
        <x:v>85</x:v>
      </x:c>
      <x:c r="Y9" s="85" t="n">
        <x:v>85</x:v>
      </x:c>
      <x:c r="Z9" s="85" t="n">
        <x:v>70</x:v>
      </x:c>
      <x:c r="AA9" s="85" t="n">
        <x:v>80</x:v>
      </x:c>
      <x:c r="AB9" s="85" t="n">
        <x:v>72</x:v>
      </x:c>
      <x:c r="AC9" s="82" t="n">
        <x:v>0</x:v>
      </x:c>
      <x:c r="AD9" s="82" t="n">
        <x:v>0</x:v>
      </x:c>
      <x:c r="AE9" s="82" t="n">
        <x:v>0</x:v>
      </x:c>
      <x:c r="AF9" s="82" t="n">
        <x:v>0</x:v>
      </x:c>
      <x:c r="AG9" s="91" t="str">
        <x:v>要出走確認</x:v>
      </x:c>
      <x:c r="AH9" s="91" t="str">
        <x:v>1960〜2026完走順位との一致なし。未出走または表記差を要確認</x:v>
      </x:c>
      <x:c r="AI9" s="91" t="str">
        <x:v>https://bikeraceinfo.com/classics/paris-roubaix/paris-roubaix-index.html</x:v>
      </x:c>
      <x:c r="AJ9" s="91" t="str">
        <x:v>能力・適性・Credit整合済</x:v>
      </x:c>
      <x:c r="AK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" s="91" t="str">
        <x:v>https://en.wikipedia.org/wiki/Special:Search?search=Jonas%20Vingegaard%20cyclist</x:v>
      </x:c>
    </x:row>
    <x:row r="10" ht="24" customHeight="1">
      <x:c r="A10" s="82" t="n">
        <x:v>6</x:v>
      </x:c>
      <x:c r="B10" s="82" t="str">
        <x:v>Wout van Aert</x:v>
      </x:c>
      <x:c r="C10" s="143" t="str">
        <x:v>万能の銀弾</x:v>
      </x:c>
      <x:c r="D10" s="82" t="str">
        <x:v>ベルギー</x:v>
      </x:c>
      <x:c r="E10" s="82" t="str">
        <x:v>現役</x:v>
      </x:c>
      <x:c r="F10" s="82" t="str">
        <x:v>クラシック型</x:v>
      </x:c>
      <x:c r="G10" s="82" t="str">
        <x:v>パンチャー</x:v>
      </x:c>
      <x:c r="H10" s="85" t="n">
        <x:v>92</x:v>
      </x:c>
      <x:c r="I10" s="85" t="n">
        <x:v>90</x:v>
      </x:c>
      <x:c r="J10" s="91" t="str">
        <x:v>エース / TTスペシャリスト / 石畳護衛 / 横風要員 / 逃げ屋 / 超ロングスパート</x:v>
      </x:c>
      <x:c r="K10" s="91" t="str"/>
      <x:c r="L10" s="91" t="str">
        <x:v>最高速 / TT適性 / ステージハンター</x:v>
      </x:c>
      <x:c r="M10" s="88" t="n">
        <x:v>12500</x:v>
      </x:c>
      <x:c r="N10" s="85" t="n">
        <x:v>77</x:v>
      </x:c>
      <x:c r="O10" s="85" t="n">
        <x:v>77</x:v>
      </x:c>
      <x:c r="P10" s="85" t="n">
        <x:v>78</x:v>
      </x:c>
      <x:c r="Q10" s="85" t="n">
        <x:v>84</x:v>
      </x:c>
      <x:c r="R10" s="85" t="n">
        <x:v>69</x:v>
      </x:c>
      <x:c r="S10" s="85" t="n">
        <x:v>81</x:v>
      </x:c>
      <x:c r="T10" s="85" t="n">
        <x:v>83</x:v>
      </x:c>
      <x:c r="U10" s="85" t="n">
        <x:v>85</x:v>
      </x:c>
      <x:c r="V10" s="85" t="n">
        <x:v>82</x:v>
      </x:c>
      <x:c r="W10" s="85" t="n">
        <x:v>82</x:v>
      </x:c>
      <x:c r="X10" s="85" t="n">
        <x:v>74</x:v>
      </x:c>
      <x:c r="Y10" s="85" t="n">
        <x:v>73</x:v>
      </x:c>
      <x:c r="Z10" s="85" t="n">
        <x:v>79</x:v>
      </x:c>
      <x:c r="AA10" s="85" t="n">
        <x:v>72</x:v>
      </x:c>
      <x:c r="AB10" s="85" t="n">
        <x:v>85</x:v>
      </x:c>
      <x:c r="AC10" s="82" t="n">
        <x:v>1</x:v>
      </x:c>
      <x:c r="AD10" s="82" t="n">
        <x:v>3</x:v>
      </x:c>
      <x:c r="AE10" s="82" t="n">
        <x:v>1</x:v>
      </x:c>
      <x:c r="AF10" s="82" t="n">
        <x:v>1</x:v>
      </x:c>
      <x:c r="AG10" s="91" t="str">
        <x:v>結果照合済</x:v>
      </x:c>
      <x:c r="AH10" s="91" t="str">
        <x:v>最高1位 / 完走3回 / Top10 1回 / 優勝1回</x:v>
      </x:c>
      <x:c r="AI10" s="91" t="str">
        <x:v>https://bikeraceinfo.com/classics/paris-roubaix/pr2026.html</x:v>
      </x:c>
      <x:c r="AJ10" s="91" t="str">
        <x:v>能力・適性・Credit整合済</x:v>
      </x:c>
      <x:c r="AK1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" s="91" t="str">
        <x:v>https://en.wikipedia.org/wiki/Special:Search?search=Wout%20van%20Aert%20cyclist</x:v>
      </x:c>
    </x:row>
    <x:row r="11" ht="24" customHeight="1">
      <x:c r="A11" s="82" t="n">
        <x:v>7</x:v>
      </x:c>
      <x:c r="B11" s="82" t="str">
        <x:v>Remco Evenepoel</x:v>
      </x:c>
      <x:c r="C11" s="143" t="str">
        <x:v>弾丸の天才</x:v>
      </x:c>
      <x:c r="D11" s="82" t="str">
        <x:v>ベルギー</x:v>
      </x:c>
      <x:c r="E11" s="82" t="str">
        <x:v>現役</x:v>
      </x:c>
      <x:c r="F11" s="82" t="str">
        <x:v>総合型</x:v>
      </x:c>
      <x:c r="G11" s="82" t="str">
        <x:v>TT・ルーラー型</x:v>
      </x:c>
      <x:c r="H11" s="85" t="n">
        <x:v>92</x:v>
      </x:c>
      <x:c r="I11" s="85" t="n">
        <x:v>76</x:v>
      </x:c>
      <x:c r="J11" s="91" t="str">
        <x:v>エース / TTスペシャリスト / 山岳番手 / 超ロングスパート</x:v>
      </x:c>
      <x:c r="K11" s="91" t="str"/>
      <x:c r="L11" s="91" t="str">
        <x:v>日別回復 / TT適性</x:v>
      </x:c>
      <x:c r="M11" s="88" t="n">
        <x:v>12500</x:v>
      </x:c>
      <x:c r="N11" s="85" t="n">
        <x:v>61</x:v>
      </x:c>
      <x:c r="O11" s="85" t="n">
        <x:v>70</x:v>
      </x:c>
      <x:c r="P11" s="85" t="n">
        <x:v>74</x:v>
      </x:c>
      <x:c r="Q11" s="85" t="n">
        <x:v>85</x:v>
      </x:c>
      <x:c r="R11" s="85" t="n">
        <x:v>82</x:v>
      </x:c>
      <x:c r="S11" s="85" t="n">
        <x:v>85</x:v>
      </x:c>
      <x:c r="T11" s="85" t="n">
        <x:v>83</x:v>
      </x:c>
      <x:c r="U11" s="85" t="n">
        <x:v>76</x:v>
      </x:c>
      <x:c r="V11" s="85" t="n">
        <x:v>72</x:v>
      </x:c>
      <x:c r="W11" s="85" t="n">
        <x:v>50</x:v>
      </x:c>
      <x:c r="X11" s="85" t="n">
        <x:v>82</x:v>
      </x:c>
      <x:c r="Y11" s="85" t="n">
        <x:v>82</x:v>
      </x:c>
      <x:c r="Z11" s="85" t="n">
        <x:v>70</x:v>
      </x:c>
      <x:c r="AA11" s="85" t="n">
        <x:v>78</x:v>
      </x:c>
      <x:c r="AB11" s="85" t="n">
        <x:v>73</x:v>
      </x:c>
      <x:c r="AC11" s="82" t="n">
        <x:v>0</x:v>
      </x:c>
      <x:c r="AD11" s="82" t="n">
        <x:v>0</x:v>
      </x:c>
      <x:c r="AE11" s="82" t="n">
        <x:v>0</x:v>
      </x:c>
      <x:c r="AF11" s="82" t="n">
        <x:v>0</x:v>
      </x:c>
      <x:c r="AG11" s="91" t="str">
        <x:v>要出走確認</x:v>
      </x:c>
      <x:c r="AH11" s="91" t="str">
        <x:v>1960〜2026完走順位との一致なし。未出走または表記差を要確認</x:v>
      </x:c>
      <x:c r="AI11" s="91" t="str">
        <x:v>https://bikeraceinfo.com/classics/paris-roubaix/paris-roubaix-index.html</x:v>
      </x:c>
      <x:c r="AJ11" s="91" t="str">
        <x:v>能力・適性・Credit整合済</x:v>
      </x:c>
      <x:c r="AK1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" s="91" t="str">
        <x:v>https://en.wikipedia.org/wiki/Special:Search?search=Remco%20Evenepoel%20cyclist</x:v>
      </x:c>
    </x:row>
    <x:row r="12" ht="24" customHeight="1">
      <x:c r="A12" s="82" t="n">
        <x:v>8</x:v>
      </x:c>
      <x:c r="B12" s="82" t="str">
        <x:v>Primoz Roglic</x:v>
      </x:c>
      <x:c r="C12" s="143" t="str">
        <x:v>不屈の跳躍者</x:v>
      </x:c>
      <x:c r="D12" s="82" t="str">
        <x:v>スロベニア</x:v>
      </x:c>
      <x:c r="E12" s="82" t="str">
        <x:v>現役</x:v>
      </x:c>
      <x:c r="F12" s="82" t="str">
        <x:v>総合型</x:v>
      </x:c>
      <x:c r="G12" s="82" t="str">
        <x:v>パンチャー</x:v>
      </x:c>
      <x:c r="H12" s="85" t="n">
        <x:v>92</x:v>
      </x:c>
      <x:c r="I12" s="85" t="n">
        <x:v>74</x:v>
      </x:c>
      <x:c r="J12" s="91" t="str">
        <x:v>エース / 逃げ屋</x:v>
      </x:c>
      <x:c r="K12" s="91" t="str"/>
      <x:c r="L12" s="91" t="str">
        <x:v>日別回復 / 反復加速</x:v>
      </x:c>
      <x:c r="M12" s="88" t="n">
        <x:v>10550</x:v>
      </x:c>
      <x:c r="N12" s="85" t="n">
        <x:v>64</x:v>
      </x:c>
      <x:c r="O12" s="85" t="n">
        <x:v>72</x:v>
      </x:c>
      <x:c r="P12" s="85" t="n">
        <x:v>75</x:v>
      </x:c>
      <x:c r="Q12" s="85" t="n">
        <x:v>73</x:v>
      </x:c>
      <x:c r="R12" s="85" t="n">
        <x:v>84</x:v>
      </x:c>
      <x:c r="S12" s="85" t="n">
        <x:v>85</x:v>
      </x:c>
      <x:c r="T12" s="85" t="n">
        <x:v>82</x:v>
      </x:c>
      <x:c r="U12" s="85" t="n">
        <x:v>72</x:v>
      </x:c>
      <x:c r="V12" s="85" t="n">
        <x:v>72</x:v>
      </x:c>
      <x:c r="W12" s="85" t="n">
        <x:v>50</x:v>
      </x:c>
      <x:c r="X12" s="85" t="n">
        <x:v>85</x:v>
      </x:c>
      <x:c r="Y12" s="85" t="n">
        <x:v>85</x:v>
      </x:c>
      <x:c r="Z12" s="85" t="n">
        <x:v>68</x:v>
      </x:c>
      <x:c r="AA12" s="85" t="n">
        <x:v>85</x:v>
      </x:c>
      <x:c r="AB12" s="85" t="n">
        <x:v>71</x:v>
      </x:c>
      <x:c r="AC12" s="82" t="n">
        <x:v>0</x:v>
      </x:c>
      <x:c r="AD12" s="82" t="n">
        <x:v>0</x:v>
      </x:c>
      <x:c r="AE12" s="82" t="n">
        <x:v>0</x:v>
      </x:c>
      <x:c r="AF12" s="82" t="n">
        <x:v>0</x:v>
      </x:c>
      <x:c r="AG12" s="91" t="str">
        <x:v>要出走確認</x:v>
      </x:c>
      <x:c r="AH12" s="91" t="str">
        <x:v>1960〜2026完走順位との一致なし。未出走または表記差を要確認</x:v>
      </x:c>
      <x:c r="AI12" s="91" t="str">
        <x:v>https://bikeraceinfo.com/classics/paris-roubaix/paris-roubaix-index.html</x:v>
      </x:c>
      <x:c r="AJ12" s="91" t="str">
        <x:v>能力・適性・Credit整合済</x:v>
      </x:c>
      <x:c r="AK12" s="91" t="str">
        <x:v>世界選手権ロード・個人TT表彰台実績を補正後、能力別順位上限を適用（85は各能力最大2名・1選手最大2項目）。パヴェはパリ〜ルーベ主基準・ロンド優勝を加点＋最低保証。手動調整: Primoz Roglicのエース適性を92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" s="91" t="str">
        <x:v>https://en.wikipedia.org/wiki/Special:Search?search=Primoz%20Roglic%20cyclist</x:v>
      </x:c>
    </x:row>
    <x:row r="13" ht="24" customHeight="1">
      <x:c r="A13" s="82" t="n">
        <x:v>9</x:v>
      </x:c>
      <x:c r="B13" s="82" t="str">
        <x:v>Julian Alaphilippe</x:v>
      </x:c>
      <x:c r="C13" s="143" t="str">
        <x:v>虹色の踊り子</x:v>
      </x:c>
      <x:c r="D13" s="82" t="str">
        <x:v>フランス</x:v>
      </x:c>
      <x:c r="E13" s="82" t="str">
        <x:v>現役</x:v>
      </x:c>
      <x:c r="F13" s="82" t="str">
        <x:v>パンチャー</x:v>
      </x:c>
      <x:c r="G13" s="82" t="str">
        <x:v>クライマー</x:v>
      </x:c>
      <x:c r="H13" s="85" t="n">
        <x:v>91</x:v>
      </x:c>
      <x:c r="I13" s="85" t="n">
        <x:v>67</x:v>
      </x:c>
      <x:c r="J13" s="91" t="str">
        <x:v>エース / ステージハンター / 山岳賞ハンター / 下り牽引 / 逃げ屋 / 超ロングスパート</x:v>
      </x:c>
      <x:c r="K13" s="91" t="str"/>
      <x:c r="L13" s="91" t="str">
        <x:v>パンチ力 / 登坂力 / ステージハンター</x:v>
      </x:c>
      <x:c r="M13" s="88" t="n">
        <x:v>10000</x:v>
      </x:c>
      <x:c r="N13" s="85" t="n">
        <x:v>69</x:v>
      </x:c>
      <x:c r="O13" s="85" t="n">
        <x:v>79</x:v>
      </x:c>
      <x:c r="P13" s="85" t="n">
        <x:v>82</x:v>
      </x:c>
      <x:c r="Q13" s="85" t="n">
        <x:v>69</x:v>
      </x:c>
      <x:c r="R13" s="85" t="n">
        <x:v>73</x:v>
      </x:c>
      <x:c r="S13" s="85" t="n">
        <x:v>69</x:v>
      </x:c>
      <x:c r="T13" s="85" t="n">
        <x:v>70</x:v>
      </x:c>
      <x:c r="U13" s="85" t="n">
        <x:v>74</x:v>
      </x:c>
      <x:c r="V13" s="85" t="n">
        <x:v>76</x:v>
      </x:c>
      <x:c r="W13" s="85" t="n">
        <x:v>50</x:v>
      </x:c>
      <x:c r="X13" s="85" t="n">
        <x:v>72</x:v>
      </x:c>
      <x:c r="Y13" s="85" t="n">
        <x:v>72</x:v>
      </x:c>
      <x:c r="Z13" s="85" t="n">
        <x:v>62</x:v>
      </x:c>
      <x:c r="AA13" s="85" t="n">
        <x:v>82</x:v>
      </x:c>
      <x:c r="AB13" s="85" t="n">
        <x:v>81</x:v>
      </x:c>
      <x:c r="AC13" s="82" t="n">
        <x:v>0</x:v>
      </x:c>
      <x:c r="AD13" s="82" t="n">
        <x:v>0</x:v>
      </x:c>
      <x:c r="AE13" s="82" t="n">
        <x:v>0</x:v>
      </x:c>
      <x:c r="AF13" s="82" t="n">
        <x:v>0</x:v>
      </x:c>
      <x:c r="AG13" s="91" t="str">
        <x:v>要出走確認</x:v>
      </x:c>
      <x:c r="AH13" s="91" t="str">
        <x:v>1960〜2026完走順位との一致なし。未出走または表記差を要確認</x:v>
      </x:c>
      <x:c r="AI13" s="91" t="str">
        <x:v>https://bikeraceinfo.com/classics/paris-roubaix/paris-roubaix-index.html</x:v>
      </x:c>
      <x:c r="AJ13" s="91" t="str">
        <x:v>能力・適性・Credit整合済</x:v>
      </x:c>
      <x:c r="AK1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" s="91" t="str">
        <x:v>https://en.wikipedia.org/wiki/Special:Search?search=Julian%20Alaphilippe%20cyclist</x:v>
      </x:c>
    </x:row>
    <x:row r="14" ht="24" customHeight="1">
      <x:c r="A14" s="82" t="n">
        <x:v>10</x:v>
      </x:c>
      <x:c r="B14" s="82" t="str">
        <x:v>Jasper Philipsen</x:v>
      </x:c>
      <x:c r="C14" s="143" t="str"/>
      <x:c r="D14" s="82" t="str">
        <x:v>ベルギー</x:v>
      </x:c>
      <x:c r="E14" s="82" t="str">
        <x:v>現役</x:v>
      </x:c>
      <x:c r="F14" s="82" t="str">
        <x:v>スプリンター</x:v>
      </x:c>
      <x:c r="G14" s="82" t="str">
        <x:v>クラシック型</x:v>
      </x:c>
      <x:c r="H14" s="85" t="n">
        <x:v>90</x:v>
      </x:c>
      <x:c r="I14" s="85" t="n">
        <x:v>69</x:v>
      </x:c>
      <x:c r="J14" s="91" t="str">
        <x:v>エース / ステージハンター / リードアウト / 最終発射台 / 無賃乗車</x:v>
      </x:c>
      <x:c r="K14" s="91" t="str"/>
      <x:c r="L14" s="91" t="str">
        <x:v>最高速 / 位置取り / クラシックスプリント</x:v>
      </x:c>
      <x:c r="M14" s="88" t="n">
        <x:v>9150</x:v>
      </x:c>
      <x:c r="N14" s="85" t="n">
        <x:v>85</x:v>
      </x:c>
      <x:c r="O14" s="85" t="n">
        <x:v>85</x:v>
      </x:c>
      <x:c r="P14" s="85" t="n">
        <x:v>70</x:v>
      </x:c>
      <x:c r="Q14" s="85" t="n">
        <x:v>74</x:v>
      </x:c>
      <x:c r="R14" s="85" t="n">
        <x:v>58</x:v>
      </x:c>
      <x:c r="S14" s="85" t="n">
        <x:v>68</x:v>
      </x:c>
      <x:c r="T14" s="85" t="n">
        <x:v>68</x:v>
      </x:c>
      <x:c r="U14" s="85" t="n">
        <x:v>74</x:v>
      </x:c>
      <x:c r="V14" s="85" t="n">
        <x:v>74</x:v>
      </x:c>
      <x:c r="W14" s="85" t="n">
        <x:v>50</x:v>
      </x:c>
      <x:c r="X14" s="85" t="n">
        <x:v>71</x:v>
      </x:c>
      <x:c r="Y14" s="85" t="n">
        <x:v>71</x:v>
      </x:c>
      <x:c r="Z14" s="85" t="n">
        <x:v>66</x:v>
      </x:c>
      <x:c r="AA14" s="85" t="n">
        <x:v>85</x:v>
      </x:c>
      <x:c r="AB14" s="85" t="n">
        <x:v>69</x:v>
      </x:c>
      <x:c r="AC14" s="82" t="n">
        <x:v>0</x:v>
      </x:c>
      <x:c r="AD14" s="82" t="n">
        <x:v>0</x:v>
      </x:c>
      <x:c r="AE14" s="82" t="n">
        <x:v>0</x:v>
      </x:c>
      <x:c r="AF14" s="82" t="n">
        <x:v>0</x:v>
      </x:c>
      <x:c r="AG14" s="91" t="str">
        <x:v>要出走確認</x:v>
      </x:c>
      <x:c r="AH14" s="91" t="str">
        <x:v>1960〜2026完走順位との一致なし。未出走または表記差を要確認</x:v>
      </x:c>
      <x:c r="AI14" s="91" t="str">
        <x:v>https://bikeraceinfo.com/classics/paris-roubaix/paris-roubaix-index.html</x:v>
      </x:c>
      <x:c r="AJ14" s="91" t="str">
        <x:v>能力・適性・Credit整合済</x:v>
      </x:c>
      <x:c r="AK14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" s="91" t="str">
        <x:v>https://en.wikipedia.org/wiki/Special:Search?search=Jasper%20Philipsen%20cyclist</x:v>
      </x:c>
    </x:row>
    <x:row r="15" ht="24" customHeight="1">
      <x:c r="A15" s="82" t="n">
        <x:v>11</x:v>
      </x:c>
      <x:c r="B15" s="82" t="str">
        <x:v>Filippo Ganna</x:v>
      </x:c>
      <x:c r="C15" s="143" t="str">
        <x:v>蒼きトップギア</x:v>
      </x:c>
      <x:c r="D15" s="82" t="str">
        <x:v>イタリア</x:v>
      </x:c>
      <x:c r="E15" s="82" t="str">
        <x:v>現役</x:v>
      </x:c>
      <x:c r="F15" s="82" t="str">
        <x:v>TT・ルーラー型</x:v>
      </x:c>
      <x:c r="G15" s="82" t="str">
        <x:v>クラシック型</x:v>
      </x:c>
      <x:c r="H15" s="85" t="n">
        <x:v>88</x:v>
      </x:c>
      <x:c r="I15" s="85" t="n">
        <x:v>78</x:v>
      </x:c>
      <x:c r="J15" s="91" t="str">
        <x:v>エース / TTスペシャリスト / ブレイクアウェイキラー / ポジションキーパー</x:v>
      </x:c>
      <x:c r="K15" s="91" t="str"/>
      <x:c r="L15" s="91" t="str">
        <x:v>巡航力 / 悪路耐性</x:v>
      </x:c>
      <x:c r="M15" s="88" t="n">
        <x:v>10650</x:v>
      </x:c>
      <x:c r="N15" s="85" t="n">
        <x:v>69</x:v>
      </x:c>
      <x:c r="O15" s="85" t="n">
        <x:v>69</x:v>
      </x:c>
      <x:c r="P15" s="85" t="n">
        <x:v>68</x:v>
      </x:c>
      <x:c r="Q15" s="85" t="n">
        <x:v>85</x:v>
      </x:c>
      <x:c r="R15" s="85" t="n">
        <x:v>69</x:v>
      </x:c>
      <x:c r="S15" s="85" t="n">
        <x:v>79</x:v>
      </x:c>
      <x:c r="T15" s="85" t="n">
        <x:v>78</x:v>
      </x:c>
      <x:c r="U15" s="85" t="n">
        <x:v>82</x:v>
      </x:c>
      <x:c r="V15" s="85" t="n">
        <x:v>72</x:v>
      </x:c>
      <x:c r="W15" s="85" t="n">
        <x:v>69</x:v>
      </x:c>
      <x:c r="X15" s="85" t="n">
        <x:v>71</x:v>
      </x:c>
      <x:c r="Y15" s="85" t="n">
        <x:v>71</x:v>
      </x:c>
      <x:c r="Z15" s="85" t="n">
        <x:v>80</x:v>
      </x:c>
      <x:c r="AA15" s="85" t="n">
        <x:v>70</x:v>
      </x:c>
      <x:c r="AB15" s="85" t="n">
        <x:v>69</x:v>
      </x:c>
      <x:c r="AC15" s="82" t="n">
        <x:v>25</x:v>
      </x:c>
      <x:c r="AD15" s="82" t="n">
        <x:v>1</x:v>
      </x:c>
      <x:c r="AE15" s="82" t="n">
        <x:v>0</x:v>
      </x:c>
      <x:c r="AF15" s="82" t="n">
        <x:v>0</x:v>
      </x:c>
      <x:c r="AG15" s="91" t="str">
        <x:v>結果照合済</x:v>
      </x:c>
      <x:c r="AH15" s="91" t="str">
        <x:v>最高25位 / 完走1回 / Top10 0回 / 優勝0回</x:v>
      </x:c>
      <x:c r="AI15" s="91" t="str">
        <x:v>https://bikeraceinfo.com/classics/paris-roubaix/pr2026.html</x:v>
      </x:c>
      <x:c r="AJ15" s="91" t="str">
        <x:v>能力・適性・Credit整合済</x:v>
      </x:c>
      <x:c r="AK1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" s="91" t="str">
        <x:v>https://en.wikipedia.org/wiki/Special:Search?search=Filippo%20Ganna%20cyclist</x:v>
      </x:c>
    </x:row>
    <x:row r="16" ht="24" customHeight="1">
      <x:c r="A16" s="82" t="n">
        <x:v>12</x:v>
      </x:c>
      <x:c r="B16" s="82" t="str">
        <x:v>Egan Bernal</x:v>
      </x:c>
      <x:c r="C16" s="143" t="str">
        <x:v>アンデスの若き王</x:v>
      </x:c>
      <x:c r="D16" s="82" t="str">
        <x:v>コロンビア</x:v>
      </x:c>
      <x:c r="E16" s="82" t="str">
        <x:v>現役</x:v>
      </x:c>
      <x:c r="F16" s="82" t="str">
        <x:v>総合型</x:v>
      </x:c>
      <x:c r="G16" s="82" t="str">
        <x:v>クライマー</x:v>
      </x:c>
      <x:c r="H16" s="85" t="n">
        <x:v>88</x:v>
      </x:c>
      <x:c r="I16" s="85" t="n">
        <x:v>71</x:v>
      </x:c>
      <x:c r="J16" s="91" t="str">
        <x:v>エース / 山岳賞ハンター / 山岳アシスト</x:v>
      </x:c>
      <x:c r="K16" s="91" t="str"/>
      <x:c r="L16" s="91" t="str">
        <x:v>日別回復 / 登坂力</x:v>
      </x:c>
      <x:c r="M16" s="88" t="n">
        <x:v>9350</x:v>
      </x:c>
      <x:c r="N16" s="85" t="n">
        <x:v>58</x:v>
      </x:c>
      <x:c r="O16" s="85" t="n">
        <x:v>70</x:v>
      </x:c>
      <x:c r="P16" s="85" t="n">
        <x:v>74</x:v>
      </x:c>
      <x:c r="Q16" s="85" t="n">
        <x:v>71</x:v>
      </x:c>
      <x:c r="R16" s="85" t="n">
        <x:v>83</x:v>
      </x:c>
      <x:c r="S16" s="85" t="n">
        <x:v>80</x:v>
      </x:c>
      <x:c r="T16" s="85" t="n">
        <x:v>74</x:v>
      </x:c>
      <x:c r="U16" s="85" t="n">
        <x:v>70</x:v>
      </x:c>
      <x:c r="V16" s="85" t="n">
        <x:v>70</x:v>
      </x:c>
      <x:c r="W16" s="85" t="n">
        <x:v>50</x:v>
      </x:c>
      <x:c r="X16" s="85" t="n">
        <x:v>83</x:v>
      </x:c>
      <x:c r="Y16" s="85" t="n">
        <x:v>83</x:v>
      </x:c>
      <x:c r="Z16" s="85" t="n">
        <x:v>66</x:v>
      </x:c>
      <x:c r="AA16" s="85" t="n">
        <x:v>80</x:v>
      </x:c>
      <x:c r="AB16" s="85" t="n">
        <x:v>69</x:v>
      </x:c>
      <x:c r="AC16" s="82" t="n">
        <x:v>0</x:v>
      </x:c>
      <x:c r="AD16" s="82" t="n">
        <x:v>0</x:v>
      </x:c>
      <x:c r="AE16" s="82" t="n">
        <x:v>0</x:v>
      </x:c>
      <x:c r="AF16" s="82" t="n">
        <x:v>0</x:v>
      </x:c>
      <x:c r="AG16" s="91" t="str">
        <x:v>要出走確認</x:v>
      </x:c>
      <x:c r="AH16" s="91" t="str">
        <x:v>1960〜2026完走順位との一致なし。未出走または表記差を要確認</x:v>
      </x:c>
      <x:c r="AI16" s="91" t="str">
        <x:v>https://bikeraceinfo.com/classics/paris-roubaix/paris-roubaix-index.html</x:v>
      </x:c>
      <x:c r="AJ16" s="91" t="str">
        <x:v>能力・適性・Credit整合済</x:v>
      </x:c>
      <x:c r="AK1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" s="91" t="str">
        <x:v>https://en.wikipedia.org/wiki/Special:Search?search=Egan%20Bernal%20cyclist</x:v>
      </x:c>
    </x:row>
    <x:row r="17" ht="24" customHeight="1">
      <x:c r="A17" s="82" t="n">
        <x:v>13</x:v>
      </x:c>
      <x:c r="B17" s="82" t="str">
        <x:v>Jonathan Milan</x:v>
      </x:c>
      <x:c r="C17" s="143" t="str"/>
      <x:c r="D17" s="82" t="str">
        <x:v>イタリア</x:v>
      </x:c>
      <x:c r="E17" s="82" t="str">
        <x:v>現役</x:v>
      </x:c>
      <x:c r="F17" s="82" t="str">
        <x:v>スプリンター</x:v>
      </x:c>
      <x:c r="G17" s="82" t="str">
        <x:v>TT・ルーラー型</x:v>
      </x:c>
      <x:c r="H17" s="85" t="n">
        <x:v>88</x:v>
      </x:c>
      <x:c r="I17" s="85" t="n">
        <x:v>73</x:v>
      </x:c>
      <x:c r="J17" s="91" t="str">
        <x:v>エース / リードアウト / 最終発射台 / 無賃乗車</x:v>
      </x:c>
      <x:c r="K17" s="91" t="str"/>
      <x:c r="L17" s="91" t="str">
        <x:v>最高速 / リードアウト / TT適性</x:v>
      </x:c>
      <x:c r="M17" s="88" t="n">
        <x:v>8500</x:v>
      </x:c>
      <x:c r="N17" s="85" t="n">
        <x:v>82</x:v>
      </x:c>
      <x:c r="O17" s="85" t="n">
        <x:v>81</x:v>
      </x:c>
      <x:c r="P17" s="85" t="n">
        <x:v>69</x:v>
      </x:c>
      <x:c r="Q17" s="85" t="n">
        <x:v>74</x:v>
      </x:c>
      <x:c r="R17" s="85" t="n">
        <x:v>59</x:v>
      </x:c>
      <x:c r="S17" s="85" t="n">
        <x:v>67</x:v>
      </x:c>
      <x:c r="T17" s="85" t="n">
        <x:v>67</x:v>
      </x:c>
      <x:c r="U17" s="85" t="n">
        <x:v>73</x:v>
      </x:c>
      <x:c r="V17" s="85" t="n">
        <x:v>73</x:v>
      </x:c>
      <x:c r="W17" s="85" t="n">
        <x:v>64</x:v>
      </x:c>
      <x:c r="X17" s="85" t="n">
        <x:v>70</x:v>
      </x:c>
      <x:c r="Y17" s="85" t="n">
        <x:v>70</x:v>
      </x:c>
      <x:c r="Z17" s="85" t="n">
        <x:v>71</x:v>
      </x:c>
      <x:c r="AA17" s="85" t="n">
        <x:v>81</x:v>
      </x:c>
      <x:c r="AB17" s="85" t="n">
        <x:v>67</x:v>
      </x:c>
      <x:c r="AC17" s="82" t="n">
        <x:v>64</x:v>
      </x:c>
      <x:c r="AD17" s="82" t="n">
        <x:v>1</x:v>
      </x:c>
      <x:c r="AE17" s="82" t="n">
        <x:v>0</x:v>
      </x:c>
      <x:c r="AF17" s="82" t="n">
        <x:v>0</x:v>
      </x:c>
      <x:c r="AG17" s="91" t="str">
        <x:v>結果照合済</x:v>
      </x:c>
      <x:c r="AH17" s="91" t="str">
        <x:v>最高64位 / 完走1回 / Top10 0回 / 優勝0回</x:v>
      </x:c>
      <x:c r="AI17" s="91" t="str">
        <x:v>https://bikeraceinfo.com/classics/paris-roubaix/pr2026.html</x:v>
      </x:c>
      <x:c r="AJ17" s="91" t="str">
        <x:v>能力・適性・Credit整合済</x:v>
      </x:c>
      <x:c r="AK1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" s="91" t="str">
        <x:v>https://en.wikipedia.org/wiki/Special:Search?search=Jonathan%20Milan%20cyclist</x:v>
      </x:c>
    </x:row>
    <x:row r="18" ht="24" customHeight="1">
      <x:c r="A18" s="82" t="n">
        <x:v>14</x:v>
      </x:c>
      <x:c r="B18" s="82" t="str">
        <x:v>Biniam Girmay</x:v>
      </x:c>
      <x:c r="C18" s="143" t="str"/>
      <x:c r="D18" s="82" t="str">
        <x:v>エリトリア</x:v>
      </x:c>
      <x:c r="E18" s="82" t="str">
        <x:v>現役</x:v>
      </x:c>
      <x:c r="F18" s="82" t="str">
        <x:v>スプリンター</x:v>
      </x:c>
      <x:c r="G18" s="82" t="str">
        <x:v>パンチャー</x:v>
      </x:c>
      <x:c r="H18" s="85" t="n">
        <x:v>88</x:v>
      </x:c>
      <x:c r="I18" s="85" t="n">
        <x:v>72</x:v>
      </x:c>
      <x:c r="J18" s="91" t="str">
        <x:v>エース / ステージハンター / リードアウト / 最終発射台</x:v>
      </x:c>
      <x:c r="K18" s="91" t="str"/>
      <x:c r="L18" s="91" t="str">
        <x:v>最高速 / パンチ力 / 石畳</x:v>
      </x:c>
      <x:c r="M18" s="88" t="n">
        <x:v>8350</x:v>
      </x:c>
      <x:c r="N18" s="85" t="n">
        <x:v>80</x:v>
      </x:c>
      <x:c r="O18" s="85" t="n">
        <x:v>85</x:v>
      </x:c>
      <x:c r="P18" s="85" t="n">
        <x:v>71</x:v>
      </x:c>
      <x:c r="Q18" s="85" t="n">
        <x:v>73</x:v>
      </x:c>
      <x:c r="R18" s="85" t="n">
        <x:v>61</x:v>
      </x:c>
      <x:c r="S18" s="85" t="n">
        <x:v>67</x:v>
      </x:c>
      <x:c r="T18" s="85" t="n">
        <x:v>67</x:v>
      </x:c>
      <x:c r="U18" s="85" t="n">
        <x:v>70</x:v>
      </x:c>
      <x:c r="V18" s="85" t="n">
        <x:v>72</x:v>
      </x:c>
      <x:c r="W18" s="85" t="n">
        <x:v>50</x:v>
      </x:c>
      <x:c r="X18" s="85" t="n">
        <x:v>70</x:v>
      </x:c>
      <x:c r="Y18" s="85" t="n">
        <x:v>70</x:v>
      </x:c>
      <x:c r="Z18" s="85" t="n">
        <x:v>67</x:v>
      </x:c>
      <x:c r="AA18" s="85" t="n">
        <x:v>82</x:v>
      </x:c>
      <x:c r="AB18" s="85" t="n">
        <x:v>67</x:v>
      </x:c>
      <x:c r="AC18" s="82" t="n">
        <x:v>0</x:v>
      </x:c>
      <x:c r="AD18" s="82" t="n">
        <x:v>0</x:v>
      </x:c>
      <x:c r="AE18" s="82" t="n">
        <x:v>0</x:v>
      </x:c>
      <x:c r="AF18" s="82" t="n">
        <x:v>0</x:v>
      </x:c>
      <x:c r="AG18" s="91" t="str">
        <x:v>要出走確認</x:v>
      </x:c>
      <x:c r="AH18" s="91" t="str">
        <x:v>1960〜2026完走順位との一致なし。未出走または表記差を要確認</x:v>
      </x:c>
      <x:c r="AI18" s="91" t="str">
        <x:v>https://bikeraceinfo.com/classics/paris-roubaix/paris-roubaix-index.html</x:v>
      </x:c>
      <x:c r="AJ18" s="91" t="str">
        <x:v>能力・適性・Credit整合済</x:v>
      </x:c>
      <x:c r="AK18" s="91" t="str">
        <x:v>世界選手権ロード・個人TT表彰台実績を補正後、能力別順位上限を適用（85は各能力最大2名・1選手最大2項目）。パヴェはパリ〜ルーベ主基準・ロンド優勝を加点＋最低保証。手動調整: Biniam Girmayのスプリントを80に設定。手動調整: Biniam Girmayのエース適性を88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" s="91" t="str">
        <x:v>https://en.wikipedia.org/wiki/Special:Search?search=Biniam%20Girmay%20cyclist</x:v>
      </x:c>
    </x:row>
    <x:row r="19" ht="24" customHeight="1">
      <x:c r="A19" s="82" t="n">
        <x:v>15</x:v>
      </x:c>
      <x:c r="B19" s="82" t="str">
        <x:v>Arnaud De Lie</x:v>
      </x:c>
      <x:c r="C19" s="143" t="str"/>
      <x:c r="D19" s="82" t="str">
        <x:v>ベルギー</x:v>
      </x:c>
      <x:c r="E19" s="82" t="str">
        <x:v>現役</x:v>
      </x:c>
      <x:c r="F19" s="82" t="str">
        <x:v>パンチャー</x:v>
      </x:c>
      <x:c r="G19" s="82" t="str">
        <x:v>スプリンター</x:v>
      </x:c>
      <x:c r="H19" s="85" t="n">
        <x:v>87</x:v>
      </x:c>
      <x:c r="I19" s="85" t="n">
        <x:v>72</x:v>
      </x:c>
      <x:c r="J19" s="91" t="str">
        <x:v>エース / ステージハンター / スプリントトレイン / 下り牽引</x:v>
      </x:c>
      <x:c r="K19" s="91" t="str"/>
      <x:c r="L19" s="91" t="str">
        <x:v>パンチ力 / 最高速 / 悪路耐性</x:v>
      </x:c>
      <x:c r="M19" s="88" t="n">
        <x:v>8350</x:v>
      </x:c>
      <x:c r="N19" s="85" t="n">
        <x:v>76</x:v>
      </x:c>
      <x:c r="O19" s="85" t="n">
        <x:v>84</x:v>
      </x:c>
      <x:c r="P19" s="85" t="n">
        <x:v>82</x:v>
      </x:c>
      <x:c r="Q19" s="85" t="n">
        <x:v>70</x:v>
      </x:c>
      <x:c r="R19" s="85" t="n">
        <x:v>72</x:v>
      </x:c>
      <x:c r="S19" s="85" t="n">
        <x:v>67</x:v>
      </x:c>
      <x:c r="T19" s="85" t="n">
        <x:v>67</x:v>
      </x:c>
      <x:c r="U19" s="85" t="n">
        <x:v>75</x:v>
      </x:c>
      <x:c r="V19" s="85" t="n">
        <x:v>78</x:v>
      </x:c>
      <x:c r="W19" s="85" t="n">
        <x:v>50</x:v>
      </x:c>
      <x:c r="X19" s="85" t="n">
        <x:v>71</x:v>
      </x:c>
      <x:c r="Y19" s="85" t="n">
        <x:v>71</x:v>
      </x:c>
      <x:c r="Z19" s="85" t="n">
        <x:v>67</x:v>
      </x:c>
      <x:c r="AA19" s="85" t="n">
        <x:v>80</x:v>
      </x:c>
      <x:c r="AB19" s="85" t="n">
        <x:v>75</x:v>
      </x:c>
      <x:c r="AC19" s="82" t="n">
        <x:v>0</x:v>
      </x:c>
      <x:c r="AD19" s="82" t="n">
        <x:v>0</x:v>
      </x:c>
      <x:c r="AE19" s="82" t="n">
        <x:v>0</x:v>
      </x:c>
      <x:c r="AF19" s="82" t="n">
        <x:v>0</x:v>
      </x:c>
      <x:c r="AG19" s="91" t="str">
        <x:v>要出走確認</x:v>
      </x:c>
      <x:c r="AH19" s="91" t="str">
        <x:v>1960〜2026完走順位との一致なし。未出走または表記差を要確認</x:v>
      </x:c>
      <x:c r="AI19" s="91" t="str">
        <x:v>https://bikeraceinfo.com/classics/paris-roubaix/paris-roubaix-index.html</x:v>
      </x:c>
      <x:c r="AJ19" s="91" t="str">
        <x:v>能力・適性・Credit整合済</x:v>
      </x:c>
      <x:c r="AK1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" s="91" t="str">
        <x:v>https://en.wikipedia.org/wiki/Special:Search?search=Arnaud%20De%20Lie%20cyclist</x:v>
      </x:c>
    </x:row>
    <x:row r="20" ht="24" customHeight="1">
      <x:c r="A20" s="82" t="n">
        <x:v>16</x:v>
      </x:c>
      <x:c r="B20" s="82" t="str">
        <x:v>Juan Ayuso</x:v>
      </x:c>
      <x:c r="C20" s="143" t="str"/>
      <x:c r="D20" s="82" t="str">
        <x:v>スペイン</x:v>
      </x:c>
      <x:c r="E20" s="82" t="str">
        <x:v>現役</x:v>
      </x:c>
      <x:c r="F20" s="82" t="str">
        <x:v>総合型</x:v>
      </x:c>
      <x:c r="G20" s="82" t="str">
        <x:v>パンチャー</x:v>
      </x:c>
      <x:c r="H20" s="85" t="n">
        <x:v>87</x:v>
      </x:c>
      <x:c r="I20" s="85" t="n">
        <x:v>73</x:v>
      </x:c>
      <x:c r="J20" s="91" t="str">
        <x:v>エース / 山岳番手</x:v>
      </x:c>
      <x:c r="K20" s="91" t="str"/>
      <x:c r="L20" s="91" t="str">
        <x:v>登坂力 / パンチ力 / ステージハンター</x:v>
      </x:c>
      <x:c r="M20" s="88" t="n">
        <x:v>8150</x:v>
      </x:c>
      <x:c r="N20" s="85" t="n">
        <x:v>62</x:v>
      </x:c>
      <x:c r="O20" s="85" t="n">
        <x:v>71</x:v>
      </x:c>
      <x:c r="P20" s="85" t="n">
        <x:v>75</x:v>
      </x:c>
      <x:c r="Q20" s="85" t="n">
        <x:v>71</x:v>
      </x:c>
      <x:c r="R20" s="85" t="n">
        <x:v>77</x:v>
      </x:c>
      <x:c r="S20" s="85" t="n">
        <x:v>74</x:v>
      </x:c>
      <x:c r="T20" s="85" t="n">
        <x:v>74</x:v>
      </x:c>
      <x:c r="U20" s="85" t="n">
        <x:v>69</x:v>
      </x:c>
      <x:c r="V20" s="85" t="n">
        <x:v>70</x:v>
      </x:c>
      <x:c r="W20" s="85" t="n">
        <x:v>50</x:v>
      </x:c>
      <x:c r="X20" s="85" t="n">
        <x:v>81</x:v>
      </x:c>
      <x:c r="Y20" s="85" t="n">
        <x:v>81</x:v>
      </x:c>
      <x:c r="Z20" s="85" t="n">
        <x:v>68</x:v>
      </x:c>
      <x:c r="AA20" s="85" t="n">
        <x:v>79</x:v>
      </x:c>
      <x:c r="AB20" s="85" t="n">
        <x:v>70</x:v>
      </x:c>
      <x:c r="AC20" s="82" t="n">
        <x:v>0</x:v>
      </x:c>
      <x:c r="AD20" s="82" t="n">
        <x:v>0</x:v>
      </x:c>
      <x:c r="AE20" s="82" t="n">
        <x:v>0</x:v>
      </x:c>
      <x:c r="AF20" s="82" t="n">
        <x:v>0</x:v>
      </x:c>
      <x:c r="AG20" s="91" t="str">
        <x:v>要出走確認</x:v>
      </x:c>
      <x:c r="AH20" s="91" t="str">
        <x:v>1960〜2026完走順位との一致なし。未出走または表記差を要確認</x:v>
      </x:c>
      <x:c r="AI20" s="91" t="str">
        <x:v>https://bikeraceinfo.com/classics/paris-roubaix/paris-roubaix-index.html</x:v>
      </x:c>
      <x:c r="AJ20" s="91" t="str">
        <x:v>能力・適性・Credit整合済</x:v>
      </x:c>
      <x:c r="AK2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" s="91" t="str">
        <x:v>https://en.wikipedia.org/wiki/Special:Search?search=Juan%20Ayuso%20cyclist</x:v>
      </x:c>
    </x:row>
    <x:row r="21" ht="24" customHeight="1">
      <x:c r="A21" s="82" t="n">
        <x:v>17</x:v>
      </x:c>
      <x:c r="B21" s="82" t="str">
        <x:v>Olav Kooij</x:v>
      </x:c>
      <x:c r="C21" s="143" t="str"/>
      <x:c r="D21" s="82" t="str">
        <x:v>オランダ</x:v>
      </x:c>
      <x:c r="E21" s="82" t="str">
        <x:v>現役</x:v>
      </x:c>
      <x:c r="F21" s="82" t="str">
        <x:v>スプリンター</x:v>
      </x:c>
      <x:c r="G21" s="82" t="str">
        <x:v>TT・ルーラー型</x:v>
      </x:c>
      <x:c r="H21" s="85" t="n">
        <x:v>87</x:v>
      </x:c>
      <x:c r="I21" s="85" t="n">
        <x:v>72</x:v>
      </x:c>
      <x:c r="J21" s="91" t="str">
        <x:v>エース / リードアウト / 最終発射台 / 下り牽引 / 無賃乗車</x:v>
      </x:c>
      <x:c r="K21" s="91" t="str"/>
      <x:c r="L21" s="91" t="str">
        <x:v>最高速 / 位置取り / 集団スプリント</x:v>
      </x:c>
      <x:c r="M21" s="88" t="n">
        <x:v>7950</x:v>
      </x:c>
      <x:c r="N21" s="85" t="n">
        <x:v>82</x:v>
      </x:c>
      <x:c r="O21" s="85" t="n">
        <x:v>81</x:v>
      </x:c>
      <x:c r="P21" s="85" t="n">
        <x:v>69</x:v>
      </x:c>
      <x:c r="Q21" s="85" t="n">
        <x:v>73</x:v>
      </x:c>
      <x:c r="R21" s="85" t="n">
        <x:v>59</x:v>
      </x:c>
      <x:c r="S21" s="85" t="n">
        <x:v>67</x:v>
      </x:c>
      <x:c r="T21" s="85" t="n">
        <x:v>67</x:v>
      </x:c>
      <x:c r="U21" s="85" t="n">
        <x:v>74</x:v>
      </x:c>
      <x:c r="V21" s="85" t="n">
        <x:v>73</x:v>
      </x:c>
      <x:c r="W21" s="85" t="n">
        <x:v>50</x:v>
      </x:c>
      <x:c r="X21" s="85" t="n">
        <x:v>70</x:v>
      </x:c>
      <x:c r="Y21" s="85" t="n">
        <x:v>70</x:v>
      </x:c>
      <x:c r="Z21" s="85" t="n">
        <x:v>68</x:v>
      </x:c>
      <x:c r="AA21" s="85" t="n">
        <x:v>81</x:v>
      </x:c>
      <x:c r="AB21" s="85" t="n">
        <x:v>67</x:v>
      </x:c>
      <x:c r="AC21" s="82" t="n">
        <x:v>0</x:v>
      </x:c>
      <x:c r="AD21" s="82" t="n">
        <x:v>0</x:v>
      </x:c>
      <x:c r="AE21" s="82" t="n">
        <x:v>0</x:v>
      </x:c>
      <x:c r="AF21" s="82" t="n">
        <x:v>0</x:v>
      </x:c>
      <x:c r="AG21" s="91" t="str">
        <x:v>要出走確認</x:v>
      </x:c>
      <x:c r="AH21" s="91" t="str">
        <x:v>1960〜2026完走順位との一致なし。未出走または表記差を要確認</x:v>
      </x:c>
      <x:c r="AI21" s="91" t="str">
        <x:v>https://bikeraceinfo.com/classics/paris-roubaix/paris-roubaix-index.html</x:v>
      </x:c>
      <x:c r="AJ21" s="91" t="str">
        <x:v>能力・適性・Credit整合済</x:v>
      </x:c>
      <x:c r="AK2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" s="91" t="str">
        <x:v>https://en.wikipedia.org/wiki/Special:Search?search=Olav%20Kooij%20cyclist</x:v>
      </x:c>
    </x:row>
    <x:row r="22" ht="24" customHeight="1">
      <x:c r="A22" s="82" t="n">
        <x:v>18</x:v>
      </x:c>
      <x:c r="B22" s="82" t="str">
        <x:v>Alberto Bettiol</x:v>
      </x:c>
      <x:c r="C22" s="143" t="str"/>
      <x:c r="D22" s="82" t="str">
        <x:v>イタリア</x:v>
      </x:c>
      <x:c r="E22" s="82" t="str">
        <x:v>現役</x:v>
      </x:c>
      <x:c r="F22" s="82" t="str">
        <x:v>クラシック型</x:v>
      </x:c>
      <x:c r="G22" s="82" t="str">
        <x:v>パンチャー</x:v>
      </x:c>
      <x:c r="H22" s="85" t="n">
        <x:v>86</x:v>
      </x:c>
      <x:c r="I22" s="85" t="n">
        <x:v>77</x:v>
      </x:c>
      <x:c r="J22" s="91" t="str">
        <x:v>エース / 石畳護衛 / ブリッジャー / カウンターアタッカー / 横風分断</x:v>
      </x:c>
      <x:c r="K22" s="91" t="str"/>
      <x:c r="L22" s="91" t="str">
        <x:v>石畳 / パンチ力 / 単独走</x:v>
      </x:c>
      <x:c r="M22" s="88" t="n">
        <x:v>9000</x:v>
      </x:c>
      <x:c r="N22" s="85" t="n">
        <x:v>75</x:v>
      </x:c>
      <x:c r="O22" s="85" t="n">
        <x:v>76</x:v>
      </x:c>
      <x:c r="P22" s="85" t="n">
        <x:v>77</x:v>
      </x:c>
      <x:c r="Q22" s="85" t="n">
        <x:v>77</x:v>
      </x:c>
      <x:c r="R22" s="85" t="n">
        <x:v>68</x:v>
      </x:c>
      <x:c r="S22" s="85" t="n">
        <x:v>74</x:v>
      </x:c>
      <x:c r="T22" s="85" t="n">
        <x:v>79</x:v>
      </x:c>
      <x:c r="U22" s="85" t="n">
        <x:v>79</x:v>
      </x:c>
      <x:c r="V22" s="85" t="n">
        <x:v>81</x:v>
      </x:c>
      <x:c r="W22" s="85" t="n">
        <x:v>76</x:v>
      </x:c>
      <x:c r="X22" s="85" t="n">
        <x:v>72</x:v>
      </x:c>
      <x:c r="Y22" s="85" t="n">
        <x:v>72</x:v>
      </x:c>
      <x:c r="Z22" s="85" t="n">
        <x:v>75</x:v>
      </x:c>
      <x:c r="AA22" s="85" t="n">
        <x:v>73</x:v>
      </x:c>
      <x:c r="AB22" s="85" t="n">
        <x:v>82</x:v>
      </x:c>
      <x:c r="AC22" s="82" t="n">
        <x:v>0</x:v>
      </x:c>
      <x:c r="AD22" s="82" t="n">
        <x:v>0</x:v>
      </x:c>
      <x:c r="AE22" s="82" t="n">
        <x:v>0</x:v>
      </x:c>
      <x:c r="AF22" s="82" t="n">
        <x:v>0</x:v>
      </x:c>
      <x:c r="AG22" s="91" t="str">
        <x:v>要出走確認</x:v>
      </x:c>
      <x:c r="AH22" s="91" t="str">
        <x:v>1960〜2026完走順位との一致なし。未出走または表記差を要確認 / ロンド優勝1回・加点+1・最低保証76</x:v>
      </x:c>
      <x:c r="AI22" s="91" t="str">
        <x:v>https://www.rondevanvlaanderen.be/en/race/men-elite/history</x:v>
      </x:c>
      <x:c r="AJ22" s="91" t="str">
        <x:v>能力・適性・Credit整合済</x:v>
      </x:c>
      <x:c r="AK22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" s="91" t="str">
        <x:v>https://en.wikipedia.org/wiki/Special:Search?search=Alberto%20Bettiol%20cyclist</x:v>
      </x:c>
    </x:row>
    <x:row r="23" ht="24" customHeight="1">
      <x:c r="A23" s="82" t="n">
        <x:v>19</x:v>
      </x:c>
      <x:c r="B23" s="82" t="str">
        <x:v>Tim Wellens</x:v>
      </x:c>
      <x:c r="C23" s="143" t="str"/>
      <x:c r="D23" s="82" t="str">
        <x:v>ベルギー</x:v>
      </x:c>
      <x:c r="E23" s="82" t="str">
        <x:v>現役</x:v>
      </x:c>
      <x:c r="F23" s="82" t="str">
        <x:v>パンチャー</x:v>
      </x:c>
      <x:c r="G23" s="82" t="str">
        <x:v>クラシック型</x:v>
      </x:c>
      <x:c r="H23" s="85" t="n">
        <x:v>86</x:v>
      </x:c>
      <x:c r="I23" s="85" t="n">
        <x:v>71</x:v>
      </x:c>
      <x:c r="J23" s="91" t="str">
        <x:v>エース / ステージハンター / カウンターアタッカー</x:v>
      </x:c>
      <x:c r="K23" s="91" t="str"/>
      <x:c r="L23" s="91" t="str">
        <x:v>パンチ力 / 悪天候 / 逃げ屋</x:v>
      </x:c>
      <x:c r="M23" s="88" t="n">
        <x:v>8500</x:v>
      </x:c>
      <x:c r="N23" s="85" t="n">
        <x:v>74</x:v>
      </x:c>
      <x:c r="O23" s="85" t="n">
        <x:v>81</x:v>
      </x:c>
      <x:c r="P23" s="85" t="n">
        <x:v>85</x:v>
      </x:c>
      <x:c r="Q23" s="85" t="n">
        <x:v>71</x:v>
      </x:c>
      <x:c r="R23" s="85" t="n">
        <x:v>73</x:v>
      </x:c>
      <x:c r="S23" s="85" t="n">
        <x:v>67</x:v>
      </x:c>
      <x:c r="T23" s="85" t="n">
        <x:v>68</x:v>
      </x:c>
      <x:c r="U23" s="85" t="n">
        <x:v>76</x:v>
      </x:c>
      <x:c r="V23" s="85" t="n">
        <x:v>78</x:v>
      </x:c>
      <x:c r="W23" s="85" t="n">
        <x:v>50</x:v>
      </x:c>
      <x:c r="X23" s="85" t="n">
        <x:v>72</x:v>
      </x:c>
      <x:c r="Y23" s="85" t="n">
        <x:v>72</x:v>
      </x:c>
      <x:c r="Z23" s="85" t="n">
        <x:v>65</x:v>
      </x:c>
      <x:c r="AA23" s="85" t="n">
        <x:v>80</x:v>
      </x:c>
      <x:c r="AB23" s="85" t="n">
        <x:v>79</x:v>
      </x:c>
      <x:c r="AC23" s="82" t="n">
        <x:v>0</x:v>
      </x:c>
      <x:c r="AD23" s="82" t="n">
        <x:v>0</x:v>
      </x:c>
      <x:c r="AE23" s="82" t="n">
        <x:v>0</x:v>
      </x:c>
      <x:c r="AF23" s="82" t="n">
        <x:v>0</x:v>
      </x:c>
      <x:c r="AG23" s="91" t="str">
        <x:v>要出走確認</x:v>
      </x:c>
      <x:c r="AH23" s="91" t="str">
        <x:v>1960〜2026完走順位との一致なし。未出走または表記差を要確認</x:v>
      </x:c>
      <x:c r="AI23" s="91" t="str">
        <x:v>https://bikeraceinfo.com/classics/paris-roubaix/paris-roubaix-index.html</x:v>
      </x:c>
      <x:c r="AJ23" s="91" t="str">
        <x:v>能力・適性・Credit整合済</x:v>
      </x:c>
      <x:c r="AK2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" s="91" t="str">
        <x:v>https://en.wikipedia.org/wiki/Special:Search?search=Tim%20Wellens%20cyclist</x:v>
      </x:c>
    </x:row>
    <x:row r="24" ht="24" customHeight="1">
      <x:c r="A24" s="82" t="n">
        <x:v>20</x:v>
      </x:c>
      <x:c r="B24" s="82" t="str">
        <x:v>Mattias Skjelmose</x:v>
      </x:c>
      <x:c r="C24" s="143" t="str"/>
      <x:c r="D24" s="82" t="str">
        <x:v>デンマーク</x:v>
      </x:c>
      <x:c r="E24" s="82" t="str">
        <x:v>現役</x:v>
      </x:c>
      <x:c r="F24" s="82" t="str">
        <x:v>パンチャー</x:v>
      </x:c>
      <x:c r="G24" s="82" t="str">
        <x:v>総合型</x:v>
      </x:c>
      <x:c r="H24" s="85" t="n">
        <x:v>86</x:v>
      </x:c>
      <x:c r="I24" s="85" t="n">
        <x:v>71</x:v>
      </x:c>
      <x:c r="J24" s="91" t="str">
        <x:v>エース / ステージハンター / 集団コントローラー / カウンターアタッカー</x:v>
      </x:c>
      <x:c r="K24" s="91" t="str"/>
      <x:c r="L24" s="91" t="str">
        <x:v>パンチ力 / 総合安定 / TT適性</x:v>
      </x:c>
      <x:c r="M24" s="88" t="n">
        <x:v>8000</x:v>
      </x:c>
      <x:c r="N24" s="85" t="n">
        <x:v>70</x:v>
      </x:c>
      <x:c r="O24" s="85" t="n">
        <x:v>80</x:v>
      </x:c>
      <x:c r="P24" s="85" t="n">
        <x:v>83</x:v>
      </x:c>
      <x:c r="Q24" s="85" t="n">
        <x:v>71</x:v>
      </x:c>
      <x:c r="R24" s="85" t="n">
        <x:v>73</x:v>
      </x:c>
      <x:c r="S24" s="85" t="n">
        <x:v>67</x:v>
      </x:c>
      <x:c r="T24" s="85" t="n">
        <x:v>67</x:v>
      </x:c>
      <x:c r="U24" s="85" t="n">
        <x:v>76</x:v>
      </x:c>
      <x:c r="V24" s="85" t="n">
        <x:v>77</x:v>
      </x:c>
      <x:c r="W24" s="85" t="n">
        <x:v>50</x:v>
      </x:c>
      <x:c r="X24" s="85" t="n">
        <x:v>73</x:v>
      </x:c>
      <x:c r="Y24" s="85" t="n">
        <x:v>73</x:v>
      </x:c>
      <x:c r="Z24" s="85" t="n">
        <x:v>66</x:v>
      </x:c>
      <x:c r="AA24" s="85" t="n">
        <x:v>78</x:v>
      </x:c>
      <x:c r="AB24" s="85" t="n">
        <x:v>77</x:v>
      </x:c>
      <x:c r="AC24" s="82" t="n">
        <x:v>0</x:v>
      </x:c>
      <x:c r="AD24" s="82" t="n">
        <x:v>0</x:v>
      </x:c>
      <x:c r="AE24" s="82" t="n">
        <x:v>0</x:v>
      </x:c>
      <x:c r="AF24" s="82" t="n">
        <x:v>0</x:v>
      </x:c>
      <x:c r="AG24" s="91" t="str">
        <x:v>要出走確認</x:v>
      </x:c>
      <x:c r="AH24" s="91" t="str">
        <x:v>1960〜2026完走順位との一致なし。未出走または表記差を要確認</x:v>
      </x:c>
      <x:c r="AI24" s="91" t="str">
        <x:v>https://bikeraceinfo.com/classics/paris-roubaix/paris-roubaix-index.html</x:v>
      </x:c>
      <x:c r="AJ24" s="91" t="str">
        <x:v>能力・適性・Credit整合済</x:v>
      </x:c>
      <x:c r="AK24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" s="91" t="str">
        <x:v>https://en.wikipedia.org/wiki/Special:Search?search=Mattias%20Skjelmose%20cyclist</x:v>
      </x:c>
    </x:row>
    <x:row r="25" ht="24" customHeight="1">
      <x:c r="A25" s="82" t="n">
        <x:v>21</x:v>
      </x:c>
      <x:c r="B25" s="82" t="str">
        <x:v>Kaden Groves</x:v>
      </x:c>
      <x:c r="C25" s="143" t="str"/>
      <x:c r="D25" s="82" t="str">
        <x:v>オーストラリア</x:v>
      </x:c>
      <x:c r="E25" s="82" t="str">
        <x:v>現役</x:v>
      </x:c>
      <x:c r="F25" s="82" t="str">
        <x:v>スプリンター</x:v>
      </x:c>
      <x:c r="G25" s="82" t="str">
        <x:v>クラシック型</x:v>
      </x:c>
      <x:c r="H25" s="85" t="n">
        <x:v>86</x:v>
      </x:c>
      <x:c r="I25" s="85" t="n">
        <x:v>70</x:v>
      </x:c>
      <x:c r="J25" s="91" t="str">
        <x:v>エース / リードアウト / 最終発射台 / 下り牽引</x:v>
      </x:c>
      <x:c r="K25" s="91" t="str"/>
      <x:c r="L25" s="91" t="str">
        <x:v>最高速 / 悪路耐性 / 反復スプリント</x:v>
      </x:c>
      <x:c r="M25" s="88" t="n">
        <x:v>7950</x:v>
      </x:c>
      <x:c r="N25" s="85" t="n">
        <x:v>85</x:v>
      </x:c>
      <x:c r="O25" s="85" t="n">
        <x:v>82</x:v>
      </x:c>
      <x:c r="P25" s="85" t="n">
        <x:v>70</x:v>
      </x:c>
      <x:c r="Q25" s="85" t="n">
        <x:v>73</x:v>
      </x:c>
      <x:c r="R25" s="85" t="n">
        <x:v>58</x:v>
      </x:c>
      <x:c r="S25" s="85" t="n">
        <x:v>67</x:v>
      </x:c>
      <x:c r="T25" s="85" t="n">
        <x:v>67</x:v>
      </x:c>
      <x:c r="U25" s="85" t="n">
        <x:v>70</x:v>
      </x:c>
      <x:c r="V25" s="85" t="n">
        <x:v>74</x:v>
      </x:c>
      <x:c r="W25" s="85" t="n">
        <x:v>50</x:v>
      </x:c>
      <x:c r="X25" s="85" t="n">
        <x:v>71</x:v>
      </x:c>
      <x:c r="Y25" s="85" t="n">
        <x:v>70</x:v>
      </x:c>
      <x:c r="Z25" s="85" t="n">
        <x:v>66</x:v>
      </x:c>
      <x:c r="AA25" s="85" t="n">
        <x:v>82</x:v>
      </x:c>
      <x:c r="AB25" s="85" t="n">
        <x:v>68</x:v>
      </x:c>
      <x:c r="AC25" s="82" t="n">
        <x:v>0</x:v>
      </x:c>
      <x:c r="AD25" s="82" t="n">
        <x:v>0</x:v>
      </x:c>
      <x:c r="AE25" s="82" t="n">
        <x:v>0</x:v>
      </x:c>
      <x:c r="AF25" s="82" t="n">
        <x:v>0</x:v>
      </x:c>
      <x:c r="AG25" s="91" t="str">
        <x:v>要出走確認</x:v>
      </x:c>
      <x:c r="AH25" s="91" t="str">
        <x:v>1960〜2026完走順位との一致なし。未出走または表記差を要確認</x:v>
      </x:c>
      <x:c r="AI25" s="91" t="str">
        <x:v>https://bikeraceinfo.com/classics/paris-roubaix/paris-roubaix-index.html</x:v>
      </x:c>
      <x:c r="AJ25" s="91" t="str">
        <x:v>能力・適性・Credit整合済</x:v>
      </x:c>
      <x:c r="AK2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" s="91" t="str">
        <x:v>https://en.wikipedia.org/wiki/Special:Search?search=Kaden%20Groves%20cyclist</x:v>
      </x:c>
    </x:row>
    <x:row r="26" ht="24" customHeight="1">
      <x:c r="A26" s="82" t="n">
        <x:v>22</x:v>
      </x:c>
      <x:c r="B26" s="82" t="str">
        <x:v>Fabio Jakobsen</x:v>
      </x:c>
      <x:c r="C26" s="143" t="str"/>
      <x:c r="D26" s="82" t="str">
        <x:v>オランダ</x:v>
      </x:c>
      <x:c r="E26" s="82" t="str">
        <x:v>現役</x:v>
      </x:c>
      <x:c r="F26" s="82" t="str">
        <x:v>スプリンター</x:v>
      </x:c>
      <x:c r="G26" s="82" t="str">
        <x:v>クラシック型</x:v>
      </x:c>
      <x:c r="H26" s="85" t="n">
        <x:v>86</x:v>
      </x:c>
      <x:c r="I26" s="85" t="n">
        <x:v>70</x:v>
      </x:c>
      <x:c r="J26" s="91" t="str">
        <x:v>エース / リードアウト / 最終発射台 / スプリントトレイン</x:v>
      </x:c>
      <x:c r="K26" s="91" t="str"/>
      <x:c r="L26" s="91" t="str">
        <x:v>最高速 / 集団スプリント / 勝負強さ</x:v>
      </x:c>
      <x:c r="M26" s="88" t="n">
        <x:v>7450</x:v>
      </x:c>
      <x:c r="N26" s="85" t="n">
        <x:v>82</x:v>
      </x:c>
      <x:c r="O26" s="85" t="n">
        <x:v>82</x:v>
      </x:c>
      <x:c r="P26" s="85" t="n">
        <x:v>70</x:v>
      </x:c>
      <x:c r="Q26" s="85" t="n">
        <x:v>73</x:v>
      </x:c>
      <x:c r="R26" s="85" t="n">
        <x:v>58</x:v>
      </x:c>
      <x:c r="S26" s="85" t="n">
        <x:v>66</x:v>
      </x:c>
      <x:c r="T26" s="85" t="n">
        <x:v>66</x:v>
      </x:c>
      <x:c r="U26" s="85" t="n">
        <x:v>71</x:v>
      </x:c>
      <x:c r="V26" s="85" t="n">
        <x:v>73</x:v>
      </x:c>
      <x:c r="W26" s="85" t="n">
        <x:v>50</x:v>
      </x:c>
      <x:c r="X26" s="85" t="n">
        <x:v>70</x:v>
      </x:c>
      <x:c r="Y26" s="85" t="n">
        <x:v>69</x:v>
      </x:c>
      <x:c r="Z26" s="85" t="n">
        <x:v>65</x:v>
      </x:c>
      <x:c r="AA26" s="85" t="n">
        <x:v>82</x:v>
      </x:c>
      <x:c r="AB26" s="85" t="n">
        <x:v>67</x:v>
      </x:c>
      <x:c r="AC26" s="82" t="n">
        <x:v>0</x:v>
      </x:c>
      <x:c r="AD26" s="82" t="n">
        <x:v>0</x:v>
      </x:c>
      <x:c r="AE26" s="82" t="n">
        <x:v>0</x:v>
      </x:c>
      <x:c r="AF26" s="82" t="n">
        <x:v>0</x:v>
      </x:c>
      <x:c r="AG26" s="91" t="str">
        <x:v>要出走確認</x:v>
      </x:c>
      <x:c r="AH26" s="91" t="str">
        <x:v>1960〜2026完走順位との一致なし。未出走または表記差を要確認</x:v>
      </x:c>
      <x:c r="AI26" s="91" t="str">
        <x:v>https://bikeraceinfo.com/classics/paris-roubaix/paris-roubaix-index.html</x:v>
      </x:c>
      <x:c r="AJ26" s="91" t="str">
        <x:v>能力・適性・Credit整合済</x:v>
      </x:c>
      <x:c r="AK2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" s="91" t="str">
        <x:v>https://en.wikipedia.org/wiki/Special:Search?search=Fabio%20Jakobsen%20cyclist</x:v>
      </x:c>
    </x:row>
    <x:row r="27" ht="24" customHeight="1">
      <x:c r="A27" s="82" t="n">
        <x:v>23</x:v>
      </x:c>
      <x:c r="B27" s="82" t="str">
        <x:v>Tom Pidcock</x:v>
      </x:c>
      <x:c r="C27" s="143" t="str"/>
      <x:c r="D27" s="82" t="str">
        <x:v>イギリス</x:v>
      </x:c>
      <x:c r="E27" s="82" t="str">
        <x:v>現役</x:v>
      </x:c>
      <x:c r="F27" s="82" t="str">
        <x:v>クラシック型</x:v>
      </x:c>
      <x:c r="G27" s="82" t="str">
        <x:v>パンチャー</x:v>
      </x:c>
      <x:c r="H27" s="85" t="n">
        <x:v>86</x:v>
      </x:c>
      <x:c r="I27" s="85" t="n">
        <x:v>77</x:v>
      </x:c>
      <x:c r="J27" s="91" t="str">
        <x:v>エース / 石畳護衛 / 逃げ屋 / カウンターアタッカー / 横風分断 / 無賃乗車</x:v>
      </x:c>
      <x:c r="K27" s="91" t="str"/>
      <x:c r="L27" s="91" t="str">
        <x:v>パンチ力 / バイクコントロール / 下り</x:v>
      </x:c>
      <x:c r="M27" s="88" t="n">
        <x:v>7350</x:v>
      </x:c>
      <x:c r="N27" s="85" t="n">
        <x:v>75</x:v>
      </x:c>
      <x:c r="O27" s="85" t="n">
        <x:v>76</x:v>
      </x:c>
      <x:c r="P27" s="85" t="n">
        <x:v>77</x:v>
      </x:c>
      <x:c r="Q27" s="85" t="n">
        <x:v>77</x:v>
      </x:c>
      <x:c r="R27" s="85" t="n">
        <x:v>68</x:v>
      </x:c>
      <x:c r="S27" s="85" t="n">
        <x:v>74</x:v>
      </x:c>
      <x:c r="T27" s="85" t="n">
        <x:v>79</x:v>
      </x:c>
      <x:c r="U27" s="85" t="n">
        <x:v>81</x:v>
      </x:c>
      <x:c r="V27" s="85" t="n">
        <x:v>83</x:v>
      </x:c>
      <x:c r="W27" s="85" t="n">
        <x:v>50</x:v>
      </x:c>
      <x:c r="X27" s="85" t="n">
        <x:v>72</x:v>
      </x:c>
      <x:c r="Y27" s="85" t="n">
        <x:v>72</x:v>
      </x:c>
      <x:c r="Z27" s="85" t="n">
        <x:v>76</x:v>
      </x:c>
      <x:c r="AA27" s="85" t="n">
        <x:v>74</x:v>
      </x:c>
      <x:c r="AB27" s="85" t="n">
        <x:v>81</x:v>
      </x:c>
      <x:c r="AC27" s="82" t="n">
        <x:v>0</x:v>
      </x:c>
      <x:c r="AD27" s="82" t="n">
        <x:v>0</x:v>
      </x:c>
      <x:c r="AE27" s="82" t="n">
        <x:v>0</x:v>
      </x:c>
      <x:c r="AF27" s="82" t="n">
        <x:v>0</x:v>
      </x:c>
      <x:c r="AG27" s="91" t="str">
        <x:v>要出走確認</x:v>
      </x:c>
      <x:c r="AH27" s="91" t="str">
        <x:v>1960〜2026完走順位との一致なし。未出走または表記差を要確認</x:v>
      </x:c>
      <x:c r="AI27" s="91" t="str">
        <x:v>https://bikeraceinfo.com/classics/paris-roubaix/paris-roubaix-index.html</x:v>
      </x:c>
      <x:c r="AJ27" s="91" t="str">
        <x:v>能力・適性・Credit整合済</x:v>
      </x:c>
      <x:c r="AK2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" s="91" t="str">
        <x:v>https://en.wikipedia.org/wiki/Special:Search?search=Tom%20Pidcock%20cyclist</x:v>
      </x:c>
    </x:row>
    <x:row r="28" ht="24" customHeight="1">
      <x:c r="A28" s="82" t="n">
        <x:v>24</x:v>
      </x:c>
      <x:c r="B28" s="82" t="str">
        <x:v>Jasper Stuyven</x:v>
      </x:c>
      <x:c r="C28" s="143" t="str"/>
      <x:c r="D28" s="82" t="str">
        <x:v>ベルギー</x:v>
      </x:c>
      <x:c r="E28" s="82" t="str">
        <x:v>現役</x:v>
      </x:c>
      <x:c r="F28" s="82" t="str">
        <x:v>クラシック型</x:v>
      </x:c>
      <x:c r="G28" s="82" t="str">
        <x:v>スプリンター</x:v>
      </x:c>
      <x:c r="H28" s="85" t="n">
        <x:v>85</x:v>
      </x:c>
      <x:c r="I28" s="85" t="n">
        <x:v>77</x:v>
      </x:c>
      <x:c r="J28" s="91" t="str">
        <x:v>エース / スプリントトレイン / 石畳護衛 / 横風要員</x:v>
      </x:c>
      <x:c r="K28" s="91" t="str"/>
      <x:c r="L28" s="91" t="str">
        <x:v>石畳 / 長距離耐久 / 逃げ屋</x:v>
      </x:c>
      <x:c r="M28" s="88" t="n">
        <x:v>8850</x:v>
      </x:c>
      <x:c r="N28" s="85" t="n">
        <x:v>77</x:v>
      </x:c>
      <x:c r="O28" s="85" t="n">
        <x:v>74</x:v>
      </x:c>
      <x:c r="P28" s="85" t="n">
        <x:v>75</x:v>
      </x:c>
      <x:c r="Q28" s="85" t="n">
        <x:v>76</x:v>
      </x:c>
      <x:c r="R28" s="85" t="n">
        <x:v>64</x:v>
      </x:c>
      <x:c r="S28" s="85" t="n">
        <x:v>72</x:v>
      </x:c>
      <x:c r="T28" s="85" t="n">
        <x:v>75</x:v>
      </x:c>
      <x:c r="U28" s="85" t="n">
        <x:v>80</x:v>
      </x:c>
      <x:c r="V28" s="85" t="n">
        <x:v>80</x:v>
      </x:c>
      <x:c r="W28" s="85" t="n">
        <x:v>82</x:v>
      </x:c>
      <x:c r="X28" s="85" t="n">
        <x:v>71</x:v>
      </x:c>
      <x:c r="Y28" s="85" t="n">
        <x:v>71</x:v>
      </x:c>
      <x:c r="Z28" s="85" t="n">
        <x:v>76</x:v>
      </x:c>
      <x:c r="AA28" s="85" t="n">
        <x:v>72</x:v>
      </x:c>
      <x:c r="AB28" s="85" t="n">
        <x:v>79</x:v>
      </x:c>
      <x:c r="AC28" s="82" t="n">
        <x:v>3</x:v>
      </x:c>
      <x:c r="AD28" s="82" t="n">
        <x:v>5</x:v>
      </x:c>
      <x:c r="AE28" s="82" t="n">
        <x:v>2</x:v>
      </x:c>
      <x:c r="AF28" s="82" t="n">
        <x:v>0</x:v>
      </x:c>
      <x:c r="AG28" s="91" t="str">
        <x:v>結果照合済</x:v>
      </x:c>
      <x:c r="AH28" s="91" t="str">
        <x:v>最高3位 / 完走5回 / Top10 2回 / 優勝0回</x:v>
      </x:c>
      <x:c r="AI28" s="91" t="str">
        <x:v>https://bikeraceinfo.com/classics/paris-roubaix/pr2026.html</x:v>
      </x:c>
      <x:c r="AJ28" s="91" t="str">
        <x:v>能力・適性・Credit整合済</x:v>
      </x:c>
      <x:c r="AK28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" s="91" t="str">
        <x:v>https://en.wikipedia.org/wiki/Special:Search?search=Jasper%20Stuyven%20cyclist</x:v>
      </x:c>
    </x:row>
    <x:row r="29" ht="24" customHeight="1">
      <x:c r="A29" s="82" t="n">
        <x:v>25</x:v>
      </x:c>
      <x:c r="B29" s="82" t="str">
        <x:v>Warren Barguil</x:v>
      </x:c>
      <x:c r="C29" s="143" t="str"/>
      <x:c r="D29" s="82" t="str">
        <x:v>フランス</x:v>
      </x:c>
      <x:c r="E29" s="82" t="str">
        <x:v>現役</x:v>
      </x:c>
      <x:c r="F29" s="82" t="str">
        <x:v>クライマー</x:v>
      </x:c>
      <x:c r="G29" s="82" t="str">
        <x:v>パンチャー</x:v>
      </x:c>
      <x:c r="H29" s="85" t="n">
        <x:v>85</x:v>
      </x:c>
      <x:c r="I29" s="85" t="n">
        <x:v>73</x:v>
      </x:c>
      <x:c r="J29" s="91" t="str">
        <x:v>エース / 山岳アシスト / 山岳番手</x:v>
      </x:c>
      <x:c r="K29" s="91" t="str"/>
      <x:c r="L29" s="91" t="str">
        <x:v>登坂力 / 山岳賞 / 逃げ屋</x:v>
      </x:c>
      <x:c r="M29" s="88" t="n">
        <x:v>7650</x:v>
      </x:c>
      <x:c r="N29" s="85" t="n">
        <x:v>60</x:v>
      </x:c>
      <x:c r="O29" s="85" t="n">
        <x:v>71</x:v>
      </x:c>
      <x:c r="P29" s="85" t="n">
        <x:v>72</x:v>
      </x:c>
      <x:c r="Q29" s="85" t="n">
        <x:v>68</x:v>
      </x:c>
      <x:c r="R29" s="85" t="n">
        <x:v>80</x:v>
      </x:c>
      <x:c r="S29" s="85" t="n">
        <x:v>73</x:v>
      </x:c>
      <x:c r="T29" s="85" t="n">
        <x:v>72</x:v>
      </x:c>
      <x:c r="U29" s="85" t="n">
        <x:v>68</x:v>
      </x:c>
      <x:c r="V29" s="85" t="n">
        <x:v>69</x:v>
      </x:c>
      <x:c r="W29" s="85" t="n">
        <x:v>50</x:v>
      </x:c>
      <x:c r="X29" s="85" t="n">
        <x:v>77</x:v>
      </x:c>
      <x:c r="Y29" s="85" t="n">
        <x:v>77</x:v>
      </x:c>
      <x:c r="Z29" s="85" t="n">
        <x:v>72</x:v>
      </x:c>
      <x:c r="AA29" s="85" t="n">
        <x:v>71</x:v>
      </x:c>
      <x:c r="AB29" s="85" t="n">
        <x:v>76</x:v>
      </x:c>
      <x:c r="AC29" s="82" t="n">
        <x:v>0</x:v>
      </x:c>
      <x:c r="AD29" s="82" t="n">
        <x:v>0</x:v>
      </x:c>
      <x:c r="AE29" s="82" t="n">
        <x:v>0</x:v>
      </x:c>
      <x:c r="AF29" s="82" t="n">
        <x:v>0</x:v>
      </x:c>
      <x:c r="AG29" s="91" t="str">
        <x:v>要出走確認</x:v>
      </x:c>
      <x:c r="AH29" s="91" t="str">
        <x:v>1960〜2026完走順位との一致なし。未出走または表記差を要確認</x:v>
      </x:c>
      <x:c r="AI29" s="91" t="str">
        <x:v>https://bikeraceinfo.com/classics/paris-roubaix/paris-roubaix-index.html</x:v>
      </x:c>
      <x:c r="AJ29" s="91" t="str">
        <x:v>能力・適性・Credit整合済</x:v>
      </x:c>
      <x:c r="AK2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" s="91" t="str">
        <x:v>https://en.wikipedia.org/wiki/Special:Search?search=Warren%20Barguil%20cyclist</x:v>
      </x:c>
    </x:row>
    <x:row r="30" ht="24" customHeight="1">
      <x:c r="A30" s="82" t="n">
        <x:v>26</x:v>
      </x:c>
      <x:c r="B30" s="82" t="str">
        <x:v>Maxim Van Gils</x:v>
      </x:c>
      <x:c r="C30" s="143" t="str"/>
      <x:c r="D30" s="82" t="str">
        <x:v>ベルギー</x:v>
      </x:c>
      <x:c r="E30" s="82" t="str">
        <x:v>現役</x:v>
      </x:c>
      <x:c r="F30" s="82" t="str">
        <x:v>パンチャー</x:v>
      </x:c>
      <x:c r="G30" s="82" t="str">
        <x:v>クライマー</x:v>
      </x:c>
      <x:c r="H30" s="85" t="n">
        <x:v>85</x:v>
      </x:c>
      <x:c r="I30" s="85" t="n">
        <x:v>71</x:v>
      </x:c>
      <x:c r="J30" s="91" t="str">
        <x:v>エース / ステージハンター / 山岳賞ハンター</x:v>
      </x:c>
      <x:c r="K30" s="91" t="str"/>
      <x:c r="L30" s="91" t="str">
        <x:v>パンチ力 / 登坂力 / 急坂</x:v>
      </x:c>
      <x:c r="M30" s="88" t="n">
        <x:v>7400</x:v>
      </x:c>
      <x:c r="N30" s="85" t="n">
        <x:v>69</x:v>
      </x:c>
      <x:c r="O30" s="85" t="n">
        <x:v>79</x:v>
      </x:c>
      <x:c r="P30" s="85" t="n">
        <x:v>83</x:v>
      </x:c>
      <x:c r="Q30" s="85" t="n">
        <x:v>69</x:v>
      </x:c>
      <x:c r="R30" s="85" t="n">
        <x:v>73</x:v>
      </x:c>
      <x:c r="S30" s="85" t="n">
        <x:v>67</x:v>
      </x:c>
      <x:c r="T30" s="85" t="n">
        <x:v>67</x:v>
      </x:c>
      <x:c r="U30" s="85" t="n">
        <x:v>74</x:v>
      </x:c>
      <x:c r="V30" s="85" t="n">
        <x:v>76</x:v>
      </x:c>
      <x:c r="W30" s="85" t="n">
        <x:v>50</x:v>
      </x:c>
      <x:c r="X30" s="85" t="n">
        <x:v>72</x:v>
      </x:c>
      <x:c r="Y30" s="85" t="n">
        <x:v>72</x:v>
      </x:c>
      <x:c r="Z30" s="85" t="n">
        <x:v>64</x:v>
      </x:c>
      <x:c r="AA30" s="85" t="n">
        <x:v>78</x:v>
      </x:c>
      <x:c r="AB30" s="85" t="n">
        <x:v>76</x:v>
      </x:c>
      <x:c r="AC30" s="82" t="n">
        <x:v>0</x:v>
      </x:c>
      <x:c r="AD30" s="82" t="n">
        <x:v>0</x:v>
      </x:c>
      <x:c r="AE30" s="82" t="n">
        <x:v>0</x:v>
      </x:c>
      <x:c r="AF30" s="82" t="n">
        <x:v>0</x:v>
      </x:c>
      <x:c r="AG30" s="91" t="str">
        <x:v>要出走確認</x:v>
      </x:c>
      <x:c r="AH30" s="91" t="str">
        <x:v>1960〜2026完走順位との一致なし。未出走または表記差を要確認</x:v>
      </x:c>
      <x:c r="AI30" s="91" t="str">
        <x:v>https://bikeraceinfo.com/classics/paris-roubaix/paris-roubaix-index.html</x:v>
      </x:c>
      <x:c r="AJ30" s="91" t="str">
        <x:v>能力・適性・Credit整合済</x:v>
      </x:c>
      <x:c r="AK3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0" s="91" t="str">
        <x:v>https://en.wikipedia.org/wiki/Special:Search?search=Maxim%20Van%20Gils%20cyclist</x:v>
      </x:c>
    </x:row>
    <x:row r="31" ht="24" customHeight="1">
      <x:c r="A31" s="82" t="n">
        <x:v>27</x:v>
      </x:c>
      <x:c r="B31" s="82" t="str">
        <x:v>Pascal Ackermann</x:v>
      </x:c>
      <x:c r="C31" s="143" t="str"/>
      <x:c r="D31" s="82" t="str">
        <x:v>ドイツ</x:v>
      </x:c>
      <x:c r="E31" s="82" t="str">
        <x:v>現役</x:v>
      </x:c>
      <x:c r="F31" s="82" t="str">
        <x:v>スプリンター</x:v>
      </x:c>
      <x:c r="G31" s="82" t="str">
        <x:v>TT・ルーラー型</x:v>
      </x:c>
      <x:c r="H31" s="85" t="n">
        <x:v>85</x:v>
      </x:c>
      <x:c r="I31" s="85" t="n">
        <x:v>70</x:v>
      </x:c>
      <x:c r="J31" s="91" t="str">
        <x:v>エース / リードアウト / 最終発射台</x:v>
      </x:c>
      <x:c r="K31" s="91" t="str"/>
      <x:c r="L31" s="91" t="str">
        <x:v>最高速 / 反復スプリント / 巡航力</x:v>
      </x:c>
      <x:c r="M31" s="88" t="n">
        <x:v>7050</x:v>
      </x:c>
      <x:c r="N31" s="85" t="n">
        <x:v>82</x:v>
      </x:c>
      <x:c r="O31" s="85" t="n">
        <x:v>81</x:v>
      </x:c>
      <x:c r="P31" s="85" t="n">
        <x:v>68</x:v>
      </x:c>
      <x:c r="Q31" s="85" t="n">
        <x:v>74</x:v>
      </x:c>
      <x:c r="R31" s="85" t="n">
        <x:v>59</x:v>
      </x:c>
      <x:c r="S31" s="85" t="n">
        <x:v>66</x:v>
      </x:c>
      <x:c r="T31" s="85" t="n">
        <x:v>66</x:v>
      </x:c>
      <x:c r="U31" s="85" t="n">
        <x:v>69</x:v>
      </x:c>
      <x:c r="V31" s="85" t="n">
        <x:v>72</x:v>
      </x:c>
      <x:c r="W31" s="85" t="n">
        <x:v>50</x:v>
      </x:c>
      <x:c r="X31" s="85" t="n">
        <x:v>69</x:v>
      </x:c>
      <x:c r="Y31" s="85" t="n">
        <x:v>69</x:v>
      </x:c>
      <x:c r="Z31" s="85" t="n">
        <x:v>67</x:v>
      </x:c>
      <x:c r="AA31" s="85" t="n">
        <x:v>80</x:v>
      </x:c>
      <x:c r="AB31" s="85" t="n">
        <x:v>66</x:v>
      </x:c>
      <x:c r="AC31" s="82" t="n">
        <x:v>0</x:v>
      </x:c>
      <x:c r="AD31" s="82" t="n">
        <x:v>0</x:v>
      </x:c>
      <x:c r="AE31" s="82" t="n">
        <x:v>0</x:v>
      </x:c>
      <x:c r="AF31" s="82" t="n">
        <x:v>0</x:v>
      </x:c>
      <x:c r="AG31" s="91" t="str">
        <x:v>要出走確認</x:v>
      </x:c>
      <x:c r="AH31" s="91" t="str">
        <x:v>1960〜2026完走順位との一致なし。未出走または表記差を要確認</x:v>
      </x:c>
      <x:c r="AI31" s="91" t="str">
        <x:v>https://bikeraceinfo.com/classics/paris-roubaix/paris-roubaix-index.html</x:v>
      </x:c>
      <x:c r="AJ31" s="91" t="str">
        <x:v>能力・適性・Credit整合済</x:v>
      </x:c>
      <x:c r="AK3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1" s="91" t="str">
        <x:v>https://en.wikipedia.org/wiki/Special:Search?search=Pascal%20Ackermann%20cyclist</x:v>
      </x:c>
    </x:row>
    <x:row r="32" ht="24" customHeight="1">
      <x:c r="A32" s="82" t="n">
        <x:v>28</x:v>
      </x:c>
      <x:c r="B32" s="82" t="str">
        <x:v>Giulio Ciccone</x:v>
      </x:c>
      <x:c r="C32" s="143" t="str"/>
      <x:c r="D32" s="82" t="str">
        <x:v>イタリア</x:v>
      </x:c>
      <x:c r="E32" s="82" t="str">
        <x:v>現役</x:v>
      </x:c>
      <x:c r="F32" s="82" t="str">
        <x:v>クライマー</x:v>
      </x:c>
      <x:c r="G32" s="82" t="str">
        <x:v>パンチャー</x:v>
      </x:c>
      <x:c r="H32" s="85" t="n">
        <x:v>84</x:v>
      </x:c>
      <x:c r="I32" s="85" t="n">
        <x:v>75</x:v>
      </x:c>
      <x:c r="J32" s="91" t="str">
        <x:v>エース / 山岳アシスト / 山岳ペースメーカー</x:v>
      </x:c>
      <x:c r="K32" s="91" t="str"/>
      <x:c r="L32" s="91" t="str">
        <x:v>登坂力 / 山岳賞 / ステージハンター</x:v>
      </x:c>
      <x:c r="M32" s="88" t="n">
        <x:v>8200</x:v>
      </x:c>
      <x:c r="N32" s="85" t="n">
        <x:v>60</x:v>
      </x:c>
      <x:c r="O32" s="85" t="n">
        <x:v>72</x:v>
      </x:c>
      <x:c r="P32" s="85" t="n">
        <x:v>73</x:v>
      </x:c>
      <x:c r="Q32" s="85" t="n">
        <x:v>68</x:v>
      </x:c>
      <x:c r="R32" s="85" t="n">
        <x:v>82</x:v>
      </x:c>
      <x:c r="S32" s="85" t="n">
        <x:v>75</x:v>
      </x:c>
      <x:c r="T32" s="85" t="n">
        <x:v>74</x:v>
      </x:c>
      <x:c r="U32" s="85" t="n">
        <x:v>68</x:v>
      </x:c>
      <x:c r="V32" s="85" t="n">
        <x:v>69</x:v>
      </x:c>
      <x:c r="W32" s="85" t="n">
        <x:v>50</x:v>
      </x:c>
      <x:c r="X32" s="85" t="n">
        <x:v>78</x:v>
      </x:c>
      <x:c r="Y32" s="85" t="n">
        <x:v>78</x:v>
      </x:c>
      <x:c r="Z32" s="85" t="n">
        <x:v>73</x:v>
      </x:c>
      <x:c r="AA32" s="85" t="n">
        <x:v>71</x:v>
      </x:c>
      <x:c r="AB32" s="85" t="n">
        <x:v>77</x:v>
      </x:c>
      <x:c r="AC32" s="82" t="n">
        <x:v>0</x:v>
      </x:c>
      <x:c r="AD32" s="82" t="n">
        <x:v>0</x:v>
      </x:c>
      <x:c r="AE32" s="82" t="n">
        <x:v>0</x:v>
      </x:c>
      <x:c r="AF32" s="82" t="n">
        <x:v>0</x:v>
      </x:c>
      <x:c r="AG32" s="91" t="str">
        <x:v>要出走確認</x:v>
      </x:c>
      <x:c r="AH32" s="91" t="str">
        <x:v>1960〜2026完走順位との一致なし。未出走または表記差を要確認</x:v>
      </x:c>
      <x:c r="AI32" s="91" t="str">
        <x:v>https://bikeraceinfo.com/classics/paris-roubaix/paris-roubaix-index.html</x:v>
      </x:c>
      <x:c r="AJ32" s="91" t="str">
        <x:v>能力・適性・Credit整合済</x:v>
      </x:c>
      <x:c r="AK32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2" s="91" t="str">
        <x:v>https://en.wikipedia.org/wiki/Special:Search?search=Giulio%20Ciccone%20cyclist</x:v>
      </x:c>
    </x:row>
    <x:row r="33" ht="24" customHeight="1">
      <x:c r="A33" s="82" t="n">
        <x:v>29</x:v>
      </x:c>
      <x:c r="B33" s="82" t="str">
        <x:v>Jai Hindley</x:v>
      </x:c>
      <x:c r="C33" s="143" t="str"/>
      <x:c r="D33" s="82" t="str">
        <x:v>オーストラリア</x:v>
      </x:c>
      <x:c r="E33" s="82" t="str">
        <x:v>現役</x:v>
      </x:c>
      <x:c r="F33" s="82" t="str">
        <x:v>総合型</x:v>
      </x:c>
      <x:c r="G33" s="82" t="str">
        <x:v>クライマー</x:v>
      </x:c>
      <x:c r="H33" s="85" t="n">
        <x:v>84</x:v>
      </x:c>
      <x:c r="I33" s="85" t="n">
        <x:v>75</x:v>
      </x:c>
      <x:c r="J33" s="91" t="str">
        <x:v>エース / 山岳賞ハンター / 山岳アシスト / 山岳番手</x:v>
      </x:c>
      <x:c r="K33" s="91" t="str"/>
      <x:c r="L33" s="91" t="str">
        <x:v>登坂力 / 日別回復 / 総合安定</x:v>
      </x:c>
      <x:c r="M33" s="88" t="n">
        <x:v>7750</x:v>
      </x:c>
      <x:c r="N33" s="85" t="n">
        <x:v>58</x:v>
      </x:c>
      <x:c r="O33" s="85" t="n">
        <x:v>70</x:v>
      </x:c>
      <x:c r="P33" s="85" t="n">
        <x:v>73</x:v>
      </x:c>
      <x:c r="Q33" s="85" t="n">
        <x:v>71</x:v>
      </x:c>
      <x:c r="R33" s="85" t="n">
        <x:v>79</x:v>
      </x:c>
      <x:c r="S33" s="85" t="n">
        <x:v>76</x:v>
      </x:c>
      <x:c r="T33" s="85" t="n">
        <x:v>75</x:v>
      </x:c>
      <x:c r="U33" s="85" t="n">
        <x:v>69</x:v>
      </x:c>
      <x:c r="V33" s="85" t="n">
        <x:v>69</x:v>
      </x:c>
      <x:c r="W33" s="85" t="n">
        <x:v>50</x:v>
      </x:c>
      <x:c r="X33" s="85" t="n">
        <x:v>83</x:v>
      </x:c>
      <x:c r="Y33" s="85" t="n">
        <x:v>81</x:v>
      </x:c>
      <x:c r="Z33" s="85" t="n">
        <x:v>70</x:v>
      </x:c>
      <x:c r="AA33" s="85" t="n">
        <x:v>76</x:v>
      </x:c>
      <x:c r="AB33" s="85" t="n">
        <x:v>69</x:v>
      </x:c>
      <x:c r="AC33" s="82" t="n">
        <x:v>0</x:v>
      </x:c>
      <x:c r="AD33" s="82" t="n">
        <x:v>0</x:v>
      </x:c>
      <x:c r="AE33" s="82" t="n">
        <x:v>0</x:v>
      </x:c>
      <x:c r="AF33" s="82" t="n">
        <x:v>0</x:v>
      </x:c>
      <x:c r="AG33" s="91" t="str">
        <x:v>要出走確認</x:v>
      </x:c>
      <x:c r="AH33" s="91" t="str">
        <x:v>1960〜2026完走順位との一致なし。未出走または表記差を要確認</x:v>
      </x:c>
      <x:c r="AI33" s="91" t="str">
        <x:v>https://bikeraceinfo.com/classics/paris-roubaix/paris-roubaix-index.html</x:v>
      </x:c>
      <x:c r="AJ33" s="91" t="str">
        <x:v>能力・適性・Credit整合済</x:v>
      </x:c>
      <x:c r="AK3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3" s="91" t="str">
        <x:v>https://en.wikipedia.org/wiki/Special:Search?search=Jai%20Hindley%20cyclist</x:v>
      </x:c>
    </x:row>
    <x:row r="34" ht="24" customHeight="1">
      <x:c r="A34" s="82" t="n">
        <x:v>30</x:v>
      </x:c>
      <x:c r="B34" s="82" t="str">
        <x:v>Matej Mohoric</x:v>
      </x:c>
      <x:c r="C34" s="143" t="str"/>
      <x:c r="D34" s="82" t="str">
        <x:v>スロベニア</x:v>
      </x:c>
      <x:c r="E34" s="82" t="str">
        <x:v>現役</x:v>
      </x:c>
      <x:c r="F34" s="82" t="str">
        <x:v>クラシック型</x:v>
      </x:c>
      <x:c r="G34" s="82" t="str">
        <x:v>パンチャー</x:v>
      </x:c>
      <x:c r="H34" s="85" t="n">
        <x:v>84</x:v>
      </x:c>
      <x:c r="I34" s="85" t="n">
        <x:v>78</x:v>
      </x:c>
      <x:c r="J34" s="91" t="str">
        <x:v>エース / 石畳護衛 / 下り牽引 / 超ロングスパート / ブリッジャー</x:v>
      </x:c>
      <x:c r="K34" s="91" t="str"/>
      <x:c r="L34" s="91" t="str">
        <x:v>バイクコントロール / 下り / 逃げ屋</x:v>
      </x:c>
      <x:c r="M34" s="88" t="n">
        <x:v>7650</x:v>
      </x:c>
      <x:c r="N34" s="85" t="n">
        <x:v>76</x:v>
      </x:c>
      <x:c r="O34" s="85" t="n">
        <x:v>74</x:v>
      </x:c>
      <x:c r="P34" s="85" t="n">
        <x:v>76</x:v>
      </x:c>
      <x:c r="Q34" s="85" t="n">
        <x:v>76</x:v>
      </x:c>
      <x:c r="R34" s="85" t="n">
        <x:v>68</x:v>
      </x:c>
      <x:c r="S34" s="85" t="n">
        <x:v>73</x:v>
      </x:c>
      <x:c r="T34" s="85" t="n">
        <x:v>78</x:v>
      </x:c>
      <x:c r="U34" s="85" t="n">
        <x:v>81</x:v>
      </x:c>
      <x:c r="V34" s="85" t="n">
        <x:v>82</x:v>
      </x:c>
      <x:c r="W34" s="85" t="n">
        <x:v>64</x:v>
      </x:c>
      <x:c r="X34" s="85" t="n">
        <x:v>71</x:v>
      </x:c>
      <x:c r="Y34" s="85" t="n">
        <x:v>71</x:v>
      </x:c>
      <x:c r="Z34" s="85" t="n">
        <x:v>76</x:v>
      </x:c>
      <x:c r="AA34" s="85" t="n">
        <x:v>71</x:v>
      </x:c>
      <x:c r="AB34" s="85" t="n">
        <x:v>80</x:v>
      </x:c>
      <x:c r="AC34" s="82" t="n">
        <x:v>70</x:v>
      </x:c>
      <x:c r="AD34" s="82" t="n">
        <x:v>1</x:v>
      </x:c>
      <x:c r="AE34" s="82" t="n">
        <x:v>0</x:v>
      </x:c>
      <x:c r="AF34" s="82" t="n">
        <x:v>0</x:v>
      </x:c>
      <x:c r="AG34" s="91" t="str">
        <x:v>結果照合済</x:v>
      </x:c>
      <x:c r="AH34" s="91" t="str">
        <x:v>最高70位 / 完走1回 / Top10 0回 / 優勝0回</x:v>
      </x:c>
      <x:c r="AI34" s="91" t="str">
        <x:v>https://bikeraceinfo.com/classics/paris-roubaix/pr2019.html</x:v>
      </x:c>
      <x:c r="AJ34" s="91" t="str">
        <x:v>能力・適性・Credit整合済</x:v>
      </x:c>
      <x:c r="AK34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4" s="91" t="str">
        <x:v>https://en.wikipedia.org/wiki/Special:Search?search=Matej%20Mohoric%20cyclist</x:v>
      </x:c>
    </x:row>
    <x:row r="35" ht="24" customHeight="1">
      <x:c r="A35" s="82" t="n">
        <x:v>31</x:v>
      </x:c>
      <x:c r="B35" s="82" t="str">
        <x:v>David Gaudu</x:v>
      </x:c>
      <x:c r="C35" s="143" t="str"/>
      <x:c r="D35" s="82" t="str">
        <x:v>フランス</x:v>
      </x:c>
      <x:c r="E35" s="82" t="str">
        <x:v>現役</x:v>
      </x:c>
      <x:c r="F35" s="82" t="str">
        <x:v>クライマー</x:v>
      </x:c>
      <x:c r="G35" s="82" t="str">
        <x:v>総合型</x:v>
      </x:c>
      <x:c r="H35" s="85" t="n">
        <x:v>84</x:v>
      </x:c>
      <x:c r="I35" s="85" t="n">
        <x:v>74</x:v>
      </x:c>
      <x:c r="J35" s="91" t="str">
        <x:v>エース / 山岳賞ハンター / 山岳アシスト / 集団コントローラー</x:v>
      </x:c>
      <x:c r="K35" s="91" t="str"/>
      <x:c r="L35" s="91" t="str">
        <x:v>登坂力 / 総合安定 / 山岳耐久</x:v>
      </x:c>
      <x:c r="M35" s="88" t="n">
        <x:v>7650</x:v>
      </x:c>
      <x:c r="N35" s="85" t="n">
        <x:v>57</x:v>
      </x:c>
      <x:c r="O35" s="85" t="n">
        <x:v>70</x:v>
      </x:c>
      <x:c r="P35" s="85" t="n">
        <x:v>71</x:v>
      </x:c>
      <x:c r="Q35" s="85" t="n">
        <x:v>67</x:v>
      </x:c>
      <x:c r="R35" s="85" t="n">
        <x:v>79</x:v>
      </x:c>
      <x:c r="S35" s="85" t="n">
        <x:v>76</x:v>
      </x:c>
      <x:c r="T35" s="85" t="n">
        <x:v>75</x:v>
      </x:c>
      <x:c r="U35" s="85" t="n">
        <x:v>68</x:v>
      </x:c>
      <x:c r="V35" s="85" t="n">
        <x:v>68</x:v>
      </x:c>
      <x:c r="W35" s="85" t="n">
        <x:v>50</x:v>
      </x:c>
      <x:c r="X35" s="85" t="n">
        <x:v>78</x:v>
      </x:c>
      <x:c r="Y35" s="85" t="n">
        <x:v>78</x:v>
      </x:c>
      <x:c r="Z35" s="85" t="n">
        <x:v>72</x:v>
      </x:c>
      <x:c r="AA35" s="85" t="n">
        <x:v>71</x:v>
      </x:c>
      <x:c r="AB35" s="85" t="n">
        <x:v>74</x:v>
      </x:c>
      <x:c r="AC35" s="82" t="n">
        <x:v>0</x:v>
      </x:c>
      <x:c r="AD35" s="82" t="n">
        <x:v>0</x:v>
      </x:c>
      <x:c r="AE35" s="82" t="n">
        <x:v>0</x:v>
      </x:c>
      <x:c r="AF35" s="82" t="n">
        <x:v>0</x:v>
      </x:c>
      <x:c r="AG35" s="91" t="str">
        <x:v>要出走確認</x:v>
      </x:c>
      <x:c r="AH35" s="91" t="str">
        <x:v>1960〜2026完走順位との一致なし。未出走または表記差を要確認</x:v>
      </x:c>
      <x:c r="AI35" s="91" t="str">
        <x:v>https://bikeraceinfo.com/classics/paris-roubaix/paris-roubaix-index.html</x:v>
      </x:c>
      <x:c r="AJ35" s="91" t="str">
        <x:v>能力・適性・Credit整合済</x:v>
      </x:c>
      <x:c r="AK3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5" s="91" t="str">
        <x:v>https://en.wikipedia.org/wiki/Special:Search?search=David%20Gaudu%20cyclist</x:v>
      </x:c>
    </x:row>
    <x:row r="36" ht="24" customHeight="1">
      <x:c r="A36" s="82" t="n">
        <x:v>32</x:v>
      </x:c>
      <x:c r="B36" s="82" t="str">
        <x:v>Tiesj Benoot</x:v>
      </x:c>
      <x:c r="C36" s="143" t="str"/>
      <x:c r="D36" s="82" t="str">
        <x:v>ベルギー</x:v>
      </x:c>
      <x:c r="E36" s="82" t="str">
        <x:v>現役</x:v>
      </x:c>
      <x:c r="F36" s="82" t="str">
        <x:v>クラシック型</x:v>
      </x:c>
      <x:c r="G36" s="82" t="str">
        <x:v>パンチャー</x:v>
      </x:c>
      <x:c r="H36" s="85" t="n">
        <x:v>84</x:v>
      </x:c>
      <x:c r="I36" s="85" t="n">
        <x:v>78</x:v>
      </x:c>
      <x:c r="J36" s="91" t="str">
        <x:v>エース / 石畳護衛 / カウンターアタッカー</x:v>
      </x:c>
      <x:c r="K36" s="91" t="str"/>
      <x:c r="L36" s="91" t="str">
        <x:v>石畳 / パンチ力 / 逃げ屋</x:v>
      </x:c>
      <x:c r="M36" s="88" t="n">
        <x:v>7500</x:v>
      </x:c>
      <x:c r="N36" s="85" t="n">
        <x:v>75</x:v>
      </x:c>
      <x:c r="O36" s="85" t="n">
        <x:v>75</x:v>
      </x:c>
      <x:c r="P36" s="85" t="n">
        <x:v>76</x:v>
      </x:c>
      <x:c r="Q36" s="85" t="n">
        <x:v>76</x:v>
      </x:c>
      <x:c r="R36" s="85" t="n">
        <x:v>68</x:v>
      </x:c>
      <x:c r="S36" s="85" t="n">
        <x:v>72</x:v>
      </x:c>
      <x:c r="T36" s="85" t="n">
        <x:v>77</x:v>
      </x:c>
      <x:c r="U36" s="85" t="n">
        <x:v>79</x:v>
      </x:c>
      <x:c r="V36" s="85" t="n">
        <x:v>80</x:v>
      </x:c>
      <x:c r="W36" s="85" t="n">
        <x:v>64</x:v>
      </x:c>
      <x:c r="X36" s="85" t="n">
        <x:v>71</x:v>
      </x:c>
      <x:c r="Y36" s="85" t="n">
        <x:v>71</x:v>
      </x:c>
      <x:c r="Z36" s="85" t="n">
        <x:v>76</x:v>
      </x:c>
      <x:c r="AA36" s="85" t="n">
        <x:v>72</x:v>
      </x:c>
      <x:c r="AB36" s="85" t="n">
        <x:v>83</x:v>
      </x:c>
      <x:c r="AC36" s="82" t="n">
        <x:v>100</x:v>
      </x:c>
      <x:c r="AD36" s="82" t="n">
        <x:v>1</x:v>
      </x:c>
      <x:c r="AE36" s="82" t="n">
        <x:v>0</x:v>
      </x:c>
      <x:c r="AF36" s="82" t="n">
        <x:v>0</x:v>
      </x:c>
      <x:c r="AG36" s="91" t="str">
        <x:v>結果照合済</x:v>
      </x:c>
      <x:c r="AH36" s="91" t="str">
        <x:v>最高100位 / 完走1回 / Top10 0回 / 優勝0回</x:v>
      </x:c>
      <x:c r="AI36" s="91" t="str">
        <x:v>https://bikeraceinfo.com/classics/paris-roubaix/pr2015.html</x:v>
      </x:c>
      <x:c r="AJ36" s="91" t="str">
        <x:v>能力・適性・Credit整合済</x:v>
      </x:c>
      <x:c r="AK3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6" s="91" t="str">
        <x:v>https://en.wikipedia.org/wiki/Special:Search?search=Tiesj%20Benoot%20cyclist</x:v>
      </x:c>
    </x:row>
    <x:row r="37" ht="24" customHeight="1">
      <x:c r="A37" s="82" t="n">
        <x:v>33</x:v>
      </x:c>
      <x:c r="B37" s="82" t="str">
        <x:v>Valentin Madouas</x:v>
      </x:c>
      <x:c r="C37" s="143" t="str"/>
      <x:c r="D37" s="82" t="str">
        <x:v>フランス</x:v>
      </x:c>
      <x:c r="E37" s="82" t="str">
        <x:v>現役</x:v>
      </x:c>
      <x:c r="F37" s="82" t="str">
        <x:v>パンチャー</x:v>
      </x:c>
      <x:c r="G37" s="82" t="str">
        <x:v>クラシック型</x:v>
      </x:c>
      <x:c r="H37" s="85" t="n">
        <x:v>84</x:v>
      </x:c>
      <x:c r="I37" s="85" t="n">
        <x:v>72</x:v>
      </x:c>
      <x:c r="J37" s="91" t="str">
        <x:v>エース / ステージハンター / 下り牽引 / カウンターアタッカー</x:v>
      </x:c>
      <x:c r="K37" s="91" t="str"/>
      <x:c r="L37" s="91" t="str">
        <x:v>パンチ力 / 石畳 / 長距離耐久</x:v>
      </x:c>
      <x:c r="M37" s="88" t="n">
        <x:v>7250</x:v>
      </x:c>
      <x:c r="N37" s="85" t="n">
        <x:v>74</x:v>
      </x:c>
      <x:c r="O37" s="85" t="n">
        <x:v>79</x:v>
      </x:c>
      <x:c r="P37" s="85" t="n">
        <x:v>84</x:v>
      </x:c>
      <x:c r="Q37" s="85" t="n">
        <x:v>70</x:v>
      </x:c>
      <x:c r="R37" s="85" t="n">
        <x:v>72</x:v>
      </x:c>
      <x:c r="S37" s="85" t="n">
        <x:v>66</x:v>
      </x:c>
      <x:c r="T37" s="85" t="n">
        <x:v>66</x:v>
      </x:c>
      <x:c r="U37" s="85" t="n">
        <x:v>75</x:v>
      </x:c>
      <x:c r="V37" s="85" t="n">
        <x:v>77</x:v>
      </x:c>
      <x:c r="W37" s="85" t="n">
        <x:v>50</x:v>
      </x:c>
      <x:c r="X37" s="85" t="n">
        <x:v>71</x:v>
      </x:c>
      <x:c r="Y37" s="85" t="n">
        <x:v>71</x:v>
      </x:c>
      <x:c r="Z37" s="85" t="n">
        <x:v>67</x:v>
      </x:c>
      <x:c r="AA37" s="85" t="n">
        <x:v>77</x:v>
      </x:c>
      <x:c r="AB37" s="85" t="n">
        <x:v>76</x:v>
      </x:c>
      <x:c r="AC37" s="82" t="n">
        <x:v>0</x:v>
      </x:c>
      <x:c r="AD37" s="82" t="n">
        <x:v>0</x:v>
      </x:c>
      <x:c r="AE37" s="82" t="n">
        <x:v>0</x:v>
      </x:c>
      <x:c r="AF37" s="82" t="n">
        <x:v>0</x:v>
      </x:c>
      <x:c r="AG37" s="91" t="str">
        <x:v>要出走確認</x:v>
      </x:c>
      <x:c r="AH37" s="91" t="str">
        <x:v>1960〜2026完走順位との一致なし。未出走または表記差を要確認</x:v>
      </x:c>
      <x:c r="AI37" s="91" t="str">
        <x:v>https://bikeraceinfo.com/classics/paris-roubaix/paris-roubaix-index.html</x:v>
      </x:c>
      <x:c r="AJ37" s="91" t="str">
        <x:v>能力・適性・Credit整合済</x:v>
      </x:c>
      <x:c r="AK3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7" s="91" t="str">
        <x:v>https://en.wikipedia.org/wiki/Special:Search?search=Valentin%20Madouas%20cyclist</x:v>
      </x:c>
    </x:row>
    <x:row r="38" ht="24" customHeight="1">
      <x:c r="A38" s="82" t="n">
        <x:v>34</x:v>
      </x:c>
      <x:c r="B38" s="82" t="str">
        <x:v>Florian Lipowitz</x:v>
      </x:c>
      <x:c r="C38" s="143" t="str"/>
      <x:c r="D38" s="82" t="str">
        <x:v>ドイツ</x:v>
      </x:c>
      <x:c r="E38" s="82" t="str">
        <x:v>現役</x:v>
      </x:c>
      <x:c r="F38" s="82" t="str">
        <x:v>総合型</x:v>
      </x:c>
      <x:c r="G38" s="82" t="str">
        <x:v>クライマー</x:v>
      </x:c>
      <x:c r="H38" s="85" t="n">
        <x:v>84</x:v>
      </x:c>
      <x:c r="I38" s="85" t="n">
        <x:v>75</x:v>
      </x:c>
      <x:c r="J38" s="91" t="str">
        <x:v>エース / ロードキャプテン / 山岳アシスト</x:v>
      </x:c>
      <x:c r="K38" s="91" t="str"/>
      <x:c r="L38" s="91" t="str">
        <x:v>登坂力 / 日別回復 / 若手総合</x:v>
      </x:c>
      <x:c r="M38" s="88" t="n">
        <x:v>7250</x:v>
      </x:c>
      <x:c r="N38" s="85" t="n">
        <x:v>58</x:v>
      </x:c>
      <x:c r="O38" s="85" t="n">
        <x:v>69</x:v>
      </x:c>
      <x:c r="P38" s="85" t="n">
        <x:v>73</x:v>
      </x:c>
      <x:c r="Q38" s="85" t="n">
        <x:v>70</x:v>
      </x:c>
      <x:c r="R38" s="85" t="n">
        <x:v>77</x:v>
      </x:c>
      <x:c r="S38" s="85" t="n">
        <x:v>74</x:v>
      </x:c>
      <x:c r="T38" s="85" t="n">
        <x:v>73</x:v>
      </x:c>
      <x:c r="U38" s="85" t="n">
        <x:v>69</x:v>
      </x:c>
      <x:c r="V38" s="85" t="n">
        <x:v>69</x:v>
      </x:c>
      <x:c r="W38" s="85" t="n">
        <x:v>50</x:v>
      </x:c>
      <x:c r="X38" s="85" t="n">
        <x:v>81</x:v>
      </x:c>
      <x:c r="Y38" s="85" t="n">
        <x:v>81</x:v>
      </x:c>
      <x:c r="Z38" s="85" t="n">
        <x:v>70</x:v>
      </x:c>
      <x:c r="AA38" s="85" t="n">
        <x:v>75</x:v>
      </x:c>
      <x:c r="AB38" s="85" t="n">
        <x:v>67</x:v>
      </x:c>
      <x:c r="AC38" s="82" t="n">
        <x:v>0</x:v>
      </x:c>
      <x:c r="AD38" s="82" t="n">
        <x:v>0</x:v>
      </x:c>
      <x:c r="AE38" s="82" t="n">
        <x:v>0</x:v>
      </x:c>
      <x:c r="AF38" s="82" t="n">
        <x:v>0</x:v>
      </x:c>
      <x:c r="AG38" s="91" t="str">
        <x:v>要出走確認</x:v>
      </x:c>
      <x:c r="AH38" s="91" t="str">
        <x:v>1960〜2026完走順位との一致なし。未出走または表記差を要確認</x:v>
      </x:c>
      <x:c r="AI38" s="91" t="str">
        <x:v>https://bikeraceinfo.com/classics/paris-roubaix/paris-roubaix-index.html</x:v>
      </x:c>
      <x:c r="AJ38" s="91" t="str">
        <x:v>能力・適性・Credit整合済</x:v>
      </x:c>
      <x:c r="AK38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8" s="91" t="str">
        <x:v>https://en.wikipedia.org/wiki/Special:Search?search=Florian%20Lipowitz%20cyclist</x:v>
      </x:c>
    </x:row>
    <x:row r="39" ht="24" customHeight="1">
      <x:c r="A39" s="82" t="n">
        <x:v>35</x:v>
      </x:c>
      <x:c r="B39" s="82" t="str">
        <x:v>Pello Bilbao</x:v>
      </x:c>
      <x:c r="C39" s="143" t="str"/>
      <x:c r="D39" s="82" t="str">
        <x:v>スペイン</x:v>
      </x:c>
      <x:c r="E39" s="82" t="str">
        <x:v>現役</x:v>
      </x:c>
      <x:c r="F39" s="82" t="str">
        <x:v>パンチャー</x:v>
      </x:c>
      <x:c r="G39" s="82" t="str">
        <x:v>総合型</x:v>
      </x:c>
      <x:c r="H39" s="85" t="n">
        <x:v>84</x:v>
      </x:c>
      <x:c r="I39" s="85" t="n">
        <x:v>72</x:v>
      </x:c>
      <x:c r="J39" s="91" t="str">
        <x:v>エース / ステージハンター / 下り牽引 / 集団コントローラー / カウンターアタッカー</x:v>
      </x:c>
      <x:c r="K39" s="91" t="str"/>
      <x:c r="L39" s="91" t="str">
        <x:v>パンチ力 / 下り / ステージハンター</x:v>
      </x:c>
      <x:c r="M39" s="88" t="n">
        <x:v>7150</x:v>
      </x:c>
      <x:c r="N39" s="85" t="n">
        <x:v>70</x:v>
      </x:c>
      <x:c r="O39" s="85" t="n">
        <x:v>79</x:v>
      </x:c>
      <x:c r="P39" s="85" t="n">
        <x:v>81</x:v>
      </x:c>
      <x:c r="Q39" s="85" t="n">
        <x:v>70</x:v>
      </x:c>
      <x:c r="R39" s="85" t="n">
        <x:v>73</x:v>
      </x:c>
      <x:c r="S39" s="85" t="n">
        <x:v>66</x:v>
      </x:c>
      <x:c r="T39" s="85" t="n">
        <x:v>66</x:v>
      </x:c>
      <x:c r="U39" s="85" t="n">
        <x:v>75</x:v>
      </x:c>
      <x:c r="V39" s="85" t="n">
        <x:v>77</x:v>
      </x:c>
      <x:c r="W39" s="85" t="n">
        <x:v>50</x:v>
      </x:c>
      <x:c r="X39" s="85" t="n">
        <x:v>73</x:v>
      </x:c>
      <x:c r="Y39" s="85" t="n">
        <x:v>72</x:v>
      </x:c>
      <x:c r="Z39" s="85" t="n">
        <x:v>67</x:v>
      </x:c>
      <x:c r="AA39" s="85" t="n">
        <x:v>76</x:v>
      </x:c>
      <x:c r="AB39" s="85" t="n">
        <x:v>78</x:v>
      </x:c>
      <x:c r="AC39" s="82" t="n">
        <x:v>0</x:v>
      </x:c>
      <x:c r="AD39" s="82" t="n">
        <x:v>0</x:v>
      </x:c>
      <x:c r="AE39" s="82" t="n">
        <x:v>0</x:v>
      </x:c>
      <x:c r="AF39" s="82" t="n">
        <x:v>0</x:v>
      </x:c>
      <x:c r="AG39" s="91" t="str">
        <x:v>要出走確認</x:v>
      </x:c>
      <x:c r="AH39" s="91" t="str">
        <x:v>1960〜2026完走順位との一致なし。未出走または表記差を要確認</x:v>
      </x:c>
      <x:c r="AI39" s="91" t="str">
        <x:v>https://bikeraceinfo.com/classics/paris-roubaix/paris-roubaix-index.html</x:v>
      </x:c>
      <x:c r="AJ39" s="91" t="str">
        <x:v>能力・適性・Credit整合済</x:v>
      </x:c>
      <x:c r="AK3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9" s="91" t="str">
        <x:v>https://en.wikipedia.org/wiki/Special:Search?search=Pello%20Bilbao%20cyclist</x:v>
      </x:c>
    </x:row>
    <x:row r="40" ht="24" customHeight="1">
      <x:c r="A40" s="82" t="n">
        <x:v>36</x:v>
      </x:c>
      <x:c r="B40" s="82" t="str">
        <x:v>Romain Gregoire</x:v>
      </x:c>
      <x:c r="C40" s="143" t="str"/>
      <x:c r="D40" s="82" t="str">
        <x:v>フランス</x:v>
      </x:c>
      <x:c r="E40" s="82" t="str">
        <x:v>現役</x:v>
      </x:c>
      <x:c r="F40" s="82" t="str">
        <x:v>パンチャー</x:v>
      </x:c>
      <x:c r="G40" s="82" t="str">
        <x:v>スプリンター</x:v>
      </x:c>
      <x:c r="H40" s="85" t="n">
        <x:v>84</x:v>
      </x:c>
      <x:c r="I40" s="85" t="n">
        <x:v>71</x:v>
      </x:c>
      <x:c r="J40" s="91" t="str">
        <x:v>エース / ステージハンター / スプリントトレイン / 下り牽引</x:v>
      </x:c>
      <x:c r="K40" s="91" t="str"/>
      <x:c r="L40" s="91" t="str">
        <x:v>パンチ力 / 最高速 / 若手</x:v>
      </x:c>
      <x:c r="M40" s="88" t="n">
        <x:v>7100</x:v>
      </x:c>
      <x:c r="N40" s="85" t="n">
        <x:v>76</x:v>
      </x:c>
      <x:c r="O40" s="85" t="n">
        <x:v>83</x:v>
      </x:c>
      <x:c r="P40" s="85" t="n">
        <x:v>81</x:v>
      </x:c>
      <x:c r="Q40" s="85" t="n">
        <x:v>70</x:v>
      </x:c>
      <x:c r="R40" s="85" t="n">
        <x:v>72</x:v>
      </x:c>
      <x:c r="S40" s="85" t="n">
        <x:v>67</x:v>
      </x:c>
      <x:c r="T40" s="85" t="n">
        <x:v>66</x:v>
      </x:c>
      <x:c r="U40" s="85" t="n">
        <x:v>74</x:v>
      </x:c>
      <x:c r="V40" s="85" t="n">
        <x:v>76</x:v>
      </x:c>
      <x:c r="W40" s="85" t="n">
        <x:v>50</x:v>
      </x:c>
      <x:c r="X40" s="85" t="n">
        <x:v>70</x:v>
      </x:c>
      <x:c r="Y40" s="85" t="n">
        <x:v>70</x:v>
      </x:c>
      <x:c r="Z40" s="85" t="n">
        <x:v>65</x:v>
      </x:c>
      <x:c r="AA40" s="85" t="n">
        <x:v>79</x:v>
      </x:c>
      <x:c r="AB40" s="85" t="n">
        <x:v>74</x:v>
      </x:c>
      <x:c r="AC40" s="82" t="n">
        <x:v>0</x:v>
      </x:c>
      <x:c r="AD40" s="82" t="n">
        <x:v>0</x:v>
      </x:c>
      <x:c r="AE40" s="82" t="n">
        <x:v>0</x:v>
      </x:c>
      <x:c r="AF40" s="82" t="n">
        <x:v>0</x:v>
      </x:c>
      <x:c r="AG40" s="91" t="str">
        <x:v>要出走確認</x:v>
      </x:c>
      <x:c r="AH40" s="91" t="str">
        <x:v>1960〜2026完走順位との一致なし。未出走または表記差を要確認</x:v>
      </x:c>
      <x:c r="AI40" s="91" t="str">
        <x:v>https://bikeraceinfo.com/classics/paris-roubaix/paris-roubaix-index.html</x:v>
      </x:c>
      <x:c r="AJ40" s="91" t="str">
        <x:v>能力・適性・Credit整合済</x:v>
      </x:c>
      <x:c r="AK4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0" s="91" t="str">
        <x:v>https://en.wikipedia.org/wiki/Special:Search?search=Romain%20Gregoire%20cyclist</x:v>
      </x:c>
    </x:row>
    <x:row r="41" ht="24" customHeight="1">
      <x:c r="A41" s="82" t="n">
        <x:v>37</x:v>
      </x:c>
      <x:c r="B41" s="82" t="str">
        <x:v>Juan Sebastian Molano</x:v>
      </x:c>
      <x:c r="C41" s="143" t="str"/>
      <x:c r="D41" s="82" t="str">
        <x:v>コロンビア</x:v>
      </x:c>
      <x:c r="E41" s="82" t="str">
        <x:v>現役</x:v>
      </x:c>
      <x:c r="F41" s="82" t="str">
        <x:v>スプリンター</x:v>
      </x:c>
      <x:c r="G41" s="82" t="str">
        <x:v>TT・ルーラー型</x:v>
      </x:c>
      <x:c r="H41" s="85" t="n">
        <x:v>84</x:v>
      </x:c>
      <x:c r="I41" s="85" t="n">
        <x:v>71</x:v>
      </x:c>
      <x:c r="J41" s="91" t="str">
        <x:v>エース / リードアウト / 最終発射台 / 無賃乗車</x:v>
      </x:c>
      <x:c r="K41" s="91" t="str"/>
      <x:c r="L41" s="91" t="str">
        <x:v>最高速 / 巡航力 / 位置取り</x:v>
      </x:c>
      <x:c r="M41" s="88" t="n">
        <x:v>6850</x:v>
      </x:c>
      <x:c r="N41" s="85" t="n">
        <x:v>82</x:v>
      </x:c>
      <x:c r="O41" s="85" t="n">
        <x:v>81</x:v>
      </x:c>
      <x:c r="P41" s="85" t="n">
        <x:v>68</x:v>
      </x:c>
      <x:c r="Q41" s="85" t="n">
        <x:v>73</x:v>
      </x:c>
      <x:c r="R41" s="85" t="n">
        <x:v>59</x:v>
      </x:c>
      <x:c r="S41" s="85" t="n">
        <x:v>66</x:v>
      </x:c>
      <x:c r="T41" s="85" t="n">
        <x:v>66</x:v>
      </x:c>
      <x:c r="U41" s="85" t="n">
        <x:v>72</x:v>
      </x:c>
      <x:c r="V41" s="85" t="n">
        <x:v>72</x:v>
      </x:c>
      <x:c r="W41" s="85" t="n">
        <x:v>50</x:v>
      </x:c>
      <x:c r="X41" s="85" t="n">
        <x:v>69</x:v>
      </x:c>
      <x:c r="Y41" s="85" t="n">
        <x:v>69</x:v>
      </x:c>
      <x:c r="Z41" s="85" t="n">
        <x:v>67</x:v>
      </x:c>
      <x:c r="AA41" s="85" t="n">
        <x:v>78</x:v>
      </x:c>
      <x:c r="AB41" s="85" t="n">
        <x:v>66</x:v>
      </x:c>
      <x:c r="AC41" s="82" t="n">
        <x:v>0</x:v>
      </x:c>
      <x:c r="AD41" s="82" t="n">
        <x:v>0</x:v>
      </x:c>
      <x:c r="AE41" s="82" t="n">
        <x:v>0</x:v>
      </x:c>
      <x:c r="AF41" s="82" t="n">
        <x:v>0</x:v>
      </x:c>
      <x:c r="AG41" s="91" t="str">
        <x:v>要出走確認</x:v>
      </x:c>
      <x:c r="AH41" s="91" t="str">
        <x:v>1960〜2026完走順位との一致なし。未出走または表記差を要確認</x:v>
      </x:c>
      <x:c r="AI41" s="91" t="str">
        <x:v>https://bikeraceinfo.com/classics/paris-roubaix/paris-roubaix-index.html</x:v>
      </x:c>
      <x:c r="AJ41" s="91" t="str">
        <x:v>能力・適性・Credit整合済</x:v>
      </x:c>
      <x:c r="AK4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1" s="91" t="str">
        <x:v>https://en.wikipedia.org/wiki/Special:Search?search=Juan%20Sebastian%20Molano%20cyclist</x:v>
      </x:c>
    </x:row>
    <x:row r="42" ht="24" customHeight="1">
      <x:c r="A42" s="82" t="n">
        <x:v>38</x:v>
      </x:c>
      <x:c r="B42" s="82" t="str">
        <x:v>Jhonatan Narvaez</x:v>
      </x:c>
      <x:c r="C42" s="143" t="str"/>
      <x:c r="D42" s="82" t="str">
        <x:v>エクアドル</x:v>
      </x:c>
      <x:c r="E42" s="82" t="str">
        <x:v>現役</x:v>
      </x:c>
      <x:c r="F42" s="82" t="str">
        <x:v>パンチャー</x:v>
      </x:c>
      <x:c r="G42" s="82" t="str">
        <x:v>クラシック型</x:v>
      </x:c>
      <x:c r="H42" s="85" t="n">
        <x:v>83</x:v>
      </x:c>
      <x:c r="I42" s="85" t="n">
        <x:v>72</x:v>
      </x:c>
      <x:c r="J42" s="91" t="str">
        <x:v>エース / ステージハンター / 下り牽引 / カウンターアタッカー</x:v>
      </x:c>
      <x:c r="K42" s="91" t="str"/>
      <x:c r="L42" s="91" t="str">
        <x:v>パンチ力 / 最高速 / 逃げ屋</x:v>
      </x:c>
      <x:c r="M42" s="88" t="n">
        <x:v>7250</x:v>
      </x:c>
      <x:c r="N42" s="85" t="n">
        <x:v>75</x:v>
      </x:c>
      <x:c r="O42" s="85" t="n">
        <x:v>81</x:v>
      </x:c>
      <x:c r="P42" s="85" t="n">
        <x:v>85</x:v>
      </x:c>
      <x:c r="Q42" s="85" t="n">
        <x:v>70</x:v>
      </x:c>
      <x:c r="R42" s="85" t="n">
        <x:v>72</x:v>
      </x:c>
      <x:c r="S42" s="85" t="n">
        <x:v>66</x:v>
      </x:c>
      <x:c r="T42" s="85" t="n">
        <x:v>67</x:v>
      </x:c>
      <x:c r="U42" s="85" t="n">
        <x:v>75</x:v>
      </x:c>
      <x:c r="V42" s="85" t="n">
        <x:v>77</x:v>
      </x:c>
      <x:c r="W42" s="85" t="n">
        <x:v>50</x:v>
      </x:c>
      <x:c r="X42" s="85" t="n">
        <x:v>71</x:v>
      </x:c>
      <x:c r="Y42" s="85" t="n">
        <x:v>71</x:v>
      </x:c>
      <x:c r="Z42" s="85" t="n">
        <x:v>66</x:v>
      </x:c>
      <x:c r="AA42" s="85" t="n">
        <x:v>77</x:v>
      </x:c>
      <x:c r="AB42" s="85" t="n">
        <x:v>77</x:v>
      </x:c>
      <x:c r="AC42" s="82" t="n">
        <x:v>0</x:v>
      </x:c>
      <x:c r="AD42" s="82" t="n">
        <x:v>0</x:v>
      </x:c>
      <x:c r="AE42" s="82" t="n">
        <x:v>0</x:v>
      </x:c>
      <x:c r="AF42" s="82" t="n">
        <x:v>0</x:v>
      </x:c>
      <x:c r="AG42" s="91" t="str">
        <x:v>要出走確認</x:v>
      </x:c>
      <x:c r="AH42" s="91" t="str">
        <x:v>1960〜2026完走順位との一致なし。未出走または表記差を要確認</x:v>
      </x:c>
      <x:c r="AI42" s="91" t="str">
        <x:v>https://bikeraceinfo.com/classics/paris-roubaix/paris-roubaix-index.html</x:v>
      </x:c>
      <x:c r="AJ42" s="91" t="str">
        <x:v>能力・適性・Credit整合済</x:v>
      </x:c>
      <x:c r="AK42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2" s="91" t="str">
        <x:v>https://en.wikipedia.org/wiki/Special:Search?search=Jhonatan%20Narvaez%20cyclist</x:v>
      </x:c>
    </x:row>
    <x:row r="43" ht="24" customHeight="1">
      <x:c r="A43" s="82" t="n">
        <x:v>39</x:v>
      </x:c>
      <x:c r="B43" s="82" t="str">
        <x:v>Felix Gall</x:v>
      </x:c>
      <x:c r="C43" s="143" t="str"/>
      <x:c r="D43" s="82" t="str">
        <x:v>オーストリア</x:v>
      </x:c>
      <x:c r="E43" s="82" t="str">
        <x:v>現役</x:v>
      </x:c>
      <x:c r="F43" s="82" t="str">
        <x:v>クライマー</x:v>
      </x:c>
      <x:c r="G43" s="82" t="str">
        <x:v>総合型</x:v>
      </x:c>
      <x:c r="H43" s="85" t="n">
        <x:v>83</x:v>
      </x:c>
      <x:c r="I43" s="85" t="n">
        <x:v>74</x:v>
      </x:c>
      <x:c r="J43" s="91" t="str">
        <x:v>エース / 山岳アシスト / 山岳番手 / 集団コントローラー</x:v>
      </x:c>
      <x:c r="K43" s="91" t="str"/>
      <x:c r="L43" s="91" t="str">
        <x:v>登坂力 / 山岳耐久 / ステージハンター</x:v>
      </x:c>
      <x:c r="M43" s="88" t="n">
        <x:v>7150</x:v>
      </x:c>
      <x:c r="N43" s="85" t="n">
        <x:v>57</x:v>
      </x:c>
      <x:c r="O43" s="85" t="n">
        <x:v>70</x:v>
      </x:c>
      <x:c r="P43" s="85" t="n">
        <x:v>71</x:v>
      </x:c>
      <x:c r="Q43" s="85" t="n">
        <x:v>67</x:v>
      </x:c>
      <x:c r="R43" s="85" t="n">
        <x:v>79</x:v>
      </x:c>
      <x:c r="S43" s="85" t="n">
        <x:v>74</x:v>
      </x:c>
      <x:c r="T43" s="85" t="n">
        <x:v>72</x:v>
      </x:c>
      <x:c r="U43" s="85" t="n">
        <x:v>67</x:v>
      </x:c>
      <x:c r="V43" s="85" t="n">
        <x:v>68</x:v>
      </x:c>
      <x:c r="W43" s="85" t="n">
        <x:v>50</x:v>
      </x:c>
      <x:c r="X43" s="85" t="n">
        <x:v>78</x:v>
      </x:c>
      <x:c r="Y43" s="85" t="n">
        <x:v>78</x:v>
      </x:c>
      <x:c r="Z43" s="85" t="n">
        <x:v>72</x:v>
      </x:c>
      <x:c r="AA43" s="85" t="n">
        <x:v>70</x:v>
      </x:c>
      <x:c r="AB43" s="85" t="n">
        <x:v>73</x:v>
      </x:c>
      <x:c r="AC43" s="82" t="n">
        <x:v>0</x:v>
      </x:c>
      <x:c r="AD43" s="82" t="n">
        <x:v>0</x:v>
      </x:c>
      <x:c r="AE43" s="82" t="n">
        <x:v>0</x:v>
      </x:c>
      <x:c r="AF43" s="82" t="n">
        <x:v>0</x:v>
      </x:c>
      <x:c r="AG43" s="91" t="str">
        <x:v>要出走確認</x:v>
      </x:c>
      <x:c r="AH43" s="91" t="str">
        <x:v>1960〜2026完走順位との一致なし。未出走または表記差を要確認</x:v>
      </x:c>
      <x:c r="AI43" s="91" t="str">
        <x:v>https://bikeraceinfo.com/classics/paris-roubaix/paris-roubaix-index.html</x:v>
      </x:c>
      <x:c r="AJ43" s="91" t="str">
        <x:v>能力・適性・Credit整合済</x:v>
      </x:c>
      <x:c r="AK4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3" s="91" t="str">
        <x:v>https://en.wikipedia.org/wiki/Special:Search?search=Felix%20Gall%20cyclist</x:v>
      </x:c>
    </x:row>
    <x:row r="44" ht="24" customHeight="1">
      <x:c r="A44" s="82" t="n">
        <x:v>40</x:v>
      </x:c>
      <x:c r="B44" s="82" t="str">
        <x:v>Jordi Meeus</x:v>
      </x:c>
      <x:c r="C44" s="143" t="str"/>
      <x:c r="D44" s="82" t="str">
        <x:v>ベルギー</x:v>
      </x:c>
      <x:c r="E44" s="82" t="str">
        <x:v>現役</x:v>
      </x:c>
      <x:c r="F44" s="82" t="str">
        <x:v>スプリンター</x:v>
      </x:c>
      <x:c r="G44" s="82" t="str">
        <x:v>クラシック型</x:v>
      </x:c>
      <x:c r="H44" s="85" t="n">
        <x:v>83</x:v>
      </x:c>
      <x:c r="I44" s="85" t="n">
        <x:v>71</x:v>
      </x:c>
      <x:c r="J44" s="91" t="str">
        <x:v>エース / リードアウト / 最終発射台 / 無賃乗車</x:v>
      </x:c>
      <x:c r="K44" s="91" t="str"/>
      <x:c r="L44" s="91" t="str">
        <x:v>最高速 / 位置取り / 集団スプリント</x:v>
      </x:c>
      <x:c r="M44" s="88" t="n">
        <x:v>6800</x:v>
      </x:c>
      <x:c r="N44" s="85" t="n">
        <x:v>82</x:v>
      </x:c>
      <x:c r="O44" s="85" t="n">
        <x:v>82</x:v>
      </x:c>
      <x:c r="P44" s="85" t="n">
        <x:v>69</x:v>
      </x:c>
      <x:c r="Q44" s="85" t="n">
        <x:v>72</x:v>
      </x:c>
      <x:c r="R44" s="85" t="n">
        <x:v>58</x:v>
      </x:c>
      <x:c r="S44" s="85" t="n">
        <x:v>65</x:v>
      </x:c>
      <x:c r="T44" s="85" t="n">
        <x:v>65</x:v>
      </x:c>
      <x:c r="U44" s="85" t="n">
        <x:v>73</x:v>
      </x:c>
      <x:c r="V44" s="85" t="n">
        <x:v>72</x:v>
      </x:c>
      <x:c r="W44" s="85" t="n">
        <x:v>73</x:v>
      </x:c>
      <x:c r="X44" s="85" t="n">
        <x:v>69</x:v>
      </x:c>
      <x:c r="Y44" s="85" t="n">
        <x:v>69</x:v>
      </x:c>
      <x:c r="Z44" s="85" t="n">
        <x:v>66</x:v>
      </x:c>
      <x:c r="AA44" s="85" t="n">
        <x:v>79</x:v>
      </x:c>
      <x:c r="AB44" s="85" t="n">
        <x:v>66</x:v>
      </x:c>
      <x:c r="AC44" s="82" t="n">
        <x:v>17</x:v>
      </x:c>
      <x:c r="AD44" s="82" t="n">
        <x:v>1</x:v>
      </x:c>
      <x:c r="AE44" s="82" t="n">
        <x:v>0</x:v>
      </x:c>
      <x:c r="AF44" s="82" t="n">
        <x:v>0</x:v>
      </x:c>
      <x:c r="AG44" s="91" t="str">
        <x:v>結果照合済</x:v>
      </x:c>
      <x:c r="AH44" s="91" t="str">
        <x:v>最高17位 / 完走1回 / Top10 0回 / 優勝0回</x:v>
      </x:c>
      <x:c r="AI44" s="91" t="str">
        <x:v>https://bikeraceinfo.com/classics/paris-roubaix/pr2026.html</x:v>
      </x:c>
      <x:c r="AJ44" s="91" t="str">
        <x:v>能力・適性・Credit整合済</x:v>
      </x:c>
      <x:c r="AK44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4" s="91" t="str">
        <x:v>https://en.wikipedia.org/wiki/Special:Search?search=Jordi%20Meeus%20cyclist</x:v>
      </x:c>
    </x:row>
    <x:row r="45" ht="24" customHeight="1">
      <x:c r="A45" s="82" t="n">
        <x:v>41</x:v>
      </x:c>
      <x:c r="B45" s="82" t="str">
        <x:v>Tim Merlier</x:v>
      </x:c>
      <x:c r="C45" s="143" t="str"/>
      <x:c r="D45" s="82" t="str">
        <x:v>ベルギー</x:v>
      </x:c>
      <x:c r="E45" s="82" t="str">
        <x:v>現役</x:v>
      </x:c>
      <x:c r="F45" s="82" t="str">
        <x:v>スプリンター</x:v>
      </x:c>
      <x:c r="G45" s="82" t="str">
        <x:v>クラシック型</x:v>
      </x:c>
      <x:c r="H45" s="85" t="n">
        <x:v>83</x:v>
      </x:c>
      <x:c r="I45" s="85" t="n">
        <x:v>71</x:v>
      </x:c>
      <x:c r="J45" s="91" t="str">
        <x:v>エース / リードアウト / 最終発射台 / 無賃乗車</x:v>
      </x:c>
      <x:c r="K45" s="91" t="str"/>
      <x:c r="L45" s="91" t="str">
        <x:v>最高速 / 悪路耐性 / 位置取り</x:v>
      </x:c>
      <x:c r="M45" s="88" t="n">
        <x:v>6750</x:v>
      </x:c>
      <x:c r="N45" s="85" t="n">
        <x:v>82</x:v>
      </x:c>
      <x:c r="O45" s="85" t="n">
        <x:v>82</x:v>
      </x:c>
      <x:c r="P45" s="85" t="n">
        <x:v>69</x:v>
      </x:c>
      <x:c r="Q45" s="85" t="n">
        <x:v>72</x:v>
      </x:c>
      <x:c r="R45" s="85" t="n">
        <x:v>58</x:v>
      </x:c>
      <x:c r="S45" s="85" t="n">
        <x:v>65</x:v>
      </x:c>
      <x:c r="T45" s="85" t="n">
        <x:v>65</x:v>
      </x:c>
      <x:c r="U45" s="85" t="n">
        <x:v>71</x:v>
      </x:c>
      <x:c r="V45" s="85" t="n">
        <x:v>73</x:v>
      </x:c>
      <x:c r="W45" s="85" t="n">
        <x:v>69</x:v>
      </x:c>
      <x:c r="X45" s="85" t="n">
        <x:v>69</x:v>
      </x:c>
      <x:c r="Y45" s="85" t="n">
        <x:v>69</x:v>
      </x:c>
      <x:c r="Z45" s="85" t="n">
        <x:v>66</x:v>
      </x:c>
      <x:c r="AA45" s="85" t="n">
        <x:v>78</x:v>
      </x:c>
      <x:c r="AB45" s="85" t="n">
        <x:v>66</x:v>
      </x:c>
      <x:c r="AC45" s="82" t="n">
        <x:v>45</x:v>
      </x:c>
      <x:c r="AD45" s="82" t="n">
        <x:v>1</x:v>
      </x:c>
      <x:c r="AE45" s="82" t="n">
        <x:v>0</x:v>
      </x:c>
      <x:c r="AF45" s="82" t="n">
        <x:v>0</x:v>
      </x:c>
      <x:c r="AG45" s="91" t="str">
        <x:v>結果照合済</x:v>
      </x:c>
      <x:c r="AH45" s="91" t="str">
        <x:v>最高45位 / 完走1回 / Top10 0回 / 優勝0回</x:v>
      </x:c>
      <x:c r="AI45" s="91" t="str">
        <x:v>https://bikeraceinfo.com/classics/paris-roubaix/pr2026.html</x:v>
      </x:c>
      <x:c r="AJ45" s="91" t="str">
        <x:v>能力・適性・Credit整合済</x:v>
      </x:c>
      <x:c r="AK4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5" s="91" t="str">
        <x:v>https://en.wikipedia.org/wiki/Special:Search?search=Tim%20Merlier%20cyclist</x:v>
      </x:c>
    </x:row>
    <x:row r="46" ht="24" customHeight="1">
      <x:c r="A46" s="82" t="n">
        <x:v>42</x:v>
      </x:c>
      <x:c r="B46" s="82" t="str">
        <x:v>Antonio Tiberi</x:v>
      </x:c>
      <x:c r="C46" s="143" t="str"/>
      <x:c r="D46" s="82" t="str">
        <x:v>イタリア</x:v>
      </x:c>
      <x:c r="E46" s="82" t="str">
        <x:v>現役</x:v>
      </x:c>
      <x:c r="F46" s="82" t="str">
        <x:v>総合型</x:v>
      </x:c>
      <x:c r="G46" s="82" t="str">
        <x:v>TT・ルーラー型</x:v>
      </x:c>
      <x:c r="H46" s="85" t="n">
        <x:v>83</x:v>
      </x:c>
      <x:c r="I46" s="85" t="n">
        <x:v>75</x:v>
      </x:c>
      <x:c r="J46" s="91" t="str">
        <x:v>エース / ロードキャプテン / 山岳アシスト</x:v>
      </x:c>
      <x:c r="K46" s="91" t="str"/>
      <x:c r="L46" s="91" t="str">
        <x:v>TT適性 / 登坂力 / 若手総合</x:v>
      </x:c>
      <x:c r="M46" s="88" t="n">
        <x:v>6700</x:v>
      </x:c>
      <x:c r="N46" s="85" t="n">
        <x:v>61</x:v>
      </x:c>
      <x:c r="O46" s="85" t="n">
        <x:v>69</x:v>
      </x:c>
      <x:c r="P46" s="85" t="n">
        <x:v>71</x:v>
      </x:c>
      <x:c r="Q46" s="85" t="n">
        <x:v>72</x:v>
      </x:c>
      <x:c r="R46" s="85" t="n">
        <x:v>75</x:v>
      </x:c>
      <x:c r="S46" s="85" t="n">
        <x:v>73</x:v>
      </x:c>
      <x:c r="T46" s="85" t="n">
        <x:v>73</x:v>
      </x:c>
      <x:c r="U46" s="85" t="n">
        <x:v>69</x:v>
      </x:c>
      <x:c r="V46" s="85" t="n">
        <x:v>69</x:v>
      </x:c>
      <x:c r="W46" s="85" t="n">
        <x:v>50</x:v>
      </x:c>
      <x:c r="X46" s="85" t="n">
        <x:v>80</x:v>
      </x:c>
      <x:c r="Y46" s="85" t="n">
        <x:v>80</x:v>
      </x:c>
      <x:c r="Z46" s="85" t="n">
        <x:v>70</x:v>
      </x:c>
      <x:c r="AA46" s="85" t="n">
        <x:v>75</x:v>
      </x:c>
      <x:c r="AB46" s="85" t="n">
        <x:v>67</x:v>
      </x:c>
      <x:c r="AC46" s="82" t="n">
        <x:v>0</x:v>
      </x:c>
      <x:c r="AD46" s="82" t="n">
        <x:v>0</x:v>
      </x:c>
      <x:c r="AE46" s="82" t="n">
        <x:v>0</x:v>
      </x:c>
      <x:c r="AF46" s="82" t="n">
        <x:v>0</x:v>
      </x:c>
      <x:c r="AG46" s="91" t="str">
        <x:v>要出走確認</x:v>
      </x:c>
      <x:c r="AH46" s="91" t="str">
        <x:v>1960〜2026完走順位との一致なし。未出走または表記差を要確認</x:v>
      </x:c>
      <x:c r="AI46" s="91" t="str">
        <x:v>https://bikeraceinfo.com/classics/paris-roubaix/paris-roubaix-index.html</x:v>
      </x:c>
      <x:c r="AJ46" s="91" t="str">
        <x:v>能力・適性・Credit整合済</x:v>
      </x:c>
      <x:c r="AK4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6" s="91" t="str">
        <x:v>https://en.wikipedia.org/wiki/Special:Search?search=Antonio%20Tiberi%20cyclist</x:v>
      </x:c>
    </x:row>
    <x:row r="47" ht="24" customHeight="1">
      <x:c r="A47" s="82" t="n">
        <x:v>43</x:v>
      </x:c>
      <x:c r="B47" s="82" t="str">
        <x:v>Oscar Onley</x:v>
      </x:c>
      <x:c r="C47" s="143" t="str"/>
      <x:c r="D47" s="82" t="str">
        <x:v>イギリス</x:v>
      </x:c>
      <x:c r="E47" s="82" t="str">
        <x:v>現役</x:v>
      </x:c>
      <x:c r="F47" s="82" t="str">
        <x:v>パンチャー</x:v>
      </x:c>
      <x:c r="G47" s="82" t="str">
        <x:v>クライマー</x:v>
      </x:c>
      <x:c r="H47" s="85" t="n">
        <x:v>83</x:v>
      </x:c>
      <x:c r="I47" s="85" t="n">
        <x:v>72</x:v>
      </x:c>
      <x:c r="J47" s="91" t="str">
        <x:v>エース / ステージハンター / 山岳賞ハンター</x:v>
      </x:c>
      <x:c r="K47" s="91" t="str"/>
      <x:c r="L47" s="91" t="str">
        <x:v>パンチ力 / 登坂力 / 若手総合</x:v>
      </x:c>
      <x:c r="M47" s="88" t="n">
        <x:v>6600</x:v>
      </x:c>
      <x:c r="N47" s="85" t="n">
        <x:v>69</x:v>
      </x:c>
      <x:c r="O47" s="85" t="n">
        <x:v>78</x:v>
      </x:c>
      <x:c r="P47" s="85" t="n">
        <x:v>81</x:v>
      </x:c>
      <x:c r="Q47" s="85" t="n">
        <x:v>69</x:v>
      </x:c>
      <x:c r="R47" s="85" t="n">
        <x:v>73</x:v>
      </x:c>
      <x:c r="S47" s="85" t="n">
        <x:v>66</x:v>
      </x:c>
      <x:c r="T47" s="85" t="n">
        <x:v>66</x:v>
      </x:c>
      <x:c r="U47" s="85" t="n">
        <x:v>73</x:v>
      </x:c>
      <x:c r="V47" s="85" t="n">
        <x:v>75</x:v>
      </x:c>
      <x:c r="W47" s="85" t="n">
        <x:v>50</x:v>
      </x:c>
      <x:c r="X47" s="85" t="n">
        <x:v>72</x:v>
      </x:c>
      <x:c r="Y47" s="85" t="n">
        <x:v>72</x:v>
      </x:c>
      <x:c r="Z47" s="85" t="n">
        <x:v>65</x:v>
      </x:c>
      <x:c r="AA47" s="85" t="n">
        <x:v>76</x:v>
      </x:c>
      <x:c r="AB47" s="85" t="n">
        <x:v>75</x:v>
      </x:c>
      <x:c r="AC47" s="82" t="n">
        <x:v>0</x:v>
      </x:c>
      <x:c r="AD47" s="82" t="n">
        <x:v>0</x:v>
      </x:c>
      <x:c r="AE47" s="82" t="n">
        <x:v>0</x:v>
      </x:c>
      <x:c r="AF47" s="82" t="n">
        <x:v>0</x:v>
      </x:c>
      <x:c r="AG47" s="91" t="str">
        <x:v>要出走確認</x:v>
      </x:c>
      <x:c r="AH47" s="91" t="str">
        <x:v>1960〜2026完走順位との一致なし。未出走または表記差を要確認</x:v>
      </x:c>
      <x:c r="AI47" s="91" t="str">
        <x:v>https://bikeraceinfo.com/classics/paris-roubaix/paris-roubaix-index.html</x:v>
      </x:c>
      <x:c r="AJ47" s="91" t="str">
        <x:v>能力・適性・Credit整合済</x:v>
      </x:c>
      <x:c r="AK4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7" s="91" t="str">
        <x:v>https://en.wikipedia.org/wiki/Special:Search?search=Oscar%20Onley%20cyclist</x:v>
      </x:c>
    </x:row>
    <x:row r="48" ht="24" customHeight="1">
      <x:c r="A48" s="82" t="n">
        <x:v>44</x:v>
      </x:c>
      <x:c r="B48" s="82" t="str">
        <x:v>Benoit Cosnefroy</x:v>
      </x:c>
      <x:c r="C48" s="143" t="str"/>
      <x:c r="D48" s="82" t="str">
        <x:v>フランス</x:v>
      </x:c>
      <x:c r="E48" s="82" t="str">
        <x:v>現役</x:v>
      </x:c>
      <x:c r="F48" s="82" t="str">
        <x:v>パンチャー</x:v>
      </x:c>
      <x:c r="G48" s="82" t="str">
        <x:v>スプリンター</x:v>
      </x:c>
      <x:c r="H48" s="85" t="n">
        <x:v>83</x:v>
      </x:c>
      <x:c r="I48" s="85" t="n">
        <x:v>71</x:v>
      </x:c>
      <x:c r="J48" s="91" t="str">
        <x:v>エース / ステージハンター / スプリントトレイン</x:v>
      </x:c>
      <x:c r="K48" s="91" t="str"/>
      <x:c r="L48" s="91" t="str">
        <x:v>パンチ力 / 最高速 / 急坂</x:v>
      </x:c>
      <x:c r="M48" s="88" t="n">
        <x:v>6550</x:v>
      </x:c>
      <x:c r="N48" s="85" t="n">
        <x:v>76</x:v>
      </x:c>
      <x:c r="O48" s="85" t="n">
        <x:v>82</x:v>
      </x:c>
      <x:c r="P48" s="85" t="n">
        <x:v>80</x:v>
      </x:c>
      <x:c r="Q48" s="85" t="n">
        <x:v>70</x:v>
      </x:c>
      <x:c r="R48" s="85" t="n">
        <x:v>71</x:v>
      </x:c>
      <x:c r="S48" s="85" t="n">
        <x:v>66</x:v>
      </x:c>
      <x:c r="T48" s="85" t="n">
        <x:v>65</x:v>
      </x:c>
      <x:c r="U48" s="85" t="n">
        <x:v>74</x:v>
      </x:c>
      <x:c r="V48" s="85" t="n">
        <x:v>76</x:v>
      </x:c>
      <x:c r="W48" s="85" t="n">
        <x:v>50</x:v>
      </x:c>
      <x:c r="X48" s="85" t="n">
        <x:v>70</x:v>
      </x:c>
      <x:c r="Y48" s="85" t="n">
        <x:v>69</x:v>
      </x:c>
      <x:c r="Z48" s="85" t="n">
        <x:v>65</x:v>
      </x:c>
      <x:c r="AA48" s="85" t="n">
        <x:v>77</x:v>
      </x:c>
      <x:c r="AB48" s="85" t="n">
        <x:v>74</x:v>
      </x:c>
      <x:c r="AC48" s="82" t="n">
        <x:v>0</x:v>
      </x:c>
      <x:c r="AD48" s="82" t="n">
        <x:v>0</x:v>
      </x:c>
      <x:c r="AE48" s="82" t="n">
        <x:v>0</x:v>
      </x:c>
      <x:c r="AF48" s="82" t="n">
        <x:v>0</x:v>
      </x:c>
      <x:c r="AG48" s="91" t="str">
        <x:v>要出走確認</x:v>
      </x:c>
      <x:c r="AH48" s="91" t="str">
        <x:v>1960〜2026完走順位との一致なし。未出走または表記差を要確認</x:v>
      </x:c>
      <x:c r="AI48" s="91" t="str">
        <x:v>https://bikeraceinfo.com/classics/paris-roubaix/paris-roubaix-index.html</x:v>
      </x:c>
      <x:c r="AJ48" s="91" t="str">
        <x:v>能力・適性・Credit整合済</x:v>
      </x:c>
      <x:c r="AK48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8" s="91" t="str">
        <x:v>https://en.wikipedia.org/wiki/Special:Search?search=Benoit%20Cosnefroy%20cyclist</x:v>
      </x:c>
    </x:row>
    <x:row r="49" ht="24" customHeight="1">
      <x:c r="A49" s="82" t="n">
        <x:v>45</x:v>
      </x:c>
      <x:c r="B49" s="82" t="str">
        <x:v>Mads Pedersen (cyclist)</x:v>
      </x:c>
      <x:c r="C49" s="143" t="str"/>
      <x:c r="D49" s="82" t="str">
        <x:v>デンマーク</x:v>
      </x:c>
      <x:c r="E49" s="82" t="str">
        <x:v>現役</x:v>
      </x:c>
      <x:c r="F49" s="82" t="str">
        <x:v>クラシック型</x:v>
      </x:c>
      <x:c r="G49" s="82" t="str">
        <x:v>スプリンター</x:v>
      </x:c>
      <x:c r="H49" s="85" t="n">
        <x:v>82</x:v>
      </x:c>
      <x:c r="I49" s="85" t="n">
        <x:v>82</x:v>
      </x:c>
      <x:c r="J49" s="91" t="str">
        <x:v>スプリントトレイン / 平坦アシスト / TT牽引 / 石畳護衛 / 横風要員 / 逃げ屋 / 横風分断</x:v>
      </x:c>
      <x:c r="K49" s="91" t="str"/>
      <x:c r="L49" s="91" t="str">
        <x:v>クラシック型 / スプリンター</x:v>
      </x:c>
      <x:c r="M49" s="88" t="n">
        <x:v>9500</x:v>
      </x:c>
      <x:c r="N49" s="85" t="n">
        <x:v>76</x:v>
      </x:c>
      <x:c r="O49" s="85" t="n">
        <x:v>78</x:v>
      </x:c>
      <x:c r="P49" s="85" t="n">
        <x:v>76</x:v>
      </x:c>
      <x:c r="Q49" s="85" t="n">
        <x:v>82</x:v>
      </x:c>
      <x:c r="R49" s="85" t="n">
        <x:v>71</x:v>
      </x:c>
      <x:c r="S49" s="85" t="n">
        <x:v>82</x:v>
      </x:c>
      <x:c r="T49" s="85" t="n">
        <x:v>85</x:v>
      </x:c>
      <x:c r="U49" s="85" t="n">
        <x:v>84</x:v>
      </x:c>
      <x:c r="V49" s="85" t="n">
        <x:v>85</x:v>
      </x:c>
      <x:c r="W49" s="85" t="n">
        <x:v>83</x:v>
      </x:c>
      <x:c r="X49" s="85" t="n">
        <x:v>73</x:v>
      </x:c>
      <x:c r="Y49" s="85" t="n">
        <x:v>75</x:v>
      </x:c>
      <x:c r="Z49" s="85" t="n">
        <x:v>85</x:v>
      </x:c>
      <x:c r="AA49" s="85" t="n">
        <x:v>76</x:v>
      </x:c>
      <x:c r="AB49" s="85" t="n">
        <x:v>84</x:v>
      </x:c>
      <x:c r="AC49" s="82" t="n">
        <x:v>0</x:v>
      </x:c>
      <x:c r="AD49" s="82" t="n">
        <x:v>0</x:v>
      </x:c>
      <x:c r="AE49" s="82" t="n">
        <x:v>0</x:v>
      </x:c>
      <x:c r="AF49" s="82" t="n">
        <x:v>0</x:v>
      </x:c>
      <x:c r="AG49" s="91" t="str">
        <x:v>要実績照合</x:v>
      </x:c>
      <x:c r="AH49" s="91" t="str">
        <x:v>現役300名補充時の脚質暫定値。パリ〜ルーベ／ロンド個人成績の追加照合が必要</x:v>
      </x:c>
      <x:c r="AI49" s="91" t="str">
        <x:v>https://www.paris-roubaix.fr/en/history</x:v>
      </x:c>
      <x:c r="AJ49" s="91" t="str">
        <x:v>能力・適性・Credit整合済</x:v>
      </x:c>
      <x:c r="AK4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49" s="91" t="str">
        <x:v>https://en.wikipedia.org/wiki/Mads_Pedersen</x:v>
      </x:c>
    </x:row>
    <x:row r="50" ht="24" customHeight="1">
      <x:c r="A50" s="82" t="n">
        <x:v>46</x:v>
      </x:c>
      <x:c r="B50" s="82" t="str">
        <x:v>Daniel Martínez (cyclist)</x:v>
      </x:c>
      <x:c r="C50" s="143" t="str"/>
      <x:c r="D50" s="82" t="str">
        <x:v>コロンビア</x:v>
      </x:c>
      <x:c r="E50" s="82" t="str">
        <x:v>現役</x:v>
      </x:c>
      <x:c r="F50" s="82" t="str">
        <x:v>総合型</x:v>
      </x:c>
      <x:c r="G50" s="82" t="str">
        <x:v>スプリンター</x:v>
      </x:c>
      <x:c r="H50" s="85" t="n">
        <x:v>82</x:v>
      </x:c>
      <x:c r="I50" s="85" t="n">
        <x:v>79</x:v>
      </x:c>
      <x:c r="J50" s="91" t="str">
        <x:v>ロードキャプテン / スプリントトレイン / 平坦アシスト / 山岳アシスト / TT牽引 / ブレイクアウェイキラー / 超ロングスパート</x:v>
      </x:c>
      <x:c r="K50" s="91" t="str"/>
      <x:c r="L50" s="91" t="str">
        <x:v>総合型 / スプリンター</x:v>
      </x:c>
      <x:c r="M50" s="88" t="n">
        <x:v>9150</x:v>
      </x:c>
      <x:c r="N50" s="85" t="n">
        <x:v>66</x:v>
      </x:c>
      <x:c r="O50" s="85" t="n">
        <x:v>69</x:v>
      </x:c>
      <x:c r="P50" s="85" t="n">
        <x:v>74</x:v>
      </x:c>
      <x:c r="Q50" s="85" t="n">
        <x:v>74</x:v>
      </x:c>
      <x:c r="R50" s="85" t="n">
        <x:v>84</x:v>
      </x:c>
      <x:c r="S50" s="85" t="n">
        <x:v>84</x:v>
      </x:c>
      <x:c r="T50" s="85" t="n">
        <x:v>84</x:v>
      </x:c>
      <x:c r="U50" s="85" t="n">
        <x:v>77</x:v>
      </x:c>
      <x:c r="V50" s="85" t="n">
        <x:v>71</x:v>
      </x:c>
      <x:c r="W50" s="85" t="n">
        <x:v>62</x:v>
      </x:c>
      <x:c r="X50" s="85" t="n">
        <x:v>84</x:v>
      </x:c>
      <x:c r="Y50" s="85" t="n">
        <x:v>84</x:v>
      </x:c>
      <x:c r="Z50" s="85" t="n">
        <x:v>76</x:v>
      </x:c>
      <x:c r="AA50" s="85" t="n">
        <x:v>77</x:v>
      </x:c>
      <x:c r="AB50" s="85" t="n">
        <x:v>71</x:v>
      </x:c>
      <x:c r="AC50" s="82" t="n">
        <x:v>0</x:v>
      </x:c>
      <x:c r="AD50" s="82" t="n">
        <x:v>0</x:v>
      </x:c>
      <x:c r="AE50" s="82" t="n">
        <x:v>0</x:v>
      </x:c>
      <x:c r="AF50" s="82" t="n">
        <x:v>0</x:v>
      </x:c>
      <x:c r="AG50" s="91" t="str">
        <x:v>要実績照合</x:v>
      </x:c>
      <x:c r="AH50" s="91" t="str">
        <x:v>現役300名補充時の脚質暫定値。パリ〜ルーベ／ロンド個人成績の追加照合が必要</x:v>
      </x:c>
      <x:c r="AI50" s="91" t="str">
        <x:v>https://www.paris-roubaix.fr/en/history</x:v>
      </x:c>
      <x:c r="AJ50" s="91" t="str">
        <x:v>能力・適性・Credit整合済</x:v>
      </x:c>
      <x:c r="AK50" s="91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0" s="91" t="str">
        <x:v>https://en.wikipedia.org/wiki/Daniel_Mart%C3%ADnez_(cyclist)</x:v>
      </x:c>
    </x:row>
    <x:row r="51" ht="24" customHeight="1">
      <x:c r="A51" s="82" t="n">
        <x:v>47</x:v>
      </x:c>
      <x:c r="B51" s="82" t="str">
        <x:v>Guillaume Martin</x:v>
      </x:c>
      <x:c r="C51" s="143" t="str"/>
      <x:c r="D51" s="82" t="str">
        <x:v>フランス</x:v>
      </x:c>
      <x:c r="E51" s="82" t="str">
        <x:v>現役</x:v>
      </x:c>
      <x:c r="F51" s="82" t="str">
        <x:v>クライマー</x:v>
      </x:c>
      <x:c r="G51" s="82" t="str">
        <x:v>総合型</x:v>
      </x:c>
      <x:c r="H51" s="85" t="n">
        <x:v>82</x:v>
      </x:c>
      <x:c r="I51" s="85" t="n">
        <x:v>75</x:v>
      </x:c>
      <x:c r="J51" s="91" t="str">
        <x:v>エース / 山岳賞ハンター / 山岳アシスト / 集団コントローラー</x:v>
      </x:c>
      <x:c r="K51" s="91" t="str"/>
      <x:c r="L51" s="91" t="str">
        <x:v>登坂力 / 山岳耐久 / 逃げ屋</x:v>
      </x:c>
      <x:c r="M51" s="88" t="n">
        <x:v>7200</x:v>
      </x:c>
      <x:c r="N51" s="85" t="n">
        <x:v>57</x:v>
      </x:c>
      <x:c r="O51" s="85" t="n">
        <x:v>69</x:v>
      </x:c>
      <x:c r="P51" s="85" t="n">
        <x:v>71</x:v>
      </x:c>
      <x:c r="Q51" s="85" t="n">
        <x:v>68</x:v>
      </x:c>
      <x:c r="R51" s="85" t="n">
        <x:v>80</x:v>
      </x:c>
      <x:c r="S51" s="85" t="n">
        <x:v>76</x:v>
      </x:c>
      <x:c r="T51" s="85" t="n">
        <x:v>73</x:v>
      </x:c>
      <x:c r="U51" s="85" t="n">
        <x:v>67</x:v>
      </x:c>
      <x:c r="V51" s="85" t="n">
        <x:v>68</x:v>
      </x:c>
      <x:c r="W51" s="85" t="n">
        <x:v>50</x:v>
      </x:c>
      <x:c r="X51" s="85" t="n">
        <x:v>77</x:v>
      </x:c>
      <x:c r="Y51" s="85" t="n">
        <x:v>77</x:v>
      </x:c>
      <x:c r="Z51" s="85" t="n">
        <x:v>72</x:v>
      </x:c>
      <x:c r="AA51" s="85" t="n">
        <x:v>69</x:v>
      </x:c>
      <x:c r="AB51" s="85" t="n">
        <x:v>75</x:v>
      </x:c>
      <x:c r="AC51" s="82" t="n">
        <x:v>0</x:v>
      </x:c>
      <x:c r="AD51" s="82" t="n">
        <x:v>0</x:v>
      </x:c>
      <x:c r="AE51" s="82" t="n">
        <x:v>0</x:v>
      </x:c>
      <x:c r="AF51" s="82" t="n">
        <x:v>0</x:v>
      </x:c>
      <x:c r="AG51" s="91" t="str">
        <x:v>要出走確認</x:v>
      </x:c>
      <x:c r="AH51" s="91" t="str">
        <x:v>1960〜2026完走順位との一致なし。未出走または表記差を要確認</x:v>
      </x:c>
      <x:c r="AI51" s="91" t="str">
        <x:v>https://bikeraceinfo.com/classics/paris-roubaix/paris-roubaix-index.html</x:v>
      </x:c>
      <x:c r="AJ51" s="91" t="str">
        <x:v>能力・適性・Credit整合済</x:v>
      </x:c>
      <x:c r="AK5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1" s="91" t="str">
        <x:v>https://en.wikipedia.org/wiki/Special:Search?search=Guillaume%20Martin%20cyclist</x:v>
      </x:c>
    </x:row>
    <x:row r="52" ht="24" customHeight="1">
      <x:c r="A52" s="82" t="n">
        <x:v>48</x:v>
      </x:c>
      <x:c r="B52" s="82" t="str">
        <x:v>Giulio Pellizzari</x:v>
      </x:c>
      <x:c r="C52" s="143" t="str"/>
      <x:c r="D52" s="82" t="str">
        <x:v>イタリア</x:v>
      </x:c>
      <x:c r="E52" s="82" t="str">
        <x:v>現役</x:v>
      </x:c>
      <x:c r="F52" s="82" t="str">
        <x:v>クライマー</x:v>
      </x:c>
      <x:c r="G52" s="82" t="str">
        <x:v>総合型</x:v>
      </x:c>
      <x:c r="H52" s="85" t="n">
        <x:v>82</x:v>
      </x:c>
      <x:c r="I52" s="85" t="n">
        <x:v>75</x:v>
      </x:c>
      <x:c r="J52" s="91" t="str">
        <x:v>エース / 山岳賞ハンター / 山岳アシスト / 集団コントローラー</x:v>
      </x:c>
      <x:c r="K52" s="91" t="str"/>
      <x:c r="L52" s="91" t="str">
        <x:v>登坂力 / 山岳耐久 / 若手総合</x:v>
      </x:c>
      <x:c r="M52" s="88" t="n">
        <x:v>6700</x:v>
      </x:c>
      <x:c r="N52" s="85" t="n">
        <x:v>57</x:v>
      </x:c>
      <x:c r="O52" s="85" t="n">
        <x:v>70</x:v>
      </x:c>
      <x:c r="P52" s="85" t="n">
        <x:v>71</x:v>
      </x:c>
      <x:c r="Q52" s="85" t="n">
        <x:v>67</x:v>
      </x:c>
      <x:c r="R52" s="85" t="n">
        <x:v>78</x:v>
      </x:c>
      <x:c r="S52" s="85" t="n">
        <x:v>74</x:v>
      </x:c>
      <x:c r="T52" s="85" t="n">
        <x:v>72</x:v>
      </x:c>
      <x:c r="U52" s="85" t="n">
        <x:v>67</x:v>
      </x:c>
      <x:c r="V52" s="85" t="n">
        <x:v>68</x:v>
      </x:c>
      <x:c r="W52" s="85" t="n">
        <x:v>50</x:v>
      </x:c>
      <x:c r="X52" s="85" t="n">
        <x:v>77</x:v>
      </x:c>
      <x:c r="Y52" s="85" t="n">
        <x:v>77</x:v>
      </x:c>
      <x:c r="Z52" s="85" t="n">
        <x:v>72</x:v>
      </x:c>
      <x:c r="AA52" s="85" t="n">
        <x:v>69</x:v>
      </x:c>
      <x:c r="AB52" s="85" t="n">
        <x:v>72</x:v>
      </x:c>
      <x:c r="AC52" s="82" t="n">
        <x:v>0</x:v>
      </x:c>
      <x:c r="AD52" s="82" t="n">
        <x:v>0</x:v>
      </x:c>
      <x:c r="AE52" s="82" t="n">
        <x:v>0</x:v>
      </x:c>
      <x:c r="AF52" s="82" t="n">
        <x:v>0</x:v>
      </x:c>
      <x:c r="AG52" s="91" t="str">
        <x:v>要出走確認</x:v>
      </x:c>
      <x:c r="AH52" s="91" t="str">
        <x:v>1960〜2026完走順位との一致なし。未出走または表記差を要確認</x:v>
      </x:c>
      <x:c r="AI52" s="91" t="str">
        <x:v>https://bikeraceinfo.com/classics/paris-roubaix/paris-roubaix-index.html</x:v>
      </x:c>
      <x:c r="AJ52" s="91" t="str">
        <x:v>能力・適性・Credit整合済</x:v>
      </x:c>
      <x:c r="AK52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2" s="91" t="str">
        <x:v>https://en.wikipedia.org/wiki/Special:Search?search=Giulio%20Pellizzari%20cyclist</x:v>
      </x:c>
    </x:row>
    <x:row r="53" ht="24" customHeight="1">
      <x:c r="A53" s="82" t="n">
        <x:v>49</x:v>
      </x:c>
      <x:c r="B53" s="82" t="str">
        <x:v>Enric Mas</x:v>
      </x:c>
      <x:c r="C53" s="143" t="str"/>
      <x:c r="D53" s="82" t="str">
        <x:v>スペイン</x:v>
      </x:c>
      <x:c r="E53" s="82" t="str">
        <x:v>現役</x:v>
      </x:c>
      <x:c r="F53" s="82" t="str">
        <x:v>総合型</x:v>
      </x:c>
      <x:c r="G53" s="82" t="str">
        <x:v>クライマー</x:v>
      </x:c>
      <x:c r="H53" s="85" t="n">
        <x:v>82</x:v>
      </x:c>
      <x:c r="I53" s="85" t="n">
        <x:v>75</x:v>
      </x:c>
      <x:c r="J53" s="91" t="str">
        <x:v>エース / ロードキャプテン / 山岳アシスト</x:v>
      </x:c>
      <x:c r="K53" s="91" t="str"/>
      <x:c r="L53" s="91" t="str">
        <x:v>総合安定 / 登坂力 / 日別回復</x:v>
      </x:c>
      <x:c r="M53" s="88" t="n">
        <x:v>6600</x:v>
      </x:c>
      <x:c r="N53" s="85" t="n">
        <x:v>58</x:v>
      </x:c>
      <x:c r="O53" s="85" t="n">
        <x:v>69</x:v>
      </x:c>
      <x:c r="P53" s="85" t="n">
        <x:v>73</x:v>
      </x:c>
      <x:c r="Q53" s="85" t="n">
        <x:v>70</x:v>
      </x:c>
      <x:c r="R53" s="85" t="n">
        <x:v>76</x:v>
      </x:c>
      <x:c r="S53" s="85" t="n">
        <x:v>74</x:v>
      </x:c>
      <x:c r="T53" s="85" t="n">
        <x:v>73</x:v>
      </x:c>
      <x:c r="U53" s="85" t="n">
        <x:v>68</x:v>
      </x:c>
      <x:c r="V53" s="85" t="n">
        <x:v>68</x:v>
      </x:c>
      <x:c r="W53" s="85" t="n">
        <x:v>50</x:v>
      </x:c>
      <x:c r="X53" s="85" t="n">
        <x:v>81</x:v>
      </x:c>
      <x:c r="Y53" s="85" t="n">
        <x:v>80</x:v>
      </x:c>
      <x:c r="Z53" s="85" t="n">
        <x:v>70</x:v>
      </x:c>
      <x:c r="AA53" s="85" t="n">
        <x:v>75</x:v>
      </x:c>
      <x:c r="AB53" s="85" t="n">
        <x:v>68</x:v>
      </x:c>
      <x:c r="AC53" s="82" t="n">
        <x:v>0</x:v>
      </x:c>
      <x:c r="AD53" s="82" t="n">
        <x:v>0</x:v>
      </x:c>
      <x:c r="AE53" s="82" t="n">
        <x:v>0</x:v>
      </x:c>
      <x:c r="AF53" s="82" t="n">
        <x:v>0</x:v>
      </x:c>
      <x:c r="AG53" s="91" t="str">
        <x:v>要出走確認</x:v>
      </x:c>
      <x:c r="AH53" s="91" t="str">
        <x:v>1960〜2026完走順位との一致なし。未出走または表記差を要確認</x:v>
      </x:c>
      <x:c r="AI53" s="91" t="str">
        <x:v>https://bikeraceinfo.com/classics/paris-roubaix/paris-roubaix-index.html</x:v>
      </x:c>
      <x:c r="AJ53" s="91" t="str">
        <x:v>能力・適性・Credit整合済</x:v>
      </x:c>
      <x:c r="AK5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3" s="91" t="str">
        <x:v>https://en.wikipedia.org/wiki/Special:Search?search=Enric%20Mas%20cyclist</x:v>
      </x:c>
    </x:row>
    <x:row r="54" ht="24" customHeight="1">
      <x:c r="A54" s="82" t="n">
        <x:v>50</x:v>
      </x:c>
      <x:c r="B54" s="82" t="str">
        <x:v>Hugo Houle</x:v>
      </x:c>
      <x:c r="C54" s="143" t="str"/>
      <x:c r="D54" s="82" t="str">
        <x:v>カナダ</x:v>
      </x:c>
      <x:c r="E54" s="82" t="str">
        <x:v>現役</x:v>
      </x:c>
      <x:c r="F54" s="82" t="str">
        <x:v>総合型</x:v>
      </x:c>
      <x:c r="G54" s="82" t="str">
        <x:v>スプリンター</x:v>
      </x:c>
      <x:c r="H54" s="85" t="n">
        <x:v>81</x:v>
      </x:c>
      <x:c r="I54" s="85" t="n">
        <x:v>77</x:v>
      </x:c>
      <x:c r="J54" s="91" t="str">
        <x:v>山岳賞ハンター / スプリントトレイン / 平坦アシスト / 山岳アシスト / 山岳番手 / ブレイクアウェイキラー / ポジションキーパー</x:v>
      </x:c>
      <x:c r="K54" s="91" t="str"/>
      <x:c r="L54" s="91" t="str">
        <x:v>総合型 / スプリンター</x:v>
      </x:c>
      <x:c r="M54" s="88" t="n">
        <x:v>8250</x:v>
      </x:c>
      <x:c r="N54" s="85" t="n">
        <x:v>70</x:v>
      </x:c>
      <x:c r="O54" s="85" t="n">
        <x:v>70</x:v>
      </x:c>
      <x:c r="P54" s="85" t="n">
        <x:v>72</x:v>
      </x:c>
      <x:c r="Q54" s="85" t="n">
        <x:v>71</x:v>
      </x:c>
      <x:c r="R54" s="85" t="n">
        <x:v>82</x:v>
      </x:c>
      <x:c r="S54" s="85" t="n">
        <x:v>84</x:v>
      </x:c>
      <x:c r="T54" s="85" t="n">
        <x:v>77</x:v>
      </x:c>
      <x:c r="U54" s="85" t="n">
        <x:v>73</x:v>
      </x:c>
      <x:c r="V54" s="85" t="n">
        <x:v>72</x:v>
      </x:c>
      <x:c r="W54" s="85" t="n">
        <x:v>62</x:v>
      </x:c>
      <x:c r="X54" s="85" t="n">
        <x:v>79</x:v>
      </x:c>
      <x:c r="Y54" s="85" t="n">
        <x:v>84</x:v>
      </x:c>
      <x:c r="Z54" s="85" t="n">
        <x:v>73</x:v>
      </x:c>
      <x:c r="AA54" s="85" t="n">
        <x:v>83</x:v>
      </x:c>
      <x:c r="AB54" s="85" t="n">
        <x:v>72</x:v>
      </x:c>
      <x:c r="AC54" s="82" t="n">
        <x:v>0</x:v>
      </x:c>
      <x:c r="AD54" s="82" t="n">
        <x:v>0</x:v>
      </x:c>
      <x:c r="AE54" s="82" t="n">
        <x:v>0</x:v>
      </x:c>
      <x:c r="AF54" s="82" t="n">
        <x:v>0</x:v>
      </x:c>
      <x:c r="AG54" s="91" t="str">
        <x:v>要実績照合</x:v>
      </x:c>
      <x:c r="AH54" s="91" t="str">
        <x:v>現役300名補充時の脚質暫定値。パリ〜ルーベ／ロンド個人成績の追加照合が必要</x:v>
      </x:c>
      <x:c r="AI54" s="91" t="str">
        <x:v>https://www.paris-roubaix.fr/en/history</x:v>
      </x:c>
      <x:c r="AJ54" s="91" t="str">
        <x:v>能力・適性・Credit整合済</x:v>
      </x:c>
      <x:c r="AK54" s="91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4" s="91" t="str">
        <x:v>https://en.wikipedia.org/wiki/Hugo_Houle</x:v>
      </x:c>
    </x:row>
    <x:row r="55" ht="24" customHeight="1">
      <x:c r="A55" s="82" t="n">
        <x:v>51</x:v>
      </x:c>
      <x:c r="B55" s="82" t="str">
        <x:v>Joshua Tarling</x:v>
      </x:c>
      <x:c r="C55" s="143" t="str"/>
      <x:c r="D55" s="82" t="str">
        <x:v>イギリス</x:v>
      </x:c>
      <x:c r="E55" s="82" t="str">
        <x:v>現役</x:v>
      </x:c>
      <x:c r="F55" s="82" t="str">
        <x:v>TT・ルーラー型</x:v>
      </x:c>
      <x:c r="G55" s="82" t="str">
        <x:v>クラシック型</x:v>
      </x:c>
      <x:c r="H55" s="85" t="n">
        <x:v>81</x:v>
      </x:c>
      <x:c r="I55" s="85" t="n">
        <x:v>79</x:v>
      </x:c>
      <x:c r="J55" s="91" t="str">
        <x:v>サブエース / TTスペシャリスト / 平坦アシスト / 平坦ペースメーカー / ブレイクアウェイキラー / ポジションキーパー</x:v>
      </x:c>
      <x:c r="K55" s="91" t="str"/>
      <x:c r="L55" s="91" t="str">
        <x:v>TT適性 / 巡航力 / 若手</x:v>
      </x:c>
      <x:c r="M55" s="88" t="n">
        <x:v>8050</x:v>
      </x:c>
      <x:c r="N55" s="85" t="n">
        <x:v>69</x:v>
      </x:c>
      <x:c r="O55" s="85" t="n">
        <x:v>68</x:v>
      </x:c>
      <x:c r="P55" s="85" t="n">
        <x:v>67</x:v>
      </x:c>
      <x:c r="Q55" s="85" t="n">
        <x:v>83</x:v>
      </x:c>
      <x:c r="R55" s="85" t="n">
        <x:v>69</x:v>
      </x:c>
      <x:c r="S55" s="85" t="n">
        <x:v>73</x:v>
      </x:c>
      <x:c r="T55" s="85" t="n">
        <x:v>73</x:v>
      </x:c>
      <x:c r="U55" s="85" t="n">
        <x:v>80</x:v>
      </x:c>
      <x:c r="V55" s="85" t="n">
        <x:v>70</x:v>
      </x:c>
      <x:c r="W55" s="85" t="n">
        <x:v>69</x:v>
      </x:c>
      <x:c r="X55" s="85" t="n">
        <x:v>69</x:v>
      </x:c>
      <x:c r="Y55" s="85" t="n">
        <x:v>70</x:v>
      </x:c>
      <x:c r="Z55" s="85" t="n">
        <x:v>79</x:v>
      </x:c>
      <x:c r="AA55" s="85" t="n">
        <x:v>67</x:v>
      </x:c>
      <x:c r="AB55" s="85" t="n">
        <x:v>67</x:v>
      </x:c>
      <x:c r="AC55" s="82" t="n">
        <x:v>41</x:v>
      </x:c>
      <x:c r="AD55" s="82" t="n">
        <x:v>1</x:v>
      </x:c>
      <x:c r="AE55" s="82" t="n">
        <x:v>0</x:v>
      </x:c>
      <x:c r="AF55" s="82" t="n">
        <x:v>0</x:v>
      </x:c>
      <x:c r="AG55" s="91" t="str">
        <x:v>結果照合済</x:v>
      </x:c>
      <x:c r="AH55" s="91" t="str">
        <x:v>最高41位 / 完走1回 / Top10 0回 / 優勝0回</x:v>
      </x:c>
      <x:c r="AI55" s="91" t="str">
        <x:v>https://bikeraceinfo.com/classics/paris-roubaix/pr2026.html</x:v>
      </x:c>
      <x:c r="AJ55" s="91" t="str">
        <x:v>能力・適性・Credit整合済</x:v>
      </x:c>
      <x:c r="AK5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5" s="91" t="str">
        <x:v>https://en.wikipedia.org/wiki/Special:Search?search=Joshua%20Tarling%20cyclist</x:v>
      </x:c>
    </x:row>
    <x:row r="56" ht="24" customHeight="1">
      <x:c r="A56" s="82" t="n">
        <x:v>52</x:v>
      </x:c>
      <x:c r="B56" s="82" t="str">
        <x:v>John Degenkolb</x:v>
      </x:c>
      <x:c r="C56" s="143" t="str">
        <x:v>石畳の重戦車</x:v>
      </x:c>
      <x:c r="D56" s="82" t="str">
        <x:v>ドイツ</x:v>
      </x:c>
      <x:c r="E56" s="82" t="str">
        <x:v>現役</x:v>
      </x:c>
      <x:c r="F56" s="82" t="str">
        <x:v>クラシック型</x:v>
      </x:c>
      <x:c r="G56" s="82" t="str">
        <x:v>パンチャー</x:v>
      </x:c>
      <x:c r="H56" s="85" t="n">
        <x:v>80</x:v>
      </x:c>
      <x:c r="I56" s="85" t="n">
        <x:v>74</x:v>
      </x:c>
      <x:c r="J56" s="91" t="str">
        <x:v>エース / 石畳護衛 / 横風要員 / 逃げ屋 / ブリッジャー / カウンターアタッカー</x:v>
      </x:c>
      <x:c r="K56" s="91" t="str"/>
      <x:c r="L56" s="91" t="str">
        <x:v>バイクコントロール / 反復加速</x:v>
      </x:c>
      <x:c r="M56" s="88" t="n">
        <x:v>9450</x:v>
      </x:c>
      <x:c r="N56" s="85" t="n">
        <x:v>76</x:v>
      </x:c>
      <x:c r="O56" s="85" t="n">
        <x:v>75</x:v>
      </x:c>
      <x:c r="P56" s="85" t="n">
        <x:v>76</x:v>
      </x:c>
      <x:c r="Q56" s="85" t="n">
        <x:v>76</x:v>
      </x:c>
      <x:c r="R56" s="85" t="n">
        <x:v>68</x:v>
      </x:c>
      <x:c r="S56" s="85" t="n">
        <x:v>75</x:v>
      </x:c>
      <x:c r="T56" s="85" t="n">
        <x:v>79</x:v>
      </x:c>
      <x:c r="U56" s="85" t="n">
        <x:v>79</x:v>
      </x:c>
      <x:c r="V56" s="85" t="n">
        <x:v>83</x:v>
      </x:c>
      <x:c r="W56" s="85" t="n">
        <x:v>82</x:v>
      </x:c>
      <x:c r="X56" s="85" t="n">
        <x:v>72</x:v>
      </x:c>
      <x:c r="Y56" s="85" t="n">
        <x:v>72</x:v>
      </x:c>
      <x:c r="Z56" s="85" t="n">
        <x:v>73</x:v>
      </x:c>
      <x:c r="AA56" s="85" t="n">
        <x:v>73</x:v>
      </x:c>
      <x:c r="AB56" s="85" t="n">
        <x:v>83</x:v>
      </x:c>
      <x:c r="AC56" s="82" t="n">
        <x:v>1</x:v>
      </x:c>
      <x:c r="AD56" s="82" t="n">
        <x:v>5</x:v>
      </x:c>
      <x:c r="AE56" s="82" t="n">
        <x:v>2</x:v>
      </x:c>
      <x:c r="AF56" s="82" t="n">
        <x:v>1</x:v>
      </x:c>
      <x:c r="AG56" s="91" t="str">
        <x:v>結果照合済</x:v>
      </x:c>
      <x:c r="AH56" s="91" t="str">
        <x:v>最高1位 / 完走5回 / Top10 2回 / 優勝1回</x:v>
      </x:c>
      <x:c r="AI56" s="91" t="str">
        <x:v>https://bikeraceinfo.com/classics/paris-roubaix/pr2015.html</x:v>
      </x:c>
      <x:c r="AJ56" s="91" t="str">
        <x:v>能力・適性・Credit整合済</x:v>
      </x:c>
      <x:c r="AK56" s="91" t="str">
        <x:v>世界選手権ロード・個人TT表彰台実績を補正後、能力別順位上限を適用（85は各能力最大2名・1選手最大2項目）。パヴェはパリ〜ルーベ主基準・ロンド優勝を加点＋最低保証。手動調整: John Degenkolbのエース適性を80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6" s="91" t="str">
        <x:v>https://en.wikipedia.org/wiki/Special:Search?search=John%20Degenkolb%20cyclist</x:v>
      </x:c>
    </x:row>
    <x:row r="57" ht="24" customHeight="1">
      <x:c r="A57" s="82" t="n">
        <x:v>53</x:v>
      </x:c>
      <x:c r="B57" s="82" t="str">
        <x:v>Florian Sénéchal</x:v>
      </x:c>
      <x:c r="C57" s="143" t="str"/>
      <x:c r="D57" s="82" t="str">
        <x:v>フランス</x:v>
      </x:c>
      <x:c r="E57" s="82" t="str">
        <x:v>現役</x:v>
      </x:c>
      <x:c r="F57" s="82" t="str">
        <x:v>クラシック型</x:v>
      </x:c>
      <x:c r="G57" s="82" t="str">
        <x:v>TT・ルーラー型</x:v>
      </x:c>
      <x:c r="H57" s="85" t="n">
        <x:v>80</x:v>
      </x:c>
      <x:c r="I57" s="85" t="n">
        <x:v>81</x:v>
      </x:c>
      <x:c r="J57" s="91" t="str">
        <x:v>平坦アシスト / 平坦ペースメーカー / TT牽引 / 石畳護衛 / 集団コントローラー / 横風要員 / 逃げ屋</x:v>
      </x:c>
      <x:c r="K57" s="91" t="str"/>
      <x:c r="L57" s="91" t="str">
        <x:v>クラシック型 / TT・ルーラー型</x:v>
      </x:c>
      <x:c r="M57" s="88" t="n">
        <x:v>8900</x:v>
      </x:c>
      <x:c r="N57" s="85" t="n">
        <x:v>77</x:v>
      </x:c>
      <x:c r="O57" s="85" t="n">
        <x:v>78</x:v>
      </x:c>
      <x:c r="P57" s="85" t="n">
        <x:v>77</x:v>
      </x:c>
      <x:c r="Q57" s="85" t="n">
        <x:v>81</x:v>
      </x:c>
      <x:c r="R57" s="85" t="n">
        <x:v>71</x:v>
      </x:c>
      <x:c r="S57" s="85" t="n">
        <x:v>81</x:v>
      </x:c>
      <x:c r="T57" s="85" t="n">
        <x:v>80</x:v>
      </x:c>
      <x:c r="U57" s="85" t="n">
        <x:v>84</x:v>
      </x:c>
      <x:c r="V57" s="85" t="n">
        <x:v>84</x:v>
      </x:c>
      <x:c r="W57" s="85" t="n">
        <x:v>74</x:v>
      </x:c>
      <x:c r="X57" s="85" t="n">
        <x:v>74</x:v>
      </x:c>
      <x:c r="Y57" s="85" t="n">
        <x:v>73</x:v>
      </x:c>
      <x:c r="Z57" s="85" t="n">
        <x:v>85</x:v>
      </x:c>
      <x:c r="AA57" s="85" t="n">
        <x:v>71</x:v>
      </x:c>
      <x:c r="AB57" s="85" t="n">
        <x:v>84</x:v>
      </x:c>
      <x:c r="AC57" s="82" t="n">
        <x:v>0</x:v>
      </x:c>
      <x:c r="AD57" s="82" t="n">
        <x:v>0</x:v>
      </x:c>
      <x:c r="AE57" s="82" t="n">
        <x:v>0</x:v>
      </x:c>
      <x:c r="AF57" s="82" t="n">
        <x:v>0</x:v>
      </x:c>
      <x:c r="AG57" s="91" t="str">
        <x:v>要実績照合</x:v>
      </x:c>
      <x:c r="AH57" s="91" t="str">
        <x:v>現役300名補充時の脚質暫定値。パリ〜ルーベ／ロンド個人成績の追加照合が必要</x:v>
      </x:c>
      <x:c r="AI57" s="91" t="str">
        <x:v>https://www.paris-roubaix.fr/en/history</x:v>
      </x:c>
      <x:c r="AJ57" s="91" t="str">
        <x:v>能力・適性・Credit整合済</x:v>
      </x:c>
      <x:c r="AK57" s="91" t="str">
        <x:v>公開プロフィール脚質「Classics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7" s="91" t="str">
        <x:v>https://en.wikipedia.org/wiki/Florian_S%C3%A9n%C3%A9chal</x:v>
      </x:c>
    </x:row>
    <x:row r="58" ht="24" customHeight="1">
      <x:c r="A58" s="82" t="n">
        <x:v>54</x:v>
      </x:c>
      <x:c r="B58" s="82" t="str">
        <x:v>Bauke Mollema</x:v>
      </x:c>
      <x:c r="C58" s="143" t="str"/>
      <x:c r="D58" s="82" t="str">
        <x:v>オランダ</x:v>
      </x:c>
      <x:c r="E58" s="82" t="str">
        <x:v>現役</x:v>
      </x:c>
      <x:c r="F58" s="82" t="str">
        <x:v>総合型</x:v>
      </x:c>
      <x:c r="G58" s="82" t="str">
        <x:v>スプリンター</x:v>
      </x:c>
      <x:c r="H58" s="85" t="n">
        <x:v>80</x:v>
      </x:c>
      <x:c r="I58" s="85" t="n">
        <x:v>76</x:v>
      </x:c>
      <x:c r="J58" s="91" t="str">
        <x:v>山岳賞ハンター / スプリントトレイン / 山岳アシスト / 山岳番手 / ブレイクアウェイキラー / ポジションキーパー</x:v>
      </x:c>
      <x:c r="K58" s="91" t="str"/>
      <x:c r="L58" s="91" t="str">
        <x:v>総合型 / スプリンター</x:v>
      </x:c>
      <x:c r="M58" s="88" t="n">
        <x:v>8250</x:v>
      </x:c>
      <x:c r="N58" s="85" t="n">
        <x:v>61</x:v>
      </x:c>
      <x:c r="O58" s="85" t="n">
        <x:v>69</x:v>
      </x:c>
      <x:c r="P58" s="85" t="n">
        <x:v>74</x:v>
      </x:c>
      <x:c r="Q58" s="85" t="n">
        <x:v>74</x:v>
      </x:c>
      <x:c r="R58" s="85" t="n">
        <x:v>83</x:v>
      </x:c>
      <x:c r="S58" s="85" t="n">
        <x:v>77</x:v>
      </x:c>
      <x:c r="T58" s="85" t="n">
        <x:v>81</x:v>
      </x:c>
      <x:c r="U58" s="85" t="n">
        <x:v>74</x:v>
      </x:c>
      <x:c r="V58" s="85" t="n">
        <x:v>74</x:v>
      </x:c>
      <x:c r="W58" s="85" t="n">
        <x:v>57</x:v>
      </x:c>
      <x:c r="X58" s="85" t="n">
        <x:v>84</x:v>
      </x:c>
      <x:c r="Y58" s="85" t="n">
        <x:v>83</x:v>
      </x:c>
      <x:c r="Z58" s="85" t="n">
        <x:v>73</x:v>
      </x:c>
      <x:c r="AA58" s="85" t="n">
        <x:v>83</x:v>
      </x:c>
      <x:c r="AB58" s="85" t="n">
        <x:v>72</x:v>
      </x:c>
      <x:c r="AC58" s="82" t="n">
        <x:v>0</x:v>
      </x:c>
      <x:c r="AD58" s="82" t="n">
        <x:v>0</x:v>
      </x:c>
      <x:c r="AE58" s="82" t="n">
        <x:v>0</x:v>
      </x:c>
      <x:c r="AF58" s="82" t="n">
        <x:v>0</x:v>
      </x:c>
      <x:c r="AG58" s="91" t="str">
        <x:v>要実績照合</x:v>
      </x:c>
      <x:c r="AH58" s="91" t="str">
        <x:v>現役300名補充時の脚質暫定値。パリ〜ルーベ／ロンド個人成績の追加照合が必要</x:v>
      </x:c>
      <x:c r="AI58" s="91" t="str">
        <x:v>https://www.paris-roubaix.fr/en/history</x:v>
      </x:c>
      <x:c r="AJ58" s="91" t="str">
        <x:v>能力・適性・Credit整合済</x:v>
      </x:c>
      <x:c r="AK58" s="91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8" s="91" t="str">
        <x:v>https://en.wikipedia.org/wiki/Bauke_Mollema</x:v>
      </x:c>
    </x:row>
    <x:row r="59" ht="24" customHeight="1">
      <x:c r="A59" s="82" t="n">
        <x:v>55</x:v>
      </x:c>
      <x:c r="B59" s="82" t="str">
        <x:v>Victor Campenaerts</x:v>
      </x:c>
      <x:c r="C59" s="143" t="str"/>
      <x:c r="D59" s="82" t="str">
        <x:v>ベルギー</x:v>
      </x:c>
      <x:c r="E59" s="82" t="str">
        <x:v>現役</x:v>
      </x:c>
      <x:c r="F59" s="82" t="str">
        <x:v>TT・ルーラー型</x:v>
      </x:c>
      <x:c r="G59" s="82" t="str">
        <x:v>クラシック型</x:v>
      </x:c>
      <x:c r="H59" s="85" t="n">
        <x:v>80</x:v>
      </x:c>
      <x:c r="I59" s="85" t="n">
        <x:v>80</x:v>
      </x:c>
      <x:c r="J59" s="91" t="str">
        <x:v>サブエース / スーパー・ドメスティーク / TTスペシャリスト / 平坦アシスト / 平坦ペースメーカー / ブレイクアウェイキラー / 超ロングスパート</x:v>
      </x:c>
      <x:c r="K59" s="91" t="str"/>
      <x:c r="L59" s="91" t="str">
        <x:v>TT適性 / 巡航力 / 逃げ屋</x:v>
      </x:c>
      <x:c r="M59" s="88" t="n">
        <x:v>7600</x:v>
      </x:c>
      <x:c r="N59" s="85" t="n">
        <x:v>69</x:v>
      </x:c>
      <x:c r="O59" s="85" t="n">
        <x:v>68</x:v>
      </x:c>
      <x:c r="P59" s="85" t="n">
        <x:v>67</x:v>
      </x:c>
      <x:c r="Q59" s="85" t="n">
        <x:v>83</x:v>
      </x:c>
      <x:c r="R59" s="85" t="n">
        <x:v>69</x:v>
      </x:c>
      <x:c r="S59" s="85" t="n">
        <x:v>73</x:v>
      </x:c>
      <x:c r="T59" s="85" t="n">
        <x:v>73</x:v>
      </x:c>
      <x:c r="U59" s="85" t="n">
        <x:v>79</x:v>
      </x:c>
      <x:c r="V59" s="85" t="n">
        <x:v>70</x:v>
      </x:c>
      <x:c r="W59" s="85" t="n">
        <x:v>50</x:v>
      </x:c>
      <x:c r="X59" s="85" t="n">
        <x:v>68</x:v>
      </x:c>
      <x:c r="Y59" s="85" t="n">
        <x:v>69</x:v>
      </x:c>
      <x:c r="Z59" s="85" t="n">
        <x:v>80</x:v>
      </x:c>
      <x:c r="AA59" s="85" t="n">
        <x:v>66</x:v>
      </x:c>
      <x:c r="AB59" s="85" t="n">
        <x:v>66</x:v>
      </x:c>
      <x:c r="AC59" s="82" t="n">
        <x:v>0</x:v>
      </x:c>
      <x:c r="AD59" s="82" t="n">
        <x:v>0</x:v>
      </x:c>
      <x:c r="AE59" s="82" t="n">
        <x:v>0</x:v>
      </x:c>
      <x:c r="AF59" s="82" t="n">
        <x:v>0</x:v>
      </x:c>
      <x:c r="AG59" s="91" t="str">
        <x:v>要出走確認</x:v>
      </x:c>
      <x:c r="AH59" s="91" t="str">
        <x:v>1960〜2026完走順位との一致なし。未出走または表記差を要確認</x:v>
      </x:c>
      <x:c r="AI59" s="91" t="str">
        <x:v>https://bikeraceinfo.com/classics/paris-roubaix/paris-roubaix-index.html</x:v>
      </x:c>
      <x:c r="AJ59" s="91" t="str">
        <x:v>能力・適性・Credit整合済</x:v>
      </x:c>
      <x:c r="AK5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59" s="91" t="str">
        <x:v>https://en.wikipedia.org/wiki/Special:Search?search=Victor%20Campenaerts%20cyclist</x:v>
      </x:c>
    </x:row>
    <x:row r="60" ht="24" customHeight="1">
      <x:c r="A60" s="82" t="n">
        <x:v>56</x:v>
      </x:c>
      <x:c r="B60" s="82" t="str">
        <x:v>Richard Carapaz</x:v>
      </x:c>
      <x:c r="C60" s="143" t="str"/>
      <x:c r="D60" s="82" t="str">
        <x:v>エクアドル</x:v>
      </x:c>
      <x:c r="E60" s="82" t="str">
        <x:v>現役</x:v>
      </x:c>
      <x:c r="F60" s="82" t="str">
        <x:v>総合型</x:v>
      </x:c>
      <x:c r="G60" s="82" t="str">
        <x:v>クライマー</x:v>
      </x:c>
      <x:c r="H60" s="85" t="n">
        <x:v>80</x:v>
      </x:c>
      <x:c r="I60" s="85" t="n">
        <x:v>73</x:v>
      </x:c>
      <x:c r="J60" s="91" t="str">
        <x:v>エース / 山岳賞ハンター / 山岳アシスト</x:v>
      </x:c>
      <x:c r="K60" s="91" t="str"/>
      <x:c r="L60" s="91" t="str">
        <x:v>日別回復 / 登坂力 / ステージハンター</x:v>
      </x:c>
      <x:c r="M60" s="88" t="n">
        <x:v>6500</x:v>
      </x:c>
      <x:c r="N60" s="85" t="n">
        <x:v>57</x:v>
      </x:c>
      <x:c r="O60" s="85" t="n">
        <x:v>69</x:v>
      </x:c>
      <x:c r="P60" s="85" t="n">
        <x:v>72</x:v>
      </x:c>
      <x:c r="Q60" s="85" t="n">
        <x:v>70</x:v>
      </x:c>
      <x:c r="R60" s="85" t="n">
        <x:v>79</x:v>
      </x:c>
      <x:c r="S60" s="85" t="n">
        <x:v>77</x:v>
      </x:c>
      <x:c r="T60" s="85" t="n">
        <x:v>72</x:v>
      </x:c>
      <x:c r="U60" s="85" t="n">
        <x:v>68</x:v>
      </x:c>
      <x:c r="V60" s="85" t="n">
        <x:v>68</x:v>
      </x:c>
      <x:c r="W60" s="85" t="n">
        <x:v>50</x:v>
      </x:c>
      <x:c r="X60" s="85" t="n">
        <x:v>81</x:v>
      </x:c>
      <x:c r="Y60" s="85" t="n">
        <x:v>82</x:v>
      </x:c>
      <x:c r="Z60" s="85" t="n">
        <x:v>67</x:v>
      </x:c>
      <x:c r="AA60" s="85" t="n">
        <x:v>76</x:v>
      </x:c>
      <x:c r="AB60" s="85" t="n">
        <x:v>69</x:v>
      </x:c>
      <x:c r="AC60" s="82" t="n">
        <x:v>0</x:v>
      </x:c>
      <x:c r="AD60" s="82" t="n">
        <x:v>0</x:v>
      </x:c>
      <x:c r="AE60" s="82" t="n">
        <x:v>0</x:v>
      </x:c>
      <x:c r="AF60" s="82" t="n">
        <x:v>0</x:v>
      </x:c>
      <x:c r="AG60" s="91" t="str">
        <x:v>要出走確認</x:v>
      </x:c>
      <x:c r="AH60" s="91" t="str">
        <x:v>1960〜2026完走順位との一致なし。未出走または表記差を要確認</x:v>
      </x:c>
      <x:c r="AI60" s="91" t="str">
        <x:v>https://bikeraceinfo.com/classics/paris-roubaix/paris-roubaix-index.html</x:v>
      </x:c>
      <x:c r="AJ60" s="91" t="str">
        <x:v>能力・適性・Credit整合済</x:v>
      </x:c>
      <x:c r="AK6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0" s="91" t="str">
        <x:v>https://en.wikipedia.org/wiki/Special:Search?search=Richard%20Carapaz%20cyclist</x:v>
      </x:c>
    </x:row>
    <x:row r="61" ht="24" customHeight="1">
      <x:c r="A61" s="82" t="n">
        <x:v>57</x:v>
      </x:c>
      <x:c r="B61" s="82" t="str">
        <x:v>George Bennett (cyclist)</x:v>
      </x:c>
      <x:c r="C61" s="143" t="str"/>
      <x:c r="D61" s="82" t="str">
        <x:v>ニュージーランド</x:v>
      </x:c>
      <x:c r="E61" s="82" t="str">
        <x:v>現役</x:v>
      </x:c>
      <x:c r="F61" s="82" t="str">
        <x:v>クライマー</x:v>
      </x:c>
      <x:c r="G61" s="82" t="str">
        <x:v>総合型</x:v>
      </x:c>
      <x:c r="H61" s="85" t="n">
        <x:v>79</x:v>
      </x:c>
      <x:c r="I61" s="85" t="n">
        <x:v>77</x:v>
      </x:c>
      <x:c r="J61" s="91" t="str">
        <x:v>山岳賞ハンター / 山岳アシスト / 山岳番手 / 集団コントローラー / カウンターアタッカー</x:v>
      </x:c>
      <x:c r="K61" s="91" t="str"/>
      <x:c r="L61" s="91" t="str">
        <x:v>クライマー / 総合型</x:v>
      </x:c>
      <x:c r="M61" s="88" t="n">
        <x:v>8300</x:v>
      </x:c>
      <x:c r="N61" s="85" t="n">
        <x:v>62</x:v>
      </x:c>
      <x:c r="O61" s="85" t="n">
        <x:v>72</x:v>
      </x:c>
      <x:c r="P61" s="85" t="n">
        <x:v>72</x:v>
      </x:c>
      <x:c r="Q61" s="85" t="n">
        <x:v>67</x:v>
      </x:c>
      <x:c r="R61" s="85" t="n">
        <x:v>84</x:v>
      </x:c>
      <x:c r="S61" s="85" t="n">
        <x:v>82</x:v>
      </x:c>
      <x:c r="T61" s="85" t="n">
        <x:v>78</x:v>
      </x:c>
      <x:c r="U61" s="85" t="n">
        <x:v>68</x:v>
      </x:c>
      <x:c r="V61" s="85" t="n">
        <x:v>71</x:v>
      </x:c>
      <x:c r="W61" s="85" t="n">
        <x:v>58</x:v>
      </x:c>
      <x:c r="X61" s="85" t="n">
        <x:v>80</x:v>
      </x:c>
      <x:c r="Y61" s="85" t="n">
        <x:v>80</x:v>
      </x:c>
      <x:c r="Z61" s="85" t="n">
        <x:v>75</x:v>
      </x:c>
      <x:c r="AA61" s="85" t="n">
        <x:v>72</x:v>
      </x:c>
      <x:c r="AB61" s="85" t="n">
        <x:v>79</x:v>
      </x:c>
      <x:c r="AC61" s="82" t="n">
        <x:v>0</x:v>
      </x:c>
      <x:c r="AD61" s="82" t="n">
        <x:v>0</x:v>
      </x:c>
      <x:c r="AE61" s="82" t="n">
        <x:v>0</x:v>
      </x:c>
      <x:c r="AF61" s="82" t="n">
        <x:v>0</x:v>
      </x:c>
      <x:c r="AG61" s="91" t="str">
        <x:v>要実績照合</x:v>
      </x:c>
      <x:c r="AH61" s="91" t="str">
        <x:v>現役300名補充時の脚質暫定値。パリ〜ルーベ／ロンド個人成績の追加照合が必要</x:v>
      </x:c>
      <x:c r="AI61" s="91" t="str">
        <x:v>https://www.paris-roubaix.fr/en/history</x:v>
      </x:c>
      <x:c r="AJ61" s="91" t="str">
        <x:v>能力・適性・Credit整合済</x:v>
      </x:c>
      <x:c r="AK61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1" s="91" t="str">
        <x:v>https://en.wikipedia.org/wiki/George_Bennett_(cyclist)</x:v>
      </x:c>
    </x:row>
    <x:row r="62" ht="24" customHeight="1">
      <x:c r="A62" s="82" t="n">
        <x:v>58</x:v>
      </x:c>
      <x:c r="B62" s="82" t="str">
        <x:v>Lennert Van Eetvelt</x:v>
      </x:c>
      <x:c r="C62" s="143" t="str"/>
      <x:c r="D62" s="82" t="str">
        <x:v>ベルギー</x:v>
      </x:c>
      <x:c r="E62" s="82" t="str">
        <x:v>現役</x:v>
      </x:c>
      <x:c r="F62" s="82" t="str">
        <x:v>総合型</x:v>
      </x:c>
      <x:c r="G62" s="82" t="str">
        <x:v>スプリンター</x:v>
      </x:c>
      <x:c r="H62" s="85" t="n">
        <x:v>79</x:v>
      </x:c>
      <x:c r="I62" s="85" t="n">
        <x:v>75</x:v>
      </x:c>
      <x:c r="J62" s="91" t="str">
        <x:v>スプリントトレイン / 山岳アシスト / ポジションキーパー</x:v>
      </x:c>
      <x:c r="K62" s="91" t="str"/>
      <x:c r="L62" s="91" t="str">
        <x:v>総合型 / スプリンター</x:v>
      </x:c>
      <x:c r="M62" s="88" t="n">
        <x:v>6800</x:v>
      </x:c>
      <x:c r="N62" s="85" t="n">
        <x:v>67</x:v>
      </x:c>
      <x:c r="O62" s="85" t="n">
        <x:v>70</x:v>
      </x:c>
      <x:c r="P62" s="85" t="n">
        <x:v>71</x:v>
      </x:c>
      <x:c r="Q62" s="85" t="n">
        <x:v>70</x:v>
      </x:c>
      <x:c r="R62" s="85" t="n">
        <x:v>77</x:v>
      </x:c>
      <x:c r="S62" s="85" t="n">
        <x:v>83</x:v>
      </x:c>
      <x:c r="T62" s="85" t="n">
        <x:v>73</x:v>
      </x:c>
      <x:c r="U62" s="85" t="n">
        <x:v>71</x:v>
      </x:c>
      <x:c r="V62" s="85" t="n">
        <x:v>72</x:v>
      </x:c>
      <x:c r="W62" s="85" t="n">
        <x:v>57</x:v>
      </x:c>
      <x:c r="X62" s="85" t="n">
        <x:v>80</x:v>
      </x:c>
      <x:c r="Y62" s="85" t="n">
        <x:v>83</x:v>
      </x:c>
      <x:c r="Z62" s="85" t="n">
        <x:v>67</x:v>
      </x:c>
      <x:c r="AA62" s="85" t="n">
        <x:v>75</x:v>
      </x:c>
      <x:c r="AB62" s="85" t="n">
        <x:v>71</x:v>
      </x:c>
      <x:c r="AC62" s="82" t="n">
        <x:v>0</x:v>
      </x:c>
      <x:c r="AD62" s="82" t="n">
        <x:v>0</x:v>
      </x:c>
      <x:c r="AE62" s="82" t="n">
        <x:v>0</x:v>
      </x:c>
      <x:c r="AF62" s="82" t="n">
        <x:v>0</x:v>
      </x:c>
      <x:c r="AG62" s="91" t="str">
        <x:v>要実績照合</x:v>
      </x:c>
      <x:c r="AH62" s="91" t="str">
        <x:v>現役300名補充時の脚質暫定値。パリ〜ルーベ／ロンド個人成績の追加照合が必要</x:v>
      </x:c>
      <x:c r="AI62" s="91" t="str">
        <x:v>https://www.paris-roubaix.fr/en/history</x:v>
      </x:c>
      <x:c r="AJ62" s="91" t="str">
        <x:v>能力・適性・Credit整合済</x:v>
      </x:c>
      <x:c r="AK62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2" s="91" t="str">
        <x:v>https://en.wikipedia.org/wiki/Lennert_Van_Eetvelt</x:v>
      </x:c>
    </x:row>
    <x:row r="63" ht="24" customHeight="1">
      <x:c r="A63" s="82" t="n">
        <x:v>59</x:v>
      </x:c>
      <x:c r="B63" s="82" t="str">
        <x:v>Stefan Bissegger</x:v>
      </x:c>
      <x:c r="C63" s="143" t="str"/>
      <x:c r="D63" s="82" t="str">
        <x:v>スイス</x:v>
      </x:c>
      <x:c r="E63" s="82" t="str">
        <x:v>現役</x:v>
      </x:c>
      <x:c r="F63" s="82" t="str">
        <x:v>TT・ルーラー型</x:v>
      </x:c>
      <x:c r="G63" s="82" t="str">
        <x:v>クラシック型</x:v>
      </x:c>
      <x:c r="H63" s="85" t="n">
        <x:v>79</x:v>
      </x:c>
      <x:c r="I63" s="85" t="n">
        <x:v>80</x:v>
      </x:c>
      <x:c r="J63" s="91" t="str">
        <x:v>サブエース / スーパー・ドメスティーク / TTスペシャリスト / 平坦アシスト / 平坦ペースメーカー / ブレイクアウェイキラー / ポジションキーパー</x:v>
      </x:c>
      <x:c r="K63" s="91" t="str"/>
      <x:c r="L63" s="91" t="str">
        <x:v>TT適性 / 巡航力 / 横風</x:v>
      </x:c>
      <x:c r="M63" s="88" t="n">
        <x:v>6750</x:v>
      </x:c>
      <x:c r="N63" s="85" t="n">
        <x:v>69</x:v>
      </x:c>
      <x:c r="O63" s="85" t="n">
        <x:v>68</x:v>
      </x:c>
      <x:c r="P63" s="85" t="n">
        <x:v>67</x:v>
      </x:c>
      <x:c r="Q63" s="85" t="n">
        <x:v>83</x:v>
      </x:c>
      <x:c r="R63" s="85" t="n">
        <x:v>69</x:v>
      </x:c>
      <x:c r="S63" s="85" t="n">
        <x:v>73</x:v>
      </x:c>
      <x:c r="T63" s="85" t="n">
        <x:v>73</x:v>
      </x:c>
      <x:c r="U63" s="85" t="n">
        <x:v>78</x:v>
      </x:c>
      <x:c r="V63" s="85" t="n">
        <x:v>70</x:v>
      </x:c>
      <x:c r="W63" s="85" t="n">
        <x:v>76</x:v>
      </x:c>
      <x:c r="X63" s="85" t="n">
        <x:v>69</x:v>
      </x:c>
      <x:c r="Y63" s="85" t="n">
        <x:v>69</x:v>
      </x:c>
      <x:c r="Z63" s="85" t="n">
        <x:v>81</x:v>
      </x:c>
      <x:c r="AA63" s="85" t="n">
        <x:v>67</x:v>
      </x:c>
      <x:c r="AB63" s="85" t="n">
        <x:v>66</x:v>
      </x:c>
      <x:c r="AC63" s="82" t="n">
        <x:v>8</x:v>
      </x:c>
      <x:c r="AD63" s="82" t="n">
        <x:v>1</x:v>
      </x:c>
      <x:c r="AE63" s="82" t="n">
        <x:v>1</x:v>
      </x:c>
      <x:c r="AF63" s="82" t="n">
        <x:v>0</x:v>
      </x:c>
      <x:c r="AG63" s="91" t="str">
        <x:v>結果照合済</x:v>
      </x:c>
      <x:c r="AH63" s="91" t="str">
        <x:v>最高8位 / 完走1回 / Top10 1回 / 優勝0回</x:v>
      </x:c>
      <x:c r="AI63" s="91" t="str">
        <x:v>https://bikeraceinfo.com/classics/paris-roubaix/pr2026.html</x:v>
      </x:c>
      <x:c r="AJ63" s="91" t="str">
        <x:v>能力・適性・Credit整合済</x:v>
      </x:c>
      <x:c r="AK6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3" s="91" t="str">
        <x:v>https://en.wikipedia.org/wiki/Special:Search?search=Stefan%20Bissegger%20cyclist</x:v>
      </x:c>
    </x:row>
    <x:row r="64" ht="24" customHeight="1">
      <x:c r="A64" s="82" t="n">
        <x:v>60</x:v>
      </x:c>
      <x:c r="B64" s="82" t="str">
        <x:v>Harry Sweeny</x:v>
      </x:c>
      <x:c r="C64" s="143" t="str"/>
      <x:c r="D64" s="82" t="str">
        <x:v>オーストラリア</x:v>
      </x:c>
      <x:c r="E64" s="82" t="str">
        <x:v>現役</x:v>
      </x:c>
      <x:c r="F64" s="82" t="str">
        <x:v>クラシック型</x:v>
      </x:c>
      <x:c r="G64" s="82" t="str">
        <x:v>TT・ルーラー型</x:v>
      </x:c>
      <x:c r="H64" s="85" t="n">
        <x:v>78</x:v>
      </x:c>
      <x:c r="I64" s="85" t="n">
        <x:v>79</x:v>
      </x:c>
      <x:c r="J64" s="91" t="str">
        <x:v>平坦アシスト / TT牽引 / 石畳護衛 / ブレイクアウェイキラー / 横風要員 / 逃げ屋 / ブリッジャー</x:v>
      </x:c>
      <x:c r="K64" s="91" t="str"/>
      <x:c r="L64" s="91" t="str">
        <x:v>クラシック型 / TT・ルーラー型</x:v>
      </x:c>
      <x:c r="M64" s="88" t="n">
        <x:v>8400</x:v>
      </x:c>
      <x:c r="N64" s="85" t="n">
        <x:v>77</x:v>
      </x:c>
      <x:c r="O64" s="85" t="n">
        <x:v>74</x:v>
      </x:c>
      <x:c r="P64" s="85" t="n">
        <x:v>76</x:v>
      </x:c>
      <x:c r="Q64" s="85" t="n">
        <x:v>75</x:v>
      </x:c>
      <x:c r="R64" s="85" t="n">
        <x:v>70</x:v>
      </x:c>
      <x:c r="S64" s="85" t="n">
        <x:v>80</x:v>
      </x:c>
      <x:c r="T64" s="85" t="n">
        <x:v>83</x:v>
      </x:c>
      <x:c r="U64" s="85" t="n">
        <x:v>84</x:v>
      </x:c>
      <x:c r="V64" s="85" t="n">
        <x:v>80</x:v>
      </x:c>
      <x:c r="W64" s="85" t="n">
        <x:v>78</x:v>
      </x:c>
      <x:c r="X64" s="85" t="n">
        <x:v>74</x:v>
      </x:c>
      <x:c r="Y64" s="85" t="n">
        <x:v>71</x:v>
      </x:c>
      <x:c r="Z64" s="85" t="n">
        <x:v>80</x:v>
      </x:c>
      <x:c r="AA64" s="85" t="n">
        <x:v>74</x:v>
      </x:c>
      <x:c r="AB64" s="85" t="n">
        <x:v>84</x:v>
      </x:c>
      <x:c r="AC64" s="82" t="n">
        <x:v>0</x:v>
      </x:c>
      <x:c r="AD64" s="82" t="n">
        <x:v>0</x:v>
      </x:c>
      <x:c r="AE64" s="82" t="n">
        <x:v>0</x:v>
      </x:c>
      <x:c r="AF64" s="82" t="n">
        <x:v>0</x:v>
      </x:c>
      <x:c r="AG64" s="91" t="str">
        <x:v>要実績照合</x:v>
      </x:c>
      <x:c r="AH64" s="91" t="str">
        <x:v>現役300名補充時の脚質暫定値。パリ〜ルーベ／ロンド個人成績の追加照合が必要</x:v>
      </x:c>
      <x:c r="AI64" s="91" t="str">
        <x:v>https://www.paris-roubaix.fr/en/history</x:v>
      </x:c>
      <x:c r="AJ64" s="91" t="str">
        <x:v>能力・適性・Credit整合済</x:v>
      </x:c>
      <x:c r="AK6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4" s="91" t="str">
        <x:v>https://en.wikipedia.org/wiki/Harry_Sweeny</x:v>
      </x:c>
    </x:row>
    <x:row r="65" ht="24" customHeight="1">
      <x:c r="A65" s="82" t="n">
        <x:v>61</x:v>
      </x:c>
      <x:c r="B65" s="82" t="str">
        <x:v>Jefferson Alveiro Cepeda</x:v>
      </x:c>
      <x:c r="C65" s="143" t="str"/>
      <x:c r="D65" s="82" t="str">
        <x:v>エクアドル</x:v>
      </x:c>
      <x:c r="E65" s="82" t="str">
        <x:v>現役</x:v>
      </x:c>
      <x:c r="F65" s="82" t="str">
        <x:v>クラシック型</x:v>
      </x:c>
      <x:c r="G65" s="82" t="str">
        <x:v>TT・ルーラー型</x:v>
      </x:c>
      <x:c r="H65" s="85" t="n">
        <x:v>78</x:v>
      </x:c>
      <x:c r="I65" s="85" t="n">
        <x:v>79</x:v>
      </x:c>
      <x:c r="J65" s="91" t="str">
        <x:v>平坦アシスト / TT牽引 / 石畳護衛 / 横風要員 / 逃げ屋 / 横風分断 / ポジションキーパー</x:v>
      </x:c>
      <x:c r="K65" s="91" t="str"/>
      <x:c r="L65" s="91" t="str">
        <x:v>クラシック型 / TT・ルーラー型</x:v>
      </x:c>
      <x:c r="M65" s="88" t="n">
        <x:v>7900</x:v>
      </x:c>
      <x:c r="N65" s="85" t="n">
        <x:v>74</x:v>
      </x:c>
      <x:c r="O65" s="85" t="n">
        <x:v>72</x:v>
      </x:c>
      <x:c r="P65" s="85" t="n">
        <x:v>73</x:v>
      </x:c>
      <x:c r="Q65" s="85" t="n">
        <x:v>74</x:v>
      </x:c>
      <x:c r="R65" s="85" t="n">
        <x:v>68</x:v>
      </x:c>
      <x:c r="S65" s="85" t="n">
        <x:v>80</x:v>
      </x:c>
      <x:c r="T65" s="85" t="n">
        <x:v>83</x:v>
      </x:c>
      <x:c r="U65" s="85" t="n">
        <x:v>82</x:v>
      </x:c>
      <x:c r="V65" s="85" t="n">
        <x:v>84</x:v>
      </x:c>
      <x:c r="W65" s="85" t="n">
        <x:v>76</x:v>
      </x:c>
      <x:c r="X65" s="85" t="n">
        <x:v>74</x:v>
      </x:c>
      <x:c r="Y65" s="85" t="n">
        <x:v>73</x:v>
      </x:c>
      <x:c r="Z65" s="85" t="n">
        <x:v>79</x:v>
      </x:c>
      <x:c r="AA65" s="85" t="n">
        <x:v>68</x:v>
      </x:c>
      <x:c r="AB65" s="85" t="n">
        <x:v>81</x:v>
      </x:c>
      <x:c r="AC65" s="82" t="n">
        <x:v>0</x:v>
      </x:c>
      <x:c r="AD65" s="82" t="n">
        <x:v>0</x:v>
      </x:c>
      <x:c r="AE65" s="82" t="n">
        <x:v>0</x:v>
      </x:c>
      <x:c r="AF65" s="82" t="n">
        <x:v>0</x:v>
      </x:c>
      <x:c r="AG65" s="91" t="str">
        <x:v>要実績照合</x:v>
      </x:c>
      <x:c r="AH65" s="91" t="str">
        <x:v>現役300名補充時の脚質暫定値。パリ〜ルーベ／ロンド個人成績の追加照合が必要</x:v>
      </x:c>
      <x:c r="AI65" s="91" t="str">
        <x:v>https://www.paris-roubaix.fr/en/history</x:v>
      </x:c>
      <x:c r="AJ65" s="91" t="str">
        <x:v>能力・適性・Credit整合済</x:v>
      </x:c>
      <x:c r="AK6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5" s="91" t="str">
        <x:v>https://en.wikipedia.org/wiki/Jefferson_Alveiro_Cepeda</x:v>
      </x:c>
    </x:row>
    <x:row r="66" ht="24" customHeight="1">
      <x:c r="A66" s="82" t="n">
        <x:v>62</x:v>
      </x:c>
      <x:c r="B66" s="82" t="str">
        <x:v>Gregor Mühlberger</x:v>
      </x:c>
      <x:c r="C66" s="143" t="str"/>
      <x:c r="D66" s="82" t="str">
        <x:v>オーストリア</x:v>
      </x:c>
      <x:c r="E66" s="82" t="str">
        <x:v>現役</x:v>
      </x:c>
      <x:c r="F66" s="82" t="str">
        <x:v>クライマー</x:v>
      </x:c>
      <x:c r="G66" s="82" t="str">
        <x:v>パンチャー</x:v>
      </x:c>
      <x:c r="H66" s="85" t="n">
        <x:v>78</x:v>
      </x:c>
      <x:c r="I66" s="85" t="n">
        <x:v>76</x:v>
      </x:c>
      <x:c r="J66" s="91" t="str">
        <x:v>山岳賞ハンター / 山岳アシスト / 山岳番手 / 逃げ屋 / カウンターアタッカー / ポジションキーパー</x:v>
      </x:c>
      <x:c r="K66" s="91" t="str"/>
      <x:c r="L66" s="91" t="str">
        <x:v>クライマー / パンチャー</x:v>
      </x:c>
      <x:c r="M66" s="88" t="n">
        <x:v>7800</x:v>
      </x:c>
      <x:c r="N66" s="85" t="n">
        <x:v>64</x:v>
      </x:c>
      <x:c r="O66" s="85" t="n">
        <x:v>71</x:v>
      </x:c>
      <x:c r="P66" s="85" t="n">
        <x:v>72</x:v>
      </x:c>
      <x:c r="Q66" s="85" t="n">
        <x:v>69</x:v>
      </x:c>
      <x:c r="R66" s="85" t="n">
        <x:v>84</x:v>
      </x:c>
      <x:c r="S66" s="85" t="n">
        <x:v>81</x:v>
      </x:c>
      <x:c r="T66" s="85" t="n">
        <x:v>74</x:v>
      </x:c>
      <x:c r="U66" s="85" t="n">
        <x:v>73</x:v>
      </x:c>
      <x:c r="V66" s="85" t="n">
        <x:v>73</x:v>
      </x:c>
      <x:c r="W66" s="85" t="n">
        <x:v>55</x:v>
      </x:c>
      <x:c r="X66" s="85" t="n">
        <x:v>80</x:v>
      </x:c>
      <x:c r="Y66" s="85" t="n">
        <x:v>80</x:v>
      </x:c>
      <x:c r="Z66" s="85" t="n">
        <x:v>74</x:v>
      </x:c>
      <x:c r="AA66" s="85" t="n">
        <x:v>74</x:v>
      </x:c>
      <x:c r="AB66" s="85" t="n">
        <x:v>77</x:v>
      </x:c>
      <x:c r="AC66" s="82" t="n">
        <x:v>0</x:v>
      </x:c>
      <x:c r="AD66" s="82" t="n">
        <x:v>0</x:v>
      </x:c>
      <x:c r="AE66" s="82" t="n">
        <x:v>0</x:v>
      </x:c>
      <x:c r="AF66" s="82" t="n">
        <x:v>0</x:v>
      </x:c>
      <x:c r="AG66" s="91" t="str">
        <x:v>要実績照合</x:v>
      </x:c>
      <x:c r="AH66" s="91" t="str">
        <x:v>現役300名補充時の脚質暫定値。パリ〜ルーベ／ロンド個人成績の追加照合が必要</x:v>
      </x:c>
      <x:c r="AI66" s="91" t="str">
        <x:v>https://www.paris-roubaix.fr/en/history</x:v>
      </x:c>
      <x:c r="AJ66" s="91" t="str">
        <x:v>能力・適性・Credit整合済</x:v>
      </x:c>
      <x:c r="AK66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6" s="91" t="str">
        <x:v>https://en.wikipedia.org/wiki/Gregor_M%C3%BChlberger</x:v>
      </x:c>
    </x:row>
    <x:row r="67" ht="24" customHeight="1">
      <x:c r="A67" s="82" t="n">
        <x:v>63</x:v>
      </x:c>
      <x:c r="B67" s="82" t="str">
        <x:v>Lennard Kämna</x:v>
      </x:c>
      <x:c r="C67" s="143" t="str"/>
      <x:c r="D67" s="82" t="str">
        <x:v>ドイツ</x:v>
      </x:c>
      <x:c r="E67" s="82" t="str">
        <x:v>現役</x:v>
      </x:c>
      <x:c r="F67" s="82" t="str">
        <x:v>総合型</x:v>
      </x:c>
      <x:c r="G67" s="82" t="str">
        <x:v>TT・ルーラー型</x:v>
      </x:c>
      <x:c r="H67" s="85" t="n">
        <x:v>78</x:v>
      </x:c>
      <x:c r="I67" s="85" t="n">
        <x:v>76</x:v>
      </x:c>
      <x:c r="J67" s="91" t="str">
        <x:v>山岳アシスト / TT牽引</x:v>
      </x:c>
      <x:c r="K67" s="91" t="str"/>
      <x:c r="L67" s="91" t="str">
        <x:v>総合型 / TT・ルーラー型</x:v>
      </x:c>
      <x:c r="M67" s="88" t="n">
        <x:v>7450</x:v>
      </x:c>
      <x:c r="N67" s="85" t="n">
        <x:v>67</x:v>
      </x:c>
      <x:c r="O67" s="85" t="n">
        <x:v>68</x:v>
      </x:c>
      <x:c r="P67" s="85" t="n">
        <x:v>74</x:v>
      </x:c>
      <x:c r="Q67" s="85" t="n">
        <x:v>71</x:v>
      </x:c>
      <x:c r="R67" s="85" t="n">
        <x:v>81</x:v>
      </x:c>
      <x:c r="S67" s="85" t="n">
        <x:v>83</x:v>
      </x:c>
      <x:c r="T67" s="85" t="n">
        <x:v>81</x:v>
      </x:c>
      <x:c r="U67" s="85" t="n">
        <x:v>70</x:v>
      </x:c>
      <x:c r="V67" s="85" t="n">
        <x:v>72</x:v>
      </x:c>
      <x:c r="W67" s="85" t="n">
        <x:v>62</x:v>
      </x:c>
      <x:c r="X67" s="85" t="n">
        <x:v>83</x:v>
      </x:c>
      <x:c r="Y67" s="85" t="n">
        <x:v>82</x:v>
      </x:c>
      <x:c r="Z67" s="85" t="n">
        <x:v>70</x:v>
      </x:c>
      <x:c r="AA67" s="85" t="n">
        <x:v>79</x:v>
      </x:c>
      <x:c r="AB67" s="85" t="n">
        <x:v>71</x:v>
      </x:c>
      <x:c r="AC67" s="82" t="n">
        <x:v>0</x:v>
      </x:c>
      <x:c r="AD67" s="82" t="n">
        <x:v>0</x:v>
      </x:c>
      <x:c r="AE67" s="82" t="n">
        <x:v>0</x:v>
      </x:c>
      <x:c r="AF67" s="82" t="n">
        <x:v>0</x:v>
      </x:c>
      <x:c r="AG67" s="91" t="str">
        <x:v>要実績照合</x:v>
      </x:c>
      <x:c r="AH67" s="91" t="str">
        <x:v>現役300名補充時の脚質暫定値。パリ〜ルーベ／ロンド個人成績の追加照合が必要</x:v>
      </x:c>
      <x:c r="AI67" s="91" t="str">
        <x:v>https://www.paris-roubaix.fr/en/history</x:v>
      </x:c>
      <x:c r="AJ67" s="91" t="str">
        <x:v>能力・適性・Credit整合済</x:v>
      </x:c>
      <x:c r="AK67" s="91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7" s="91" t="str">
        <x:v>https://en.wikipedia.org/wiki/Lennard_K%C3%A4mna</x:v>
      </x:c>
    </x:row>
    <x:row r="68" ht="24" customHeight="1">
      <x:c r="A68" s="82" t="n">
        <x:v>64</x:v>
      </x:c>
      <x:c r="B68" s="82" t="str">
        <x:v>Lewis Askey</x:v>
      </x:c>
      <x:c r="C68" s="143" t="str"/>
      <x:c r="D68" s="82" t="str">
        <x:v>イギリス</x:v>
      </x:c>
      <x:c r="E68" s="82" t="str">
        <x:v>現役</x:v>
      </x:c>
      <x:c r="F68" s="82" t="str">
        <x:v>総合型</x:v>
      </x:c>
      <x:c r="G68" s="82" t="str">
        <x:v>TT・ルーラー型</x:v>
      </x:c>
      <x:c r="H68" s="85" t="n">
        <x:v>78</x:v>
      </x:c>
      <x:c r="I68" s="85" t="n">
        <x:v>76</x:v>
      </x:c>
      <x:c r="J68" s="91" t="str">
        <x:v>山岳賞ハンター / 平坦アシスト / 山岳アシスト / TT牽引 / 集団コントローラー / ブレイクアウェイキラー / 超ロングスパート</x:v>
      </x:c>
      <x:c r="K68" s="91" t="str"/>
      <x:c r="L68" s="91" t="str">
        <x:v>総合型 / TT・ルーラー型</x:v>
      </x:c>
      <x:c r="M68" s="88" t="n">
        <x:v>6700</x:v>
      </x:c>
      <x:c r="N68" s="85" t="n">
        <x:v>63</x:v>
      </x:c>
      <x:c r="O68" s="85" t="n">
        <x:v>68</x:v>
      </x:c>
      <x:c r="P68" s="85" t="n">
        <x:v>72</x:v>
      </x:c>
      <x:c r="Q68" s="85" t="n">
        <x:v>74</x:v>
      </x:c>
      <x:c r="R68" s="85" t="n">
        <x:v>80</x:v>
      </x:c>
      <x:c r="S68" s="85" t="n">
        <x:v>78</x:v>
      </x:c>
      <x:c r="T68" s="85" t="n">
        <x:v>76</x:v>
      </x:c>
      <x:c r="U68" s="85" t="n">
        <x:v>70</x:v>
      </x:c>
      <x:c r="V68" s="85" t="n">
        <x:v>69</x:v>
      </x:c>
      <x:c r="W68" s="85" t="n">
        <x:v>63</x:v>
      </x:c>
      <x:c r="X68" s="85" t="n">
        <x:v>79</x:v>
      </x:c>
      <x:c r="Y68" s="85" t="n">
        <x:v>82</x:v>
      </x:c>
      <x:c r="Z68" s="85" t="n">
        <x:v>74</x:v>
      </x:c>
      <x:c r="AA68" s="85" t="n">
        <x:v>81</x:v>
      </x:c>
      <x:c r="AB68" s="85" t="n">
        <x:v>69</x:v>
      </x:c>
      <x:c r="AC68" s="82" t="n">
        <x:v>0</x:v>
      </x:c>
      <x:c r="AD68" s="82" t="n">
        <x:v>0</x:v>
      </x:c>
      <x:c r="AE68" s="82" t="n">
        <x:v>0</x:v>
      </x:c>
      <x:c r="AF68" s="82" t="n">
        <x:v>0</x:v>
      </x:c>
      <x:c r="AG68" s="91" t="str">
        <x:v>要実績照合</x:v>
      </x:c>
      <x:c r="AH68" s="91" t="str">
        <x:v>現役300名補充時の脚質暫定値。パリ〜ルーベ／ロンド個人成績の追加照合が必要</x:v>
      </x:c>
      <x:c r="AI68" s="91" t="str">
        <x:v>https://www.paris-roubaix.fr/en/history</x:v>
      </x:c>
      <x:c r="AJ68" s="91" t="str">
        <x:v>能力・適性・Credit整合済</x:v>
      </x:c>
      <x:c r="AK6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8" s="91" t="str">
        <x:v>https://en.wikipedia.org/wiki/Lewis_Askey</x:v>
      </x:c>
    </x:row>
    <x:row r="69" ht="24" customHeight="1">
      <x:c r="A69" s="82" t="n">
        <x:v>65</x:v>
      </x:c>
      <x:c r="B69" s="82" t="str">
        <x:v>Krists Neilands</x:v>
      </x:c>
      <x:c r="C69" s="143" t="str"/>
      <x:c r="D69" s="82" t="str">
        <x:v>LAT</x:v>
      </x:c>
      <x:c r="E69" s="82" t="str">
        <x:v>現役</x:v>
      </x:c>
      <x:c r="F69" s="82" t="str">
        <x:v>パンチャー</x:v>
      </x:c>
      <x:c r="G69" s="82" t="str">
        <x:v>総合型</x:v>
      </x:c>
      <x:c r="H69" s="85" t="n">
        <x:v>78</x:v>
      </x:c>
      <x:c r="I69" s="85" t="n">
        <x:v>74</x:v>
      </x:c>
      <x:c r="J69" s="91" t="str">
        <x:v>ステージハンター / 山岳賞ハンター / 集団コントローラー / 逃げ屋 / カウンターアタッカー</x:v>
      </x:c>
      <x:c r="K69" s="91" t="str"/>
      <x:c r="L69" s="91" t="str">
        <x:v>パンチャー / 総合型</x:v>
      </x:c>
      <x:c r="M69" s="88" t="n">
        <x:v>6650</x:v>
      </x:c>
      <x:c r="N69" s="85" t="n">
        <x:v>74</x:v>
      </x:c>
      <x:c r="O69" s="85" t="n">
        <x:v>83</x:v>
      </x:c>
      <x:c r="P69" s="85" t="n">
        <x:v>84</x:v>
      </x:c>
      <x:c r="Q69" s="85" t="n">
        <x:v>69</x:v>
      </x:c>
      <x:c r="R69" s="85" t="n">
        <x:v>73</x:v>
      </x:c>
      <x:c r="S69" s="85" t="n">
        <x:v>68</x:v>
      </x:c>
      <x:c r="T69" s="85" t="n">
        <x:v>69</x:v>
      </x:c>
      <x:c r="U69" s="85" t="n">
        <x:v>73</x:v>
      </x:c>
      <x:c r="V69" s="85" t="n">
        <x:v>80</x:v>
      </x:c>
      <x:c r="W69" s="85" t="n">
        <x:v>59</x:v>
      </x:c>
      <x:c r="X69" s="85" t="n">
        <x:v>73</x:v>
      </x:c>
      <x:c r="Y69" s="85" t="n">
        <x:v>74</x:v>
      </x:c>
      <x:c r="Z69" s="85" t="n">
        <x:v>73</x:v>
      </x:c>
      <x:c r="AA69" s="85" t="n">
        <x:v>76</x:v>
      </x:c>
      <x:c r="AB69" s="85" t="n">
        <x:v>75</x:v>
      </x:c>
      <x:c r="AC69" s="82" t="n">
        <x:v>0</x:v>
      </x:c>
      <x:c r="AD69" s="82" t="n">
        <x:v>0</x:v>
      </x:c>
      <x:c r="AE69" s="82" t="n">
        <x:v>0</x:v>
      </x:c>
      <x:c r="AF69" s="82" t="n">
        <x:v>0</x:v>
      </x:c>
      <x:c r="AG69" s="91" t="str">
        <x:v>要実績照合</x:v>
      </x:c>
      <x:c r="AH69" s="91" t="str">
        <x:v>現役300名補充時の脚質暫定値。パリ〜ルーベ／ロンド個人成績の追加照合が必要</x:v>
      </x:c>
      <x:c r="AI69" s="91" t="str">
        <x:v>https://www.paris-roubaix.fr/en/history</x:v>
      </x:c>
      <x:c r="AJ69" s="91" t="str">
        <x:v>能力・適性・Credit整合済</x:v>
      </x:c>
      <x:c r="AK6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69" s="91" t="str">
        <x:v>https://en.wikipedia.org/wiki/Krists_Neilands</x:v>
      </x:c>
    </x:row>
    <x:row r="70" ht="24" customHeight="1">
      <x:c r="A70" s="82" t="n">
        <x:v>66</x:v>
      </x:c>
      <x:c r="B70" s="82" t="str">
        <x:v>Alexey Lutsenko</x:v>
      </x:c>
      <x:c r="C70" s="143" t="str"/>
      <x:c r="D70" s="82" t="str">
        <x:v>カザフスタン</x:v>
      </x:c>
      <x:c r="E70" s="82" t="str">
        <x:v>現役</x:v>
      </x:c>
      <x:c r="F70" s="82" t="str">
        <x:v>パンチャー</x:v>
      </x:c>
      <x:c r="G70" s="82" t="str">
        <x:v>クラシック型</x:v>
      </x:c>
      <x:c r="H70" s="85" t="n">
        <x:v>78</x:v>
      </x:c>
      <x:c r="I70" s="85" t="n">
        <x:v>73</x:v>
      </x:c>
      <x:c r="J70" s="91" t="str">
        <x:v>ステージハンター / 逃げ屋 / ブリッジャー / カウンターアタッカー</x:v>
      </x:c>
      <x:c r="K70" s="91" t="str"/>
      <x:c r="L70" s="91" t="str">
        <x:v>パンチャー / クラシック型</x:v>
      </x:c>
      <x:c r="M70" s="88" t="n">
        <x:v>6600</x:v>
      </x:c>
      <x:c r="N70" s="85" t="n">
        <x:v>75</x:v>
      </x:c>
      <x:c r="O70" s="85" t="n">
        <x:v>81</x:v>
      </x:c>
      <x:c r="P70" s="85" t="n">
        <x:v>84</x:v>
      </x:c>
      <x:c r="Q70" s="85" t="n">
        <x:v>71</x:v>
      </x:c>
      <x:c r="R70" s="85" t="n">
        <x:v>73</x:v>
      </x:c>
      <x:c r="S70" s="85" t="n">
        <x:v>70</x:v>
      </x:c>
      <x:c r="T70" s="85" t="n">
        <x:v>72</x:v>
      </x:c>
      <x:c r="U70" s="85" t="n">
        <x:v>73</x:v>
      </x:c>
      <x:c r="V70" s="85" t="n">
        <x:v>76</x:v>
      </x:c>
      <x:c r="W70" s="85" t="n">
        <x:v>63</x:v>
      </x:c>
      <x:c r="X70" s="85" t="n">
        <x:v>73</x:v>
      </x:c>
      <x:c r="Y70" s="85" t="n">
        <x:v>71</x:v>
      </x:c>
      <x:c r="Z70" s="85" t="n">
        <x:v>71</x:v>
      </x:c>
      <x:c r="AA70" s="85" t="n">
        <x:v>76</x:v>
      </x:c>
      <x:c r="AB70" s="85" t="n">
        <x:v>76</x:v>
      </x:c>
      <x:c r="AC70" s="82" t="n">
        <x:v>0</x:v>
      </x:c>
      <x:c r="AD70" s="82" t="n">
        <x:v>0</x:v>
      </x:c>
      <x:c r="AE70" s="82" t="n">
        <x:v>0</x:v>
      </x:c>
      <x:c r="AF70" s="82" t="n">
        <x:v>0</x:v>
      </x:c>
      <x:c r="AG70" s="91" t="str">
        <x:v>要実績照合</x:v>
      </x:c>
      <x:c r="AH70" s="91" t="str">
        <x:v>現役300名補充時の脚質暫定値。パリ〜ルーベ／ロンド個人成績の追加照合が必要</x:v>
      </x:c>
      <x:c r="AI70" s="91" t="str">
        <x:v>https://www.paris-roubaix.fr/en/history</x:v>
      </x:c>
      <x:c r="AJ70" s="91" t="str">
        <x:v>能力・適性・Credit整合済</x:v>
      </x:c>
      <x:c r="AK70" s="91" t="str">
        <x:v>公開プロフィール脚質「Roul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0" s="91" t="str">
        <x:v>https://en.wikipedia.org/wiki/Alexey_Lutsenko</x:v>
      </x:c>
    </x:row>
    <x:row r="71" ht="24" customHeight="1">
      <x:c r="A71" s="82" t="n">
        <x:v>67</x:v>
      </x:c>
      <x:c r="B71" s="82" t="str">
        <x:v>Carlos Rodríguez (cyclist)</x:v>
      </x:c>
      <x:c r="C71" s="143" t="str"/>
      <x:c r="D71" s="82" t="str">
        <x:v>スペイン</x:v>
      </x:c>
      <x:c r="E71" s="82" t="str">
        <x:v>現役</x:v>
      </x:c>
      <x:c r="F71" s="82" t="str">
        <x:v>総合型</x:v>
      </x:c>
      <x:c r="G71" s="82" t="str">
        <x:v>スプリンター</x:v>
      </x:c>
      <x:c r="H71" s="85" t="n">
        <x:v>77</x:v>
      </x:c>
      <x:c r="I71" s="85" t="n">
        <x:v>77</x:v>
      </x:c>
      <x:c r="J71" s="91" t="str">
        <x:v>スプリントトレイン / 平坦アシスト / 山岳アシスト / 山岳番手 / 超ロングスパート / ポジションキーパー</x:v>
      </x:c>
      <x:c r="K71" s="91" t="str"/>
      <x:c r="L71" s="91" t="str">
        <x:v>総合型 / スプリンター</x:v>
      </x:c>
      <x:c r="M71" s="88" t="n">
        <x:v>7400</x:v>
      </x:c>
      <x:c r="N71" s="85" t="n">
        <x:v>68</x:v>
      </x:c>
      <x:c r="O71" s="85" t="n">
        <x:v>68</x:v>
      </x:c>
      <x:c r="P71" s="85" t="n">
        <x:v>72</x:v>
      </x:c>
      <x:c r="Q71" s="85" t="n">
        <x:v>73</x:v>
      </x:c>
      <x:c r="R71" s="85" t="n">
        <x:v>81</x:v>
      </x:c>
      <x:c r="S71" s="85" t="n">
        <x:v>83</x:v>
      </x:c>
      <x:c r="T71" s="85" t="n">
        <x:v>81</x:v>
      </x:c>
      <x:c r="U71" s="85" t="n">
        <x:v>73</x:v>
      </x:c>
      <x:c r="V71" s="85" t="n">
        <x:v>74</x:v>
      </x:c>
      <x:c r="W71" s="85" t="n">
        <x:v>57</x:v>
      </x:c>
      <x:c r="X71" s="85" t="n">
        <x:v>83</x:v>
      </x:c>
      <x:c r="Y71" s="85" t="n">
        <x:v>83</x:v>
      </x:c>
      <x:c r="Z71" s="85" t="n">
        <x:v>70</x:v>
      </x:c>
      <x:c r="AA71" s="85" t="n">
        <x:v>74</x:v>
      </x:c>
      <x:c r="AB71" s="85" t="n">
        <x:v>73</x:v>
      </x:c>
      <x:c r="AC71" s="82" t="n">
        <x:v>0</x:v>
      </x:c>
      <x:c r="AD71" s="82" t="n">
        <x:v>0</x:v>
      </x:c>
      <x:c r="AE71" s="82" t="n">
        <x:v>0</x:v>
      </x:c>
      <x:c r="AF71" s="82" t="n">
        <x:v>0</x:v>
      </x:c>
      <x:c r="AG71" s="91" t="str">
        <x:v>要実績照合</x:v>
      </x:c>
      <x:c r="AH71" s="91" t="str">
        <x:v>現役300名補充時の脚質暫定値。パリ〜ルーベ／ロンド個人成績の追加照合が必要</x:v>
      </x:c>
      <x:c r="AI71" s="91" t="str">
        <x:v>https://www.paris-roubaix.fr/en/history</x:v>
      </x:c>
      <x:c r="AJ71" s="91" t="str">
        <x:v>能力・適性・Credit整合済</x:v>
      </x:c>
      <x:c r="AK7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1" s="91" t="str">
        <x:v>https://en.wikipedia.org/wiki/Carlos_Rodr%C3%ADguez_(cyclist)</x:v>
      </x:c>
    </x:row>
    <x:row r="72" ht="24" customHeight="1">
      <x:c r="A72" s="82" t="n">
        <x:v>68</x:v>
      </x:c>
      <x:c r="B72" s="82" t="str">
        <x:v>Nairo Quintana</x:v>
      </x:c>
      <x:c r="C72" s="143" t="str">
        <x:v>アンデスの鷹</x:v>
      </x:c>
      <x:c r="D72" s="82" t="str">
        <x:v>コロンビア</x:v>
      </x:c>
      <x:c r="E72" s="82" t="str">
        <x:v>現役</x:v>
      </x:c>
      <x:c r="F72" s="82" t="str">
        <x:v>クライマー</x:v>
      </x:c>
      <x:c r="G72" s="82" t="str">
        <x:v>パンチャー</x:v>
      </x:c>
      <x:c r="H72" s="85" t="n">
        <x:v>77</x:v>
      </x:c>
      <x:c r="I72" s="85" t="n">
        <x:v>70</x:v>
      </x:c>
      <x:c r="J72" s="91" t="str">
        <x:v>エース / 山岳賞ハンター / 山岳アシスト</x:v>
      </x:c>
      <x:c r="K72" s="91" t="str"/>
      <x:c r="L72" s="91" t="str">
        <x:v>山岳耐久 / 反復加速</x:v>
      </x:c>
      <x:c r="M72" s="88" t="n">
        <x:v>6950</x:v>
      </x:c>
      <x:c r="N72" s="85" t="n">
        <x:v>59</x:v>
      </x:c>
      <x:c r="O72" s="85" t="n">
        <x:v>71</x:v>
      </x:c>
      <x:c r="P72" s="85" t="n">
        <x:v>72</x:v>
      </x:c>
      <x:c r="Q72" s="85" t="n">
        <x:v>68</x:v>
      </x:c>
      <x:c r="R72" s="85" t="n">
        <x:v>82</x:v>
      </x:c>
      <x:c r="S72" s="85" t="n">
        <x:v>77</x:v>
      </x:c>
      <x:c r="T72" s="85" t="n">
        <x:v>74</x:v>
      </x:c>
      <x:c r="U72" s="85" t="n">
        <x:v>67</x:v>
      </x:c>
      <x:c r="V72" s="85" t="n">
        <x:v>69</x:v>
      </x:c>
      <x:c r="W72" s="85" t="n">
        <x:v>50</x:v>
      </x:c>
      <x:c r="X72" s="85" t="n">
        <x:v>78</x:v>
      </x:c>
      <x:c r="Y72" s="85" t="n">
        <x:v>78</x:v>
      </x:c>
      <x:c r="Z72" s="85" t="n">
        <x:v>69</x:v>
      </x:c>
      <x:c r="AA72" s="85" t="n">
        <x:v>73</x:v>
      </x:c>
      <x:c r="AB72" s="85" t="n">
        <x:v>73</x:v>
      </x:c>
      <x:c r="AC72" s="82" t="n">
        <x:v>0</x:v>
      </x:c>
      <x:c r="AD72" s="82" t="n">
        <x:v>0</x:v>
      </x:c>
      <x:c r="AE72" s="82" t="n">
        <x:v>0</x:v>
      </x:c>
      <x:c r="AF72" s="82" t="n">
        <x:v>0</x:v>
      </x:c>
      <x:c r="AG72" s="91" t="str">
        <x:v>要出走確認</x:v>
      </x:c>
      <x:c r="AH72" s="91" t="str">
        <x:v>1960〜2026完走順位との一致なし。未出走または表記差を要確認</x:v>
      </x:c>
      <x:c r="AI72" s="91" t="str">
        <x:v>https://bikeraceinfo.com/classics/paris-roubaix/paris-roubaix-index.html</x:v>
      </x:c>
      <x:c r="AJ72" s="91" t="str">
        <x:v>能力・適性・Credit整合済</x:v>
      </x:c>
      <x:c r="AK72" s="91" t="str">
        <x:v>世界選手権ロード・個人TT表彰台実績を補正後、能力別順位上限を適用（85は各能力最大2名・1選手最大2項目）。パヴェはパリ〜ルーベ主基準・ロンド優勝を加点＋最低保証。手動調整: Nairo Quintanaのエース適性を77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2" s="91" t="str">
        <x:v>https://en.wikipedia.org/wiki/Special:Search?search=Nairo%20Quintana%20cyclist</x:v>
      </x:c>
    </x:row>
    <x:row r="73" ht="24" customHeight="1">
      <x:c r="A73" s="82" t="n">
        <x:v>69</x:v>
      </x:c>
      <x:c r="B73" s="82" t="str">
        <x:v>Andreas Leknessund</x:v>
      </x:c>
      <x:c r="C73" s="143" t="str"/>
      <x:c r="D73" s="82" t="str">
        <x:v>ノルウェー</x:v>
      </x:c>
      <x:c r="E73" s="82" t="str">
        <x:v>現役</x:v>
      </x:c>
      <x:c r="F73" s="82" t="str">
        <x:v>総合型</x:v>
      </x:c>
      <x:c r="G73" s="82" t="str">
        <x:v>クラシック型</x:v>
      </x:c>
      <x:c r="H73" s="85" t="n">
        <x:v>77</x:v>
      </x:c>
      <x:c r="I73" s="85" t="n">
        <x:v>76</x:v>
      </x:c>
      <x:c r="J73" s="91" t="str">
        <x:v>平坦アシスト / 山岳アシスト / 山岳番手 / TT牽引 / 横風要員 / 逃げ屋 / 超ロングスパート</x:v>
      </x:c>
      <x:c r="K73" s="91" t="str"/>
      <x:c r="L73" s="91" t="str">
        <x:v>総合型 / クラシック型</x:v>
      </x:c>
      <x:c r="M73" s="88" t="n">
        <x:v>6900</x:v>
      </x:c>
      <x:c r="N73" s="85" t="n">
        <x:v>70</x:v>
      </x:c>
      <x:c r="O73" s="85" t="n">
        <x:v>69</x:v>
      </x:c>
      <x:c r="P73" s="85" t="n">
        <x:v>73</x:v>
      </x:c>
      <x:c r="Q73" s="85" t="n">
        <x:v>74</x:v>
      </x:c>
      <x:c r="R73" s="85" t="n">
        <x:v>77</x:v>
      </x:c>
      <x:c r="S73" s="85" t="n">
        <x:v>83</x:v>
      </x:c>
      <x:c r="T73" s="85" t="n">
        <x:v>80</x:v>
      </x:c>
      <x:c r="U73" s="85" t="n">
        <x:v>70</x:v>
      </x:c>
      <x:c r="V73" s="85" t="n">
        <x:v>69</x:v>
      </x:c>
      <x:c r="W73" s="85" t="n">
        <x:v>56</x:v>
      </x:c>
      <x:c r="X73" s="85" t="n">
        <x:v>82</x:v>
      </x:c>
      <x:c r="Y73" s="85" t="n">
        <x:v>83</x:v>
      </x:c>
      <x:c r="Z73" s="85" t="n">
        <x:v>74</x:v>
      </x:c>
      <x:c r="AA73" s="85" t="n">
        <x:v>74</x:v>
      </x:c>
      <x:c r="AB73" s="85" t="n">
        <x:v>73</x:v>
      </x:c>
      <x:c r="AC73" s="82" t="n">
        <x:v>0</x:v>
      </x:c>
      <x:c r="AD73" s="82" t="n">
        <x:v>0</x:v>
      </x:c>
      <x:c r="AE73" s="82" t="n">
        <x:v>0</x:v>
      </x:c>
      <x:c r="AF73" s="82" t="n">
        <x:v>0</x:v>
      </x:c>
      <x:c r="AG73" s="91" t="str">
        <x:v>要実績照合</x:v>
      </x:c>
      <x:c r="AH73" s="91" t="str">
        <x:v>現役300名補充時の脚質暫定値。パリ〜ルーベ／ロンド個人成績の追加照合が必要</x:v>
      </x:c>
      <x:c r="AI73" s="91" t="str">
        <x:v>https://www.paris-roubaix.fr/en/history</x:v>
      </x:c>
      <x:c r="AJ73" s="91" t="str">
        <x:v>能力・適性・Credit整合済</x:v>
      </x:c>
      <x:c r="AK73" s="91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3" s="91" t="str">
        <x:v>https://en.wikipedia.org/wiki/Andreas_Leknessund</x:v>
      </x:c>
    </x:row>
    <x:row r="74" ht="24" customHeight="1">
      <x:c r="A74" s="82" t="n">
        <x:v>70</x:v>
      </x:c>
      <x:c r="B74" s="82" t="str">
        <x:v>Aleksandr Vlasov (cyclist)</x:v>
      </x:c>
      <x:c r="C74" s="143" t="str"/>
      <x:c r="D74" s="82" t="str">
        <x:v>RUS</x:v>
      </x:c>
      <x:c r="E74" s="82" t="str">
        <x:v>現役</x:v>
      </x:c>
      <x:c r="F74" s="82" t="str">
        <x:v>総合型</x:v>
      </x:c>
      <x:c r="G74" s="82" t="str">
        <x:v>クライマー</x:v>
      </x:c>
      <x:c r="H74" s="85" t="n">
        <x:v>77</x:v>
      </x:c>
      <x:c r="I74" s="85" t="n">
        <x:v>76</x:v>
      </x:c>
      <x:c r="J74" s="91" t="str">
        <x:v>山岳賞ハンター / 山岳アシスト / ブリッジャー</x:v>
      </x:c>
      <x:c r="K74" s="91" t="str"/>
      <x:c r="L74" s="91" t="str">
        <x:v>総合型 / クライマー</x:v>
      </x:c>
      <x:c r="M74" s="88" t="n">
        <x:v>6850</x:v>
      </x:c>
      <x:c r="N74" s="85" t="n">
        <x:v>69</x:v>
      </x:c>
      <x:c r="O74" s="85" t="n">
        <x:v>71</x:v>
      </x:c>
      <x:c r="P74" s="85" t="n">
        <x:v>72</x:v>
      </x:c>
      <x:c r="Q74" s="85" t="n">
        <x:v>71</x:v>
      </x:c>
      <x:c r="R74" s="85" t="n">
        <x:v>80</x:v>
      </x:c>
      <x:c r="S74" s="85" t="n">
        <x:v>82</x:v>
      </x:c>
      <x:c r="T74" s="85" t="n">
        <x:v>80</x:v>
      </x:c>
      <x:c r="U74" s="85" t="n">
        <x:v>70</x:v>
      </x:c>
      <x:c r="V74" s="85" t="n">
        <x:v>73</x:v>
      </x:c>
      <x:c r="W74" s="85" t="n">
        <x:v>58</x:v>
      </x:c>
      <x:c r="X74" s="85" t="n">
        <x:v>80</x:v>
      </x:c>
      <x:c r="Y74" s="85" t="n">
        <x:v>82</x:v>
      </x:c>
      <x:c r="Z74" s="85" t="n">
        <x:v>69</x:v>
      </x:c>
      <x:c r="AA74" s="85" t="n">
        <x:v>82</x:v>
      </x:c>
      <x:c r="AB74" s="85" t="n">
        <x:v>73</x:v>
      </x:c>
      <x:c r="AC74" s="82" t="n">
        <x:v>0</x:v>
      </x:c>
      <x:c r="AD74" s="82" t="n">
        <x:v>0</x:v>
      </x:c>
      <x:c r="AE74" s="82" t="n">
        <x:v>0</x:v>
      </x:c>
      <x:c r="AF74" s="82" t="n">
        <x:v>0</x:v>
      </x:c>
      <x:c r="AG74" s="91" t="str">
        <x:v>要実績照合</x:v>
      </x:c>
      <x:c r="AH74" s="91" t="str">
        <x:v>現役300名補充時の脚質暫定値。パリ〜ルーベ／ロンド個人成績の追加照合が必要</x:v>
      </x:c>
      <x:c r="AI74" s="91" t="str">
        <x:v>https://www.paris-roubaix.fr/en/history</x:v>
      </x:c>
      <x:c r="AJ74" s="91" t="str">
        <x:v>能力・適性・Credit整合済</x:v>
      </x:c>
      <x:c r="AK74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4" s="91" t="str">
        <x:v>https://en.wikipedia.org/wiki/Aleksandr_Vlasov_(cyclist)</x:v>
      </x:c>
    </x:row>
    <x:row r="75" ht="24" customHeight="1">
      <x:c r="A75" s="82" t="n">
        <x:v>71</x:v>
      </x:c>
      <x:c r="B75" s="82" t="str">
        <x:v>Carl-Frederik Bévort</x:v>
      </x:c>
      <x:c r="C75" s="143" t="str"/>
      <x:c r="D75" s="82" t="str">
        <x:v>デンマーク</x:v>
      </x:c>
      <x:c r="E75" s="82" t="str">
        <x:v>現役</x:v>
      </x:c>
      <x:c r="F75" s="82" t="str">
        <x:v>クラシック型</x:v>
      </x:c>
      <x:c r="G75" s="82" t="str">
        <x:v>パンチャー</x:v>
      </x:c>
      <x:c r="H75" s="85" t="n">
        <x:v>77</x:v>
      </x:c>
      <x:c r="I75" s="85" t="n">
        <x:v>75</x:v>
      </x:c>
      <x:c r="J75" s="91" t="str">
        <x:v>ステージハンター / 石畳護衛 / ブレイクアウェイキラー / 横風要員 / 逃げ屋 / ポジションキーパー</x:v>
      </x:c>
      <x:c r="K75" s="91" t="str"/>
      <x:c r="L75" s="91" t="str">
        <x:v>クラシック型 / パンチャー</x:v>
      </x:c>
      <x:c r="M75" s="88" t="n">
        <x:v>6500</x:v>
      </x:c>
      <x:c r="N75" s="85" t="n">
        <x:v>75</x:v>
      </x:c>
      <x:c r="O75" s="85" t="n">
        <x:v>72</x:v>
      </x:c>
      <x:c r="P75" s="85" t="n">
        <x:v>76</x:v>
      </x:c>
      <x:c r="Q75" s="85" t="n">
        <x:v>75</x:v>
      </x:c>
      <x:c r="R75" s="85" t="n">
        <x:v>70</x:v>
      </x:c>
      <x:c r="S75" s="85" t="n">
        <x:v>72</x:v>
      </x:c>
      <x:c r="T75" s="85" t="n">
        <x:v>78</x:v>
      </x:c>
      <x:c r="U75" s="85" t="n">
        <x:v>78</x:v>
      </x:c>
      <x:c r="V75" s="85" t="n">
        <x:v>82</x:v>
      </x:c>
      <x:c r="W75" s="85" t="n">
        <x:v>74</x:v>
      </x:c>
      <x:c r="X75" s="85" t="n">
        <x:v>69</x:v>
      </x:c>
      <x:c r="Y75" s="85" t="n">
        <x:v>70</x:v>
      </x:c>
      <x:c r="Z75" s="85" t="n">
        <x:v>75</x:v>
      </x:c>
      <x:c r="AA75" s="85" t="n">
        <x:v>73</x:v>
      </x:c>
      <x:c r="AB75" s="85" t="n">
        <x:v>79</x:v>
      </x:c>
      <x:c r="AC75" s="82" t="n">
        <x:v>0</x:v>
      </x:c>
      <x:c r="AD75" s="82" t="n">
        <x:v>0</x:v>
      </x:c>
      <x:c r="AE75" s="82" t="n">
        <x:v>0</x:v>
      </x:c>
      <x:c r="AF75" s="82" t="n">
        <x:v>0</x:v>
      </x:c>
      <x:c r="AG75" s="91" t="str">
        <x:v>要実績照合</x:v>
      </x:c>
      <x:c r="AH75" s="91" t="str">
        <x:v>現役300名補充時の脚質暫定値。パリ〜ルーベ／ロンド個人成績の追加照合が必要</x:v>
      </x:c>
      <x:c r="AI75" s="91" t="str">
        <x:v>https://www.paris-roubaix.fr/en/history</x:v>
      </x:c>
      <x:c r="AJ75" s="91" t="str">
        <x:v>能力・適性・Credit整合済</x:v>
      </x:c>
      <x:c r="AK7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5" s="91" t="str">
        <x:v>https://en.wikipedia.org/wiki/Carl-Frederik_B%C3%A9vort</x:v>
      </x:c>
    </x:row>
    <x:row r="76" ht="24" customHeight="1">
      <x:c r="A76" s="82" t="n">
        <x:v>72</x:v>
      </x:c>
      <x:c r="B76" s="82" t="str">
        <x:v>Frits Biesterbos</x:v>
      </x:c>
      <x:c r="C76" s="143" t="str"/>
      <x:c r="D76" s="82" t="str">
        <x:v>オランダ</x:v>
      </x:c>
      <x:c r="E76" s="82" t="str">
        <x:v>現役</x:v>
      </x:c>
      <x:c r="F76" s="82" t="str">
        <x:v>クライマー</x:v>
      </x:c>
      <x:c r="G76" s="82" t="str">
        <x:v>パンチャー</x:v>
      </x:c>
      <x:c r="H76" s="85" t="n">
        <x:v>77</x:v>
      </x:c>
      <x:c r="I76" s="85" t="n">
        <x:v>75</x:v>
      </x:c>
      <x:c r="J76" s="91" t="str">
        <x:v>山岳賞ハンター / 山岳アシスト</x:v>
      </x:c>
      <x:c r="K76" s="91" t="str"/>
      <x:c r="L76" s="91" t="str">
        <x:v>クライマー / パンチャー</x:v>
      </x:c>
      <x:c r="M76" s="88" t="n">
        <x:v>6500</x:v>
      </x:c>
      <x:c r="N76" s="85" t="n">
        <x:v>57</x:v>
      </x:c>
      <x:c r="O76" s="85" t="n">
        <x:v>69</x:v>
      </x:c>
      <x:c r="P76" s="85" t="n">
        <x:v>70</x:v>
      </x:c>
      <x:c r="Q76" s="85" t="n">
        <x:v>66</x:v>
      </x:c>
      <x:c r="R76" s="85" t="n">
        <x:v>83</x:v>
      </x:c>
      <x:c r="S76" s="85" t="n">
        <x:v>75</x:v>
      </x:c>
      <x:c r="T76" s="85" t="n">
        <x:v>76</x:v>
      </x:c>
      <x:c r="U76" s="85" t="n">
        <x:v>65</x:v>
      </x:c>
      <x:c r="V76" s="85" t="n">
        <x:v>68</x:v>
      </x:c>
      <x:c r="W76" s="85" t="n">
        <x:v>55</x:v>
      </x:c>
      <x:c r="X76" s="85" t="n">
        <x:v>77</x:v>
      </x:c>
      <x:c r="Y76" s="85" t="n">
        <x:v>79</x:v>
      </x:c>
      <x:c r="Z76" s="85" t="n">
        <x:v>71</x:v>
      </x:c>
      <x:c r="AA76" s="85" t="n">
        <x:v>68</x:v>
      </x:c>
      <x:c r="AB76" s="85" t="n">
        <x:v>76</x:v>
      </x:c>
      <x:c r="AC76" s="82" t="n">
        <x:v>0</x:v>
      </x:c>
      <x:c r="AD76" s="82" t="n">
        <x:v>0</x:v>
      </x:c>
      <x:c r="AE76" s="82" t="n">
        <x:v>0</x:v>
      </x:c>
      <x:c r="AF76" s="82" t="n">
        <x:v>0</x:v>
      </x:c>
      <x:c r="AG76" s="91" t="str">
        <x:v>要実績照合</x:v>
      </x:c>
      <x:c r="AH76" s="91" t="str">
        <x:v>現役300名補充時の脚質暫定値。パリ〜ルーベ／ロンド個人成績の追加照合が必要</x:v>
      </x:c>
      <x:c r="AI76" s="91" t="str">
        <x:v>https://www.paris-roubaix.fr/en/history</x:v>
      </x:c>
      <x:c r="AJ76" s="91" t="str">
        <x:v>能力・適性・Credit整合済</x:v>
      </x:c>
      <x:c r="AK7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6" s="91" t="str">
        <x:v>https://en.wikipedia.org/wiki/Frits_Biesterbos</x:v>
      </x:c>
    </x:row>
    <x:row r="77" ht="24" customHeight="1">
      <x:c r="A77" s="82" t="n">
        <x:v>73</x:v>
      </x:c>
      <x:c r="B77" s="82" t="str">
        <x:v>Ethan Vernon</x:v>
      </x:c>
      <x:c r="C77" s="143" t="str"/>
      <x:c r="D77" s="82" t="str">
        <x:v>イギリス</x:v>
      </x:c>
      <x:c r="E77" s="82" t="str">
        <x:v>現役</x:v>
      </x:c>
      <x:c r="F77" s="82" t="str">
        <x:v>スプリンター</x:v>
      </x:c>
      <x:c r="G77" s="82" t="str">
        <x:v>クラシック型</x:v>
      </x:c>
      <x:c r="H77" s="85" t="n">
        <x:v>77</x:v>
      </x:c>
      <x:c r="I77" s="85" t="n">
        <x:v>72</x:v>
      </x:c>
      <x:c r="J77" s="91" t="str">
        <x:v>リードアウト / 最終発射台 / 逃げ屋 / 超ロングスパート / ブリッジャー / 無賃乗車</x:v>
      </x:c>
      <x:c r="K77" s="91" t="str"/>
      <x:c r="L77" s="91" t="str">
        <x:v>スプリンター / クラシック型</x:v>
      </x:c>
      <x:c r="M77" s="88" t="n">
        <x:v>6300</x:v>
      </x:c>
      <x:c r="N77" s="85" t="n">
        <x:v>81</x:v>
      </x:c>
      <x:c r="O77" s="85" t="n">
        <x:v>80</x:v>
      </x:c>
      <x:c r="P77" s="85" t="n">
        <x:v>69</x:v>
      </x:c>
      <x:c r="Q77" s="85" t="n">
        <x:v>78</x:v>
      </x:c>
      <x:c r="R77" s="85" t="n">
        <x:v>60</x:v>
      </x:c>
      <x:c r="S77" s="85" t="n">
        <x:v>69</x:v>
      </x:c>
      <x:c r="T77" s="85" t="n">
        <x:v>70</x:v>
      </x:c>
      <x:c r="U77" s="85" t="n">
        <x:v>72</x:v>
      </x:c>
      <x:c r="V77" s="85" t="n">
        <x:v>71</x:v>
      </x:c>
      <x:c r="W77" s="85" t="n">
        <x:v>58</x:v>
      </x:c>
      <x:c r="X77" s="85" t="n">
        <x:v>73</x:v>
      </x:c>
      <x:c r="Y77" s="85" t="n">
        <x:v>70</x:v>
      </x:c>
      <x:c r="Z77" s="85" t="n">
        <x:v>68</x:v>
      </x:c>
      <x:c r="AA77" s="85" t="n">
        <x:v>75</x:v>
      </x:c>
      <x:c r="AB77" s="85" t="n">
        <x:v>71</x:v>
      </x:c>
      <x:c r="AC77" s="82" t="n">
        <x:v>0</x:v>
      </x:c>
      <x:c r="AD77" s="82" t="n">
        <x:v>0</x:v>
      </x:c>
      <x:c r="AE77" s="82" t="n">
        <x:v>0</x:v>
      </x:c>
      <x:c r="AF77" s="82" t="n">
        <x:v>0</x:v>
      </x:c>
      <x:c r="AG77" s="91" t="str">
        <x:v>要実績照合</x:v>
      </x:c>
      <x:c r="AH77" s="91" t="str">
        <x:v>現役300名補充時の脚質暫定値。パリ〜ルーベ／ロンド個人成績の追加照合が必要</x:v>
      </x:c>
      <x:c r="AI77" s="91" t="str">
        <x:v>https://www.paris-roubaix.fr/en/history</x:v>
      </x:c>
      <x:c r="AJ77" s="91" t="str">
        <x:v>能力・適性・Credit整合済</x:v>
      </x:c>
      <x:c r="AK77" s="91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7" s="91" t="str">
        <x:v>https://en.wikipedia.org/wiki/Ethan_Vernon</x:v>
      </x:c>
    </x:row>
    <x:row r="78" ht="24" customHeight="1">
      <x:c r="A78" s="82" t="n">
        <x:v>74</x:v>
      </x:c>
      <x:c r="B78" s="82" t="str">
        <x:v>Hugo Hofstetter</x:v>
      </x:c>
      <x:c r="C78" s="143" t="str"/>
      <x:c r="D78" s="82" t="str">
        <x:v>フランス</x:v>
      </x:c>
      <x:c r="E78" s="82" t="str">
        <x:v>現役</x:v>
      </x:c>
      <x:c r="F78" s="82" t="str">
        <x:v>スプリンター</x:v>
      </x:c>
      <x:c r="G78" s="82" t="str">
        <x:v>総合型</x:v>
      </x:c>
      <x:c r="H78" s="85" t="n">
        <x:v>77</x:v>
      </x:c>
      <x:c r="I78" s="85" t="n">
        <x:v>71</x:v>
      </x:c>
      <x:c r="J78" s="91" t="str">
        <x:v>リードアウト / 最終発射台 / スプリントトレイン / 集団コントローラー</x:v>
      </x:c>
      <x:c r="K78" s="91" t="str"/>
      <x:c r="L78" s="91" t="str">
        <x:v>スプリンター / 総合型</x:v>
      </x:c>
      <x:c r="M78" s="88" t="n">
        <x:v>6150</x:v>
      </x:c>
      <x:c r="N78" s="85" t="n">
        <x:v>84</x:v>
      </x:c>
      <x:c r="O78" s="85" t="n">
        <x:v>78</x:v>
      </x:c>
      <x:c r="P78" s="85" t="n">
        <x:v>70</x:v>
      </x:c>
      <x:c r="Q78" s="85" t="n">
        <x:v>74</x:v>
      </x:c>
      <x:c r="R78" s="85" t="n">
        <x:v>64</x:v>
      </x:c>
      <x:c r="S78" s="85" t="n">
        <x:v>66</x:v>
      </x:c>
      <x:c r="T78" s="85" t="n">
        <x:v>69</x:v>
      </x:c>
      <x:c r="U78" s="85" t="n">
        <x:v>69</x:v>
      </x:c>
      <x:c r="V78" s="85" t="n">
        <x:v>70</x:v>
      </x:c>
      <x:c r="W78" s="85" t="n">
        <x:v>62</x:v>
      </x:c>
      <x:c r="X78" s="85" t="n">
        <x:v>72</x:v>
      </x:c>
      <x:c r="Y78" s="85" t="n">
        <x:v>71</x:v>
      </x:c>
      <x:c r="Z78" s="85" t="n">
        <x:v>65</x:v>
      </x:c>
      <x:c r="AA78" s="85" t="n">
        <x:v>83</x:v>
      </x:c>
      <x:c r="AB78" s="85" t="n">
        <x:v>71</x:v>
      </x:c>
      <x:c r="AC78" s="82" t="n">
        <x:v>0</x:v>
      </x:c>
      <x:c r="AD78" s="82" t="n">
        <x:v>0</x:v>
      </x:c>
      <x:c r="AE78" s="82" t="n">
        <x:v>0</x:v>
      </x:c>
      <x:c r="AF78" s="82" t="n">
        <x:v>0</x:v>
      </x:c>
      <x:c r="AG78" s="91" t="str">
        <x:v>要実績照合</x:v>
      </x:c>
      <x:c r="AH78" s="91" t="str">
        <x:v>現役300名補充時の脚質暫定値。パリ〜ルーベ／ロンド個人成績の追加照合が必要</x:v>
      </x:c>
      <x:c r="AI78" s="91" t="str">
        <x:v>https://www.paris-roubaix.fr/en/history</x:v>
      </x:c>
      <x:c r="AJ78" s="91" t="str">
        <x:v>能力・適性・Credit整合済</x:v>
      </x:c>
      <x:c r="AK78" s="91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8" s="91" t="str">
        <x:v>https://en.wikipedia.org/wiki/Hugo_Hofstetter</x:v>
      </x:c>
    </x:row>
    <x:row r="79" ht="24" customHeight="1">
      <x:c r="A79" s="82" t="n">
        <x:v>75</x:v>
      </x:c>
      <x:c r="B79" s="82" t="str">
        <x:v>Itamar Einhorn</x:v>
      </x:c>
      <x:c r="C79" s="143" t="str"/>
      <x:c r="D79" s="82" t="str">
        <x:v>イスラエル</x:v>
      </x:c>
      <x:c r="E79" s="82" t="str">
        <x:v>現役</x:v>
      </x:c>
      <x:c r="F79" s="82" t="str">
        <x:v>スプリンター</x:v>
      </x:c>
      <x:c r="G79" s="82" t="str">
        <x:v>総合型</x:v>
      </x:c>
      <x:c r="H79" s="85" t="n">
        <x:v>77</x:v>
      </x:c>
      <x:c r="I79" s="85" t="n">
        <x:v>71</x:v>
      </x:c>
      <x:c r="J79" s="91" t="str">
        <x:v>リードアウト / 最終発射台 / スプリントトレイン / 集団コントローラー / ポジションキーパー</x:v>
      </x:c>
      <x:c r="K79" s="91" t="str"/>
      <x:c r="L79" s="91" t="str">
        <x:v>スプリンター / 総合型</x:v>
      </x:c>
      <x:c r="M79" s="88" t="n">
        <x:v>5950</x:v>
      </x:c>
      <x:c r="N79" s="85" t="n">
        <x:v>84</x:v>
      </x:c>
      <x:c r="O79" s="85" t="n">
        <x:v>77</x:v>
      </x:c>
      <x:c r="P79" s="85" t="n">
        <x:v>67</x:v>
      </x:c>
      <x:c r="Q79" s="85" t="n">
        <x:v>72</x:v>
      </x:c>
      <x:c r="R79" s="85" t="n">
        <x:v>61</x:v>
      </x:c>
      <x:c r="S79" s="85" t="n">
        <x:v>66</x:v>
      </x:c>
      <x:c r="T79" s="85" t="n">
        <x:v>67</x:v>
      </x:c>
      <x:c r="U79" s="85" t="n">
        <x:v>74</x:v>
      </x:c>
      <x:c r="V79" s="85" t="n">
        <x:v>75</x:v>
      </x:c>
      <x:c r="W79" s="85" t="n">
        <x:v>60</x:v>
      </x:c>
      <x:c r="X79" s="85" t="n">
        <x:v>67</x:v>
      </x:c>
      <x:c r="Y79" s="85" t="n">
        <x:v>70</x:v>
      </x:c>
      <x:c r="Z79" s="85" t="n">
        <x:v>71</x:v>
      </x:c>
      <x:c r="AA79" s="85" t="n">
        <x:v>77</x:v>
      </x:c>
      <x:c r="AB79" s="85" t="n">
        <x:v>67</x:v>
      </x:c>
      <x:c r="AC79" s="82" t="n">
        <x:v>0</x:v>
      </x:c>
      <x:c r="AD79" s="82" t="n">
        <x:v>0</x:v>
      </x:c>
      <x:c r="AE79" s="82" t="n">
        <x:v>0</x:v>
      </x:c>
      <x:c r="AF79" s="82" t="n">
        <x:v>0</x:v>
      </x:c>
      <x:c r="AG79" s="91" t="str">
        <x:v>要実績照合</x:v>
      </x:c>
      <x:c r="AH79" s="91" t="str">
        <x:v>現役300名補充時の脚質暫定値。パリ〜ルーベ／ロンド個人成績の追加照合が必要</x:v>
      </x:c>
      <x:c r="AI79" s="91" t="str">
        <x:v>https://www.paris-roubaix.fr/en/history</x:v>
      </x:c>
      <x:c r="AJ79" s="91" t="str">
        <x:v>能力・適性・Credit整合済</x:v>
      </x:c>
      <x:c r="AK79" s="91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79" s="91" t="str">
        <x:v>https://en.wikipedia.org/wiki/Itamar_Einhorn</x:v>
      </x:c>
    </x:row>
    <x:row r="80" ht="24" customHeight="1">
      <x:c r="A80" s="82" t="n">
        <x:v>76</x:v>
      </x:c>
      <x:c r="B80" s="82" t="str">
        <x:v>Albert Torres (cyclist)</x:v>
      </x:c>
      <x:c r="C80" s="143" t="str"/>
      <x:c r="D80" s="82" t="str">
        <x:v>スペイン</x:v>
      </x:c>
      <x:c r="E80" s="82" t="str">
        <x:v>現役</x:v>
      </x:c>
      <x:c r="F80" s="82" t="str">
        <x:v>クラシック型</x:v>
      </x:c>
      <x:c r="G80" s="82" t="str">
        <x:v>TT・ルーラー型</x:v>
      </x:c>
      <x:c r="H80" s="85" t="n">
        <x:v>76</x:v>
      </x:c>
      <x:c r="I80" s="85" t="n">
        <x:v>79</x:v>
      </x:c>
      <x:c r="J80" s="91" t="str">
        <x:v>ロードキャプテン / 平坦アシスト / TT牽引 / 石畳護衛 / 横風要員 / 逃げ屋 / 超ロングスパート</x:v>
      </x:c>
      <x:c r="K80" s="91" t="str"/>
      <x:c r="L80" s="91" t="str">
        <x:v>クラシック型 / TT・ルーラー型</x:v>
      </x:c>
      <x:c r="M80" s="88" t="n">
        <x:v>6950</x:v>
      </x:c>
      <x:c r="N80" s="85" t="n">
        <x:v>77</x:v>
      </x:c>
      <x:c r="O80" s="85" t="n">
        <x:v>72</x:v>
      </x:c>
      <x:c r="P80" s="85" t="n">
        <x:v>75</x:v>
      </x:c>
      <x:c r="Q80" s="85" t="n">
        <x:v>81</x:v>
      </x:c>
      <x:c r="R80" s="85" t="n">
        <x:v>70</x:v>
      </x:c>
      <x:c r="S80" s="85" t="n">
        <x:v>74</x:v>
      </x:c>
      <x:c r="T80" s="85" t="n">
        <x:v>82</x:v>
      </x:c>
      <x:c r="U80" s="85" t="n">
        <x:v>77</x:v>
      </x:c>
      <x:c r="V80" s="85" t="n">
        <x:v>81</x:v>
      </x:c>
      <x:c r="W80" s="85" t="n">
        <x:v>75</x:v>
      </x:c>
      <x:c r="X80" s="85" t="n">
        <x:v>74</x:v>
      </x:c>
      <x:c r="Y80" s="85" t="n">
        <x:v>74</x:v>
      </x:c>
      <x:c r="Z80" s="85" t="n">
        <x:v>84</x:v>
      </x:c>
      <x:c r="AA80" s="85" t="n">
        <x:v>71</x:v>
      </x:c>
      <x:c r="AB80" s="85" t="n">
        <x:v>83</x:v>
      </x:c>
      <x:c r="AC80" s="82" t="n">
        <x:v>0</x:v>
      </x:c>
      <x:c r="AD80" s="82" t="n">
        <x:v>0</x:v>
      </x:c>
      <x:c r="AE80" s="82" t="n">
        <x:v>0</x:v>
      </x:c>
      <x:c r="AF80" s="82" t="n">
        <x:v>0</x:v>
      </x:c>
      <x:c r="AG80" s="91" t="str">
        <x:v>要実績照合</x:v>
      </x:c>
      <x:c r="AH80" s="91" t="str">
        <x:v>現役300名補充時の脚質暫定値。パリ〜ルーベ／ロンド個人成績の追加照合が必要</x:v>
      </x:c>
      <x:c r="AI80" s="91" t="str">
        <x:v>https://www.paris-roubaix.fr/en/history</x:v>
      </x:c>
      <x:c r="AJ80" s="91" t="str">
        <x:v>能力・適性・Credit整合済</x:v>
      </x:c>
      <x:c r="AK8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0" s="91" t="str">
        <x:v>https://en.wikipedia.org/wiki/Albert_Torres_(cyclist)</x:v>
      </x:c>
    </x:row>
    <x:row r="81" ht="24" customHeight="1">
      <x:c r="A81" s="82" t="n">
        <x:v>77</x:v>
      </x:c>
      <x:c r="B81" s="82" t="str">
        <x:v>Iván García Cortina</x:v>
      </x:c>
      <x:c r="C81" s="143" t="str"/>
      <x:c r="D81" s="82" t="str">
        <x:v>スペイン</x:v>
      </x:c>
      <x:c r="E81" s="82" t="str">
        <x:v>現役</x:v>
      </x:c>
      <x:c r="F81" s="82" t="str">
        <x:v>クラシック型</x:v>
      </x:c>
      <x:c r="G81" s="82" t="str">
        <x:v>スプリンター</x:v>
      </x:c>
      <x:c r="H81" s="85" t="n">
        <x:v>76</x:v>
      </x:c>
      <x:c r="I81" s="85" t="n">
        <x:v>76</x:v>
      </x:c>
      <x:c r="J81" s="91" t="str">
        <x:v>ロードキャプテン / スプリントトレイン / 石畳護衛 / 横風要員 / 横風分断 / ポジションキーパー</x:v>
      </x:c>
      <x:c r="K81" s="91" t="str"/>
      <x:c r="L81" s="91" t="str">
        <x:v>クラシック型 / スプリンター</x:v>
      </x:c>
      <x:c r="M81" s="88" t="n">
        <x:v>6350</x:v>
      </x:c>
      <x:c r="N81" s="85" t="n">
        <x:v>74</x:v>
      </x:c>
      <x:c r="O81" s="85" t="n">
        <x:v>71</x:v>
      </x:c>
      <x:c r="P81" s="85" t="n">
        <x:v>75</x:v>
      </x:c>
      <x:c r="Q81" s="85" t="n">
        <x:v>74</x:v>
      </x:c>
      <x:c r="R81" s="85" t="n">
        <x:v>65</x:v>
      </x:c>
      <x:c r="S81" s="85" t="n">
        <x:v>72</x:v>
      </x:c>
      <x:c r="T81" s="85" t="n">
        <x:v>75</x:v>
      </x:c>
      <x:c r="U81" s="85" t="n">
        <x:v>83</x:v>
      </x:c>
      <x:c r="V81" s="85" t="n">
        <x:v>83</x:v>
      </x:c>
      <x:c r="W81" s="85" t="n">
        <x:v>74</x:v>
      </x:c>
      <x:c r="X81" s="85" t="n">
        <x:v>70</x:v>
      </x:c>
      <x:c r="Y81" s="85" t="n">
        <x:v>69</x:v>
      </x:c>
      <x:c r="Z81" s="85" t="n">
        <x:v>80</x:v>
      </x:c>
      <x:c r="AA81" s="85" t="n">
        <x:v>69</x:v>
      </x:c>
      <x:c r="AB81" s="85" t="n">
        <x:v>77</x:v>
      </x:c>
      <x:c r="AC81" s="82" t="n">
        <x:v>0</x:v>
      </x:c>
      <x:c r="AD81" s="82" t="n">
        <x:v>0</x:v>
      </x:c>
      <x:c r="AE81" s="82" t="n">
        <x:v>0</x:v>
      </x:c>
      <x:c r="AF81" s="82" t="n">
        <x:v>0</x:v>
      </x:c>
      <x:c r="AG81" s="91" t="str">
        <x:v>要実績照合</x:v>
      </x:c>
      <x:c r="AH81" s="91" t="str">
        <x:v>現役300名補充時の脚質暫定値。パリ〜ルーベ／ロンド個人成績の追加照合が必要</x:v>
      </x:c>
      <x:c r="AI81" s="91" t="str">
        <x:v>https://www.paris-roubaix.fr/en/history</x:v>
      </x:c>
      <x:c r="AJ81" s="91" t="str">
        <x:v>能力・適性・Credit整合済</x:v>
      </x:c>
      <x:c r="AK8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1" s="91" t="str">
        <x:v>https://en.wikipedia.org/wiki/Iv%C3%A1n_Garc%C3%ADa_Cortina</x:v>
      </x:c>
    </x:row>
    <x:row r="82" ht="24" customHeight="1">
      <x:c r="A82" s="82" t="n">
        <x:v>78</x:v>
      </x:c>
      <x:c r="B82" s="82" t="str">
        <x:v>Kevin Geniets</x:v>
      </x:c>
      <x:c r="C82" s="143" t="str"/>
      <x:c r="D82" s="82" t="str">
        <x:v>ルクセンブルク</x:v>
      </x:c>
      <x:c r="E82" s="82" t="str">
        <x:v>現役</x:v>
      </x:c>
      <x:c r="F82" s="82" t="str">
        <x:v>パンチャー</x:v>
      </x:c>
      <x:c r="G82" s="82" t="str">
        <x:v>スプリンター</x:v>
      </x:c>
      <x:c r="H82" s="85" t="n">
        <x:v>76</x:v>
      </x:c>
      <x:c r="I82" s="85" t="n">
        <x:v>72</x:v>
      </x:c>
      <x:c r="J82" s="91" t="str">
        <x:v>ステージハンター / 山岳賞ハンター / スプリントトレイン / 逃げ屋 / カウンターアタッカー / ポジションキーパー</x:v>
      </x:c>
      <x:c r="K82" s="91" t="str"/>
      <x:c r="L82" s="91" t="str">
        <x:v>パンチャー / スプリンター</x:v>
      </x:c>
      <x:c r="M82" s="88" t="n">
        <x:v>6200</x:v>
      </x:c>
      <x:c r="N82" s="85" t="n">
        <x:v>74</x:v>
      </x:c>
      <x:c r="O82" s="85" t="n">
        <x:v>81</x:v>
      </x:c>
      <x:c r="P82" s="85" t="n">
        <x:v>82</x:v>
      </x:c>
      <x:c r="Q82" s="85" t="n">
        <x:v>68</x:v>
      </x:c>
      <x:c r="R82" s="85" t="n">
        <x:v>73</x:v>
      </x:c>
      <x:c r="S82" s="85" t="n">
        <x:v>68</x:v>
      </x:c>
      <x:c r="T82" s="85" t="n">
        <x:v>71</x:v>
      </x:c>
      <x:c r="U82" s="85" t="n">
        <x:v>78</x:v>
      </x:c>
      <x:c r="V82" s="85" t="n">
        <x:v>75</x:v>
      </x:c>
      <x:c r="W82" s="85" t="n">
        <x:v>63</x:v>
      </x:c>
      <x:c r="X82" s="85" t="n">
        <x:v>74</x:v>
      </x:c>
      <x:c r="Y82" s="85" t="n">
        <x:v>70</x:v>
      </x:c>
      <x:c r="Z82" s="85" t="n">
        <x:v>69</x:v>
      </x:c>
      <x:c r="AA82" s="85" t="n">
        <x:v>79</x:v>
      </x:c>
      <x:c r="AB82" s="85" t="n">
        <x:v>73</x:v>
      </x:c>
      <x:c r="AC82" s="82" t="n">
        <x:v>0</x:v>
      </x:c>
      <x:c r="AD82" s="82" t="n">
        <x:v>0</x:v>
      </x:c>
      <x:c r="AE82" s="82" t="n">
        <x:v>0</x:v>
      </x:c>
      <x:c r="AF82" s="82" t="n">
        <x:v>0</x:v>
      </x:c>
      <x:c r="AG82" s="91" t="str">
        <x:v>要実績照合</x:v>
      </x:c>
      <x:c r="AH82" s="91" t="str">
        <x:v>現役300名補充時の脚質暫定値。パリ〜ルーベ／ロンド個人成績の追加照合が必要</x:v>
      </x:c>
      <x:c r="AI82" s="91" t="str">
        <x:v>https://www.paris-roubaix.fr/en/history</x:v>
      </x:c>
      <x:c r="AJ82" s="91" t="str">
        <x:v>能力・適性・Credit整合済</x:v>
      </x:c>
      <x:c r="AK8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2" s="91" t="str">
        <x:v>https://en.wikipedia.org/wiki/Kevin_Geniets</x:v>
      </x:c>
    </x:row>
    <x:row r="83" ht="24" customHeight="1">
      <x:c r="A83" s="82" t="n">
        <x:v>79</x:v>
      </x:c>
      <x:c r="B83" s="82" t="str">
        <x:v>Anthon Charmig</x:v>
      </x:c>
      <x:c r="C83" s="143" t="str"/>
      <x:c r="D83" s="82" t="str">
        <x:v>デンマーク</x:v>
      </x:c>
      <x:c r="E83" s="82" t="str">
        <x:v>現役</x:v>
      </x:c>
      <x:c r="F83" s="82" t="str">
        <x:v>総合型</x:v>
      </x:c>
      <x:c r="G83" s="82" t="str">
        <x:v>スプリンター</x:v>
      </x:c>
      <x:c r="H83" s="85" t="n">
        <x:v>76</x:v>
      </x:c>
      <x:c r="I83" s="85" t="n">
        <x:v>74</x:v>
      </x:c>
      <x:c r="J83" s="91" t="str">
        <x:v>ロードキャプテン / 山岳賞ハンター / スプリントトレイン / 山岳アシスト</x:v>
      </x:c>
      <x:c r="K83" s="91" t="str"/>
      <x:c r="L83" s="91" t="str">
        <x:v>総合型 / スプリンター</x:v>
      </x:c>
      <x:c r="M83" s="88" t="n">
        <x:v>6150</x:v>
      </x:c>
      <x:c r="N83" s="85" t="n">
        <x:v>62</x:v>
      </x:c>
      <x:c r="O83" s="85" t="n">
        <x:v>70</x:v>
      </x:c>
      <x:c r="P83" s="85" t="n">
        <x:v>73</x:v>
      </x:c>
      <x:c r="Q83" s="85" t="n">
        <x:v>72</x:v>
      </x:c>
      <x:c r="R83" s="85" t="n">
        <x:v>76</x:v>
      </x:c>
      <x:c r="S83" s="85" t="n">
        <x:v>75</x:v>
      </x:c>
      <x:c r="T83" s="85" t="n">
        <x:v>76</x:v>
      </x:c>
      <x:c r="U83" s="85" t="n">
        <x:v>67</x:v>
      </x:c>
      <x:c r="V83" s="85" t="n">
        <x:v>72</x:v>
      </x:c>
      <x:c r="W83" s="85" t="n">
        <x:v>58</x:v>
      </x:c>
      <x:c r="X83" s="85" t="n">
        <x:v>83</x:v>
      </x:c>
      <x:c r="Y83" s="85" t="n">
        <x:v>79</x:v>
      </x:c>
      <x:c r="Z83" s="85" t="n">
        <x:v>70</x:v>
      </x:c>
      <x:c r="AA83" s="85" t="n">
        <x:v>73</x:v>
      </x:c>
      <x:c r="AB83" s="85" t="n">
        <x:v>67</x:v>
      </x:c>
      <x:c r="AC83" s="82" t="n">
        <x:v>0</x:v>
      </x:c>
      <x:c r="AD83" s="82" t="n">
        <x:v>0</x:v>
      </x:c>
      <x:c r="AE83" s="82" t="n">
        <x:v>0</x:v>
      </x:c>
      <x:c r="AF83" s="82" t="n">
        <x:v>0</x:v>
      </x:c>
      <x:c r="AG83" s="91" t="str">
        <x:v>要実績照合</x:v>
      </x:c>
      <x:c r="AH83" s="91" t="str">
        <x:v>現役300名補充時の脚質暫定値。パリ〜ルーベ／ロンド個人成績の追加照合が必要</x:v>
      </x:c>
      <x:c r="AI83" s="91" t="str">
        <x:v>https://www.paris-roubaix.fr/en/history</x:v>
      </x:c>
      <x:c r="AJ83" s="91" t="str">
        <x:v>能力・適性・Credit整合済</x:v>
      </x:c>
      <x:c r="AK83" s="91" t="str">
        <x:v>公開プロフィール脚質「Puncheur, 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3" s="91" t="str">
        <x:v>https://en.wikipedia.org/wiki/Anthon_Charmig</x:v>
      </x:c>
    </x:row>
    <x:row r="84" ht="24" customHeight="1">
      <x:c r="A84" s="82" t="n">
        <x:v>80</x:v>
      </x:c>
      <x:c r="B84" s="82" t="str">
        <x:v>Andrea Bagioli</x:v>
      </x:c>
      <x:c r="C84" s="143" t="str"/>
      <x:c r="D84" s="82" t="str">
        <x:v>イタリア</x:v>
      </x:c>
      <x:c r="E84" s="82" t="str">
        <x:v>現役</x:v>
      </x:c>
      <x:c r="F84" s="82" t="str">
        <x:v>パンチャー</x:v>
      </x:c>
      <x:c r="G84" s="82" t="str">
        <x:v>総合型</x:v>
      </x:c>
      <x:c r="H84" s="85" t="n">
        <x:v>76</x:v>
      </x:c>
      <x:c r="I84" s="85" t="n">
        <x:v>72</x:v>
      </x:c>
      <x:c r="J84" s="91" t="str">
        <x:v>ステージハンター / 下り牽引 / 集団コントローラー / 逃げ屋 / ブリッジャー</x:v>
      </x:c>
      <x:c r="K84" s="91" t="str"/>
      <x:c r="L84" s="91" t="str">
        <x:v>パンチャー / 総合型</x:v>
      </x:c>
      <x:c r="M84" s="88" t="n">
        <x:v>6050</x:v>
      </x:c>
      <x:c r="N84" s="85" t="n">
        <x:v>72</x:v>
      </x:c>
      <x:c r="O84" s="85" t="n">
        <x:v>77</x:v>
      </x:c>
      <x:c r="P84" s="85" t="n">
        <x:v>83</x:v>
      </x:c>
      <x:c r="Q84" s="85" t="n">
        <x:v>70</x:v>
      </x:c>
      <x:c r="R84" s="85" t="n">
        <x:v>72</x:v>
      </x:c>
      <x:c r="S84" s="85" t="n">
        <x:v>68</x:v>
      </x:c>
      <x:c r="T84" s="85" t="n">
        <x:v>69</x:v>
      </x:c>
      <x:c r="U84" s="85" t="n">
        <x:v>72</x:v>
      </x:c>
      <x:c r="V84" s="85" t="n">
        <x:v>79</x:v>
      </x:c>
      <x:c r="W84" s="85" t="n">
        <x:v>58</x:v>
      </x:c>
      <x:c r="X84" s="85" t="n">
        <x:v>70</x:v>
      </x:c>
      <x:c r="Y84" s="85" t="n">
        <x:v>68</x:v>
      </x:c>
      <x:c r="Z84" s="85" t="n">
        <x:v>69</x:v>
      </x:c>
      <x:c r="AA84" s="85" t="n">
        <x:v>75</x:v>
      </x:c>
      <x:c r="AB84" s="85" t="n">
        <x:v>76</x:v>
      </x:c>
      <x:c r="AC84" s="82" t="n">
        <x:v>0</x:v>
      </x:c>
      <x:c r="AD84" s="82" t="n">
        <x:v>0</x:v>
      </x:c>
      <x:c r="AE84" s="82" t="n">
        <x:v>0</x:v>
      </x:c>
      <x:c r="AF84" s="82" t="n">
        <x:v>0</x:v>
      </x:c>
      <x:c r="AG84" s="91" t="str">
        <x:v>要実績照合</x:v>
      </x:c>
      <x:c r="AH84" s="91" t="str">
        <x:v>現役300名補充時の脚質暫定値。パリ〜ルーベ／ロンド個人成績の追加照合が必要</x:v>
      </x:c>
      <x:c r="AI84" s="91" t="str">
        <x:v>https://www.paris-roubaix.fr/en/history</x:v>
      </x:c>
      <x:c r="AJ84" s="91" t="str">
        <x:v>能力・適性・Credit整合済</x:v>
      </x:c>
      <x:c r="AK84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4" s="91" t="str">
        <x:v>https://en.wikipedia.org/wiki/Andrea_Bagioli</x:v>
      </x:c>
    </x:row>
    <x:row r="85" ht="24" customHeight="1">
      <x:c r="A85" s="82" t="n">
        <x:v>81</x:v>
      </x:c>
      <x:c r="B85" s="82" t="str">
        <x:v>Alan Hatherly</x:v>
      </x:c>
      <x:c r="C85" s="143" t="str"/>
      <x:c r="D85" s="82" t="str">
        <x:v>南アフリカ</x:v>
      </x:c>
      <x:c r="E85" s="82" t="str">
        <x:v>現役</x:v>
      </x:c>
      <x:c r="F85" s="82" t="str">
        <x:v>スプリンター</x:v>
      </x:c>
      <x:c r="G85" s="82" t="str">
        <x:v>総合型</x:v>
      </x:c>
      <x:c r="H85" s="85" t="n">
        <x:v>76</x:v>
      </x:c>
      <x:c r="I85" s="85" t="n">
        <x:v>72</x:v>
      </x:c>
      <x:c r="J85" s="91" t="str">
        <x:v>リードアウト / 最終発射台 / 集団コントローラー / ブリッジャー / 横風分断</x:v>
      </x:c>
      <x:c r="K85" s="91" t="str"/>
      <x:c r="L85" s="91" t="str">
        <x:v>スプリンター / 総合型</x:v>
      </x:c>
      <x:c r="M85" s="88" t="n">
        <x:v>5900</x:v>
      </x:c>
      <x:c r="N85" s="85" t="n">
        <x:v>80</x:v>
      </x:c>
      <x:c r="O85" s="85" t="n">
        <x:v>78</x:v>
      </x:c>
      <x:c r="P85" s="85" t="n">
        <x:v>70</x:v>
      </x:c>
      <x:c r="Q85" s="85" t="n">
        <x:v>76</x:v>
      </x:c>
      <x:c r="R85" s="85" t="n">
        <x:v>59</x:v>
      </x:c>
      <x:c r="S85" s="85" t="n">
        <x:v>67</x:v>
      </x:c>
      <x:c r="T85" s="85" t="n">
        <x:v>69</x:v>
      </x:c>
      <x:c r="U85" s="85" t="n">
        <x:v>75</x:v>
      </x:c>
      <x:c r="V85" s="85" t="n">
        <x:v>70</x:v>
      </x:c>
      <x:c r="W85" s="85" t="n">
        <x:v>61</x:v>
      </x:c>
      <x:c r="X85" s="85" t="n">
        <x:v>68</x:v>
      </x:c>
      <x:c r="Y85" s="85" t="n">
        <x:v>68</x:v>
      </x:c>
      <x:c r="Z85" s="85" t="n">
        <x:v>72</x:v>
      </x:c>
      <x:c r="AA85" s="85" t="n">
        <x:v>77</x:v>
      </x:c>
      <x:c r="AB85" s="85" t="n">
        <x:v>71</x:v>
      </x:c>
      <x:c r="AC85" s="82" t="n">
        <x:v>0</x:v>
      </x:c>
      <x:c r="AD85" s="82" t="n">
        <x:v>0</x:v>
      </x:c>
      <x:c r="AE85" s="82" t="n">
        <x:v>0</x:v>
      </x:c>
      <x:c r="AF85" s="82" t="n">
        <x:v>0</x:v>
      </x:c>
      <x:c r="AG85" s="91" t="str">
        <x:v>要実績照合</x:v>
      </x:c>
      <x:c r="AH85" s="91" t="str">
        <x:v>現役300名補充時の脚質暫定値。パリ〜ルーベ／ロンド個人成績の追加照合が必要</x:v>
      </x:c>
      <x:c r="AI85" s="91" t="str">
        <x:v>https://www.paris-roubaix.fr/en/history</x:v>
      </x:c>
      <x:c r="AJ85" s="91" t="str">
        <x:v>能力・適性・Credit整合済</x:v>
      </x:c>
      <x:c r="AK85" s="91" t="str">
        <x:v>公開プロフィール脚質「Cross-country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5" s="91" t="str">
        <x:v>https://en.wikipedia.org/wiki/Alan_Hatherly</x:v>
      </x:c>
    </x:row>
    <x:row r="86" ht="24" customHeight="1">
      <x:c r="A86" s="82" t="n">
        <x:v>82</x:v>
      </x:c>
      <x:c r="B86" s="82" t="str">
        <x:v>Sepp Kuss</x:v>
      </x:c>
      <x:c r="C86" s="143" t="str"/>
      <x:c r="D86" s="82" t="str">
        <x:v>アメリカ</x:v>
      </x:c>
      <x:c r="E86" s="82" t="str">
        <x:v>現役</x:v>
      </x:c>
      <x:c r="F86" s="82" t="str">
        <x:v>クライマー</x:v>
      </x:c>
      <x:c r="G86" s="82" t="str">
        <x:v>総合型</x:v>
      </x:c>
      <x:c r="H86" s="85" t="n">
        <x:v>76</x:v>
      </x:c>
      <x:c r="I86" s="85" t="n">
        <x:v>80</x:v>
      </x:c>
      <x:c r="J86" s="91" t="str">
        <x:v>サブエース / スーパー・ドメスティーク / 山岳アシスト / 山岳番手 / 集団コントローラー</x:v>
      </x:c>
      <x:c r="K86" s="91" t="str"/>
      <x:c r="L86" s="91" t="str">
        <x:v>山岳耐久 / 総合安定</x:v>
      </x:c>
      <x:c r="M86" s="88" t="n">
        <x:v>5850</x:v>
      </x:c>
      <x:c r="N86" s="85" t="n">
        <x:v>57</x:v>
      </x:c>
      <x:c r="O86" s="85" t="n">
        <x:v>70</x:v>
      </x:c>
      <x:c r="P86" s="85" t="n">
        <x:v>70</x:v>
      </x:c>
      <x:c r="Q86" s="85" t="n">
        <x:v>69</x:v>
      </x:c>
      <x:c r="R86" s="85" t="n">
        <x:v>76</x:v>
      </x:c>
      <x:c r="S86" s="85" t="n">
        <x:v>71</x:v>
      </x:c>
      <x:c r="T86" s="85" t="n">
        <x:v>70</x:v>
      </x:c>
      <x:c r="U86" s="85" t="n">
        <x:v>68</x:v>
      </x:c>
      <x:c r="V86" s="85" t="n">
        <x:v>69</x:v>
      </x:c>
      <x:c r="W86" s="85" t="n">
        <x:v>50</x:v>
      </x:c>
      <x:c r="X86" s="85" t="n">
        <x:v>77</x:v>
      </x:c>
      <x:c r="Y86" s="85" t="n">
        <x:v>77</x:v>
      </x:c>
      <x:c r="Z86" s="85" t="n">
        <x:v>83</x:v>
      </x:c>
      <x:c r="AA86" s="85" t="n">
        <x:v>58</x:v>
      </x:c>
      <x:c r="AB86" s="85" t="n">
        <x:v>71</x:v>
      </x:c>
      <x:c r="AC86" s="82" t="n">
        <x:v>0</x:v>
      </x:c>
      <x:c r="AD86" s="82" t="n">
        <x:v>0</x:v>
      </x:c>
      <x:c r="AE86" s="82" t="n">
        <x:v>0</x:v>
      </x:c>
      <x:c r="AF86" s="82" t="n">
        <x:v>0</x:v>
      </x:c>
      <x:c r="AG86" s="91" t="str">
        <x:v>手動検証済</x:v>
      </x:c>
      <x:c r="AH86" s="91" t="str">
        <x:v>未出走</x:v>
      </x:c>
      <x:c r="AI86" s="91" t="str">
        <x:v>https://www.paris-roubaix.fr/en/history</x:v>
      </x:c>
      <x:c r="AJ86" s="91" t="str">
        <x:v>能力・適性・Credit整合済</x:v>
      </x:c>
      <x:c r="AK8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6" s="91" t="str">
        <x:v>https://en.wikipedia.org/wiki/Special:Search?search=Sepp%20Kuss%20cyclist</x:v>
      </x:c>
    </x:row>
    <x:row r="87" ht="24" customHeight="1">
      <x:c r="A87" s="82" t="n">
        <x:v>83</x:v>
      </x:c>
      <x:c r="B87" s="82" t="str">
        <x:v>Cedric Beullens</x:v>
      </x:c>
      <x:c r="C87" s="143" t="str"/>
      <x:c r="D87" s="82" t="str">
        <x:v>ベルギー</x:v>
      </x:c>
      <x:c r="E87" s="82" t="str">
        <x:v>現役</x:v>
      </x:c>
      <x:c r="F87" s="82" t="str">
        <x:v>パンチャー</x:v>
      </x:c>
      <x:c r="G87" s="82" t="str">
        <x:v>TT・ルーラー型</x:v>
      </x:c>
      <x:c r="H87" s="85" t="n">
        <x:v>76</x:v>
      </x:c>
      <x:c r="I87" s="85" t="n">
        <x:v>72</x:v>
      </x:c>
      <x:c r="J87" s="91" t="str">
        <x:v>ステージハンター / 山岳賞ハンター / カウンターアタッカー</x:v>
      </x:c>
      <x:c r="K87" s="91" t="str"/>
      <x:c r="L87" s="91" t="str">
        <x:v>パンチャー / TT・ルーラー型</x:v>
      </x:c>
      <x:c r="M87" s="88" t="n">
        <x:v>5750</x:v>
      </x:c>
      <x:c r="N87" s="85" t="n">
        <x:v>73</x:v>
      </x:c>
      <x:c r="O87" s="85" t="n">
        <x:v>76</x:v>
      </x:c>
      <x:c r="P87" s="85" t="n">
        <x:v>82</x:v>
      </x:c>
      <x:c r="Q87" s="85" t="n">
        <x:v>67</x:v>
      </x:c>
      <x:c r="R87" s="85" t="n">
        <x:v>72</x:v>
      </x:c>
      <x:c r="S87" s="85" t="n">
        <x:v>65</x:v>
      </x:c>
      <x:c r="T87" s="85" t="n">
        <x:v>66</x:v>
      </x:c>
      <x:c r="U87" s="85" t="n">
        <x:v>75</x:v>
      </x:c>
      <x:c r="V87" s="85" t="n">
        <x:v>76</x:v>
      </x:c>
      <x:c r="W87" s="85" t="n">
        <x:v>56</x:v>
      </x:c>
      <x:c r="X87" s="85" t="n">
        <x:v>73</x:v>
      </x:c>
      <x:c r="Y87" s="85" t="n">
        <x:v>68</x:v>
      </x:c>
      <x:c r="Z87" s="85" t="n">
        <x:v>69</x:v>
      </x:c>
      <x:c r="AA87" s="85" t="n">
        <x:v>73</x:v>
      </x:c>
      <x:c r="AB87" s="85" t="n">
        <x:v>78</x:v>
      </x:c>
      <x:c r="AC87" s="82" t="n">
        <x:v>0</x:v>
      </x:c>
      <x:c r="AD87" s="82" t="n">
        <x:v>0</x:v>
      </x:c>
      <x:c r="AE87" s="82" t="n">
        <x:v>0</x:v>
      </x:c>
      <x:c r="AF87" s="82" t="n">
        <x:v>0</x:v>
      </x:c>
      <x:c r="AG87" s="91" t="str">
        <x:v>要実績照合</x:v>
      </x:c>
      <x:c r="AH87" s="91" t="str">
        <x:v>現役300名補充時の脚質暫定値。パリ〜ルーベ／ロンド個人成績の追加照合が必要</x:v>
      </x:c>
      <x:c r="AI87" s="91" t="str">
        <x:v>https://www.paris-roubaix.fr/en/history</x:v>
      </x:c>
      <x:c r="AJ87" s="91" t="str">
        <x:v>能力・適性・Credit整合済</x:v>
      </x:c>
      <x:c r="AK8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7" s="91" t="str">
        <x:v>https://en.wikipedia.org/wiki/C%C3%A9dric_Beullens</x:v>
      </x:c>
    </x:row>
    <x:row r="88" ht="24" customHeight="1">
      <x:c r="A88" s="82" t="n">
        <x:v>84</x:v>
      </x:c>
      <x:c r="B88" s="82" t="str">
        <x:v>Diego Ulissi</x:v>
      </x:c>
      <x:c r="C88" s="143" t="str"/>
      <x:c r="D88" s="82" t="str">
        <x:v>イタリア</x:v>
      </x:c>
      <x:c r="E88" s="82" t="str">
        <x:v>現役</x:v>
      </x:c>
      <x:c r="F88" s="82" t="str">
        <x:v>パンチャー</x:v>
      </x:c>
      <x:c r="G88" s="82" t="str">
        <x:v>クライマー</x:v>
      </x:c>
      <x:c r="H88" s="85" t="n">
        <x:v>76</x:v>
      </x:c>
      <x:c r="I88" s="85" t="n">
        <x:v>72</x:v>
      </x:c>
      <x:c r="J88" s="91" t="str">
        <x:v>ステージハンター / 山岳賞ハンター / 逃げ屋 / ポジションキーパー</x:v>
      </x:c>
      <x:c r="K88" s="91" t="str"/>
      <x:c r="L88" s="91" t="str">
        <x:v>パンチャー / クライマー</x:v>
      </x:c>
      <x:c r="M88" s="88" t="n">
        <x:v>5700</x:v>
      </x:c>
      <x:c r="N88" s="85" t="n">
        <x:v>69</x:v>
      </x:c>
      <x:c r="O88" s="85" t="n">
        <x:v>75</x:v>
      </x:c>
      <x:c r="P88" s="85" t="n">
        <x:v>80</x:v>
      </x:c>
      <x:c r="Q88" s="85" t="n">
        <x:v>69</x:v>
      </x:c>
      <x:c r="R88" s="85" t="n">
        <x:v>71</x:v>
      </x:c>
      <x:c r="S88" s="85" t="n">
        <x:v>71</x:v>
      </x:c>
      <x:c r="T88" s="85" t="n">
        <x:v>67</x:v>
      </x:c>
      <x:c r="U88" s="85" t="n">
        <x:v>77</x:v>
      </x:c>
      <x:c r="V88" s="85" t="n">
        <x:v>77</x:v>
      </x:c>
      <x:c r="W88" s="85" t="n">
        <x:v>58</x:v>
      </x:c>
      <x:c r="X88" s="85" t="n">
        <x:v>68</x:v>
      </x:c>
      <x:c r="Y88" s="85" t="n">
        <x:v>73</x:v>
      </x:c>
      <x:c r="Z88" s="85" t="n">
        <x:v>69</x:v>
      </x:c>
      <x:c r="AA88" s="85" t="n">
        <x:v>77</x:v>
      </x:c>
      <x:c r="AB88" s="85" t="n">
        <x:v>75</x:v>
      </x:c>
      <x:c r="AC88" s="82" t="n">
        <x:v>0</x:v>
      </x:c>
      <x:c r="AD88" s="82" t="n">
        <x:v>0</x:v>
      </x:c>
      <x:c r="AE88" s="82" t="n">
        <x:v>0</x:v>
      </x:c>
      <x:c r="AF88" s="82" t="n">
        <x:v>0</x:v>
      </x:c>
      <x:c r="AG88" s="91" t="str">
        <x:v>要実績照合</x:v>
      </x:c>
      <x:c r="AH88" s="91" t="str">
        <x:v>現役300名補充時の脚質暫定値。パリ〜ルーベ／ロンド個人成績の追加照合が必要</x:v>
      </x:c>
      <x:c r="AI88" s="91" t="str">
        <x:v>https://www.paris-roubaix.fr/en/history</x:v>
      </x:c>
      <x:c r="AJ88" s="91" t="str">
        <x:v>能力・適性・Credit整合済</x:v>
      </x:c>
      <x:c r="AK8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8" s="91" t="str">
        <x:v>https://en.wikipedia.org/wiki/Diego_Ulissi</x:v>
      </x:c>
    </x:row>
    <x:row r="89" ht="24" customHeight="1">
      <x:c r="A89" s="82" t="n">
        <x:v>85</x:v>
      </x:c>
      <x:c r="B89" s="82" t="str">
        <x:v>Henri Uhlig</x:v>
      </x:c>
      <x:c r="C89" s="143" t="str"/>
      <x:c r="D89" s="82" t="str">
        <x:v>ドイツ</x:v>
      </x:c>
      <x:c r="E89" s="82" t="str">
        <x:v>現役</x:v>
      </x:c>
      <x:c r="F89" s="82" t="str">
        <x:v>総合型</x:v>
      </x:c>
      <x:c r="G89" s="82" t="str">
        <x:v>パンチャー</x:v>
      </x:c>
      <x:c r="H89" s="85" t="n">
        <x:v>76</x:v>
      </x:c>
      <x:c r="I89" s="85" t="n">
        <x:v>71</x:v>
      </x:c>
      <x:c r="J89" s="91" t="str">
        <x:v>山岳賞ハンター / 山岳アシスト / 山岳番手</x:v>
      </x:c>
      <x:c r="K89" s="91" t="str"/>
      <x:c r="L89" s="91" t="str">
        <x:v>総合型 / パンチャー</x:v>
      </x:c>
      <x:c r="M89" s="88" t="n">
        <x:v>5600</x:v>
      </x:c>
      <x:c r="N89" s="85" t="n">
        <x:v>65</x:v>
      </x:c>
      <x:c r="O89" s="85" t="n">
        <x:v>64</x:v>
      </x:c>
      <x:c r="P89" s="85" t="n">
        <x:v>72</x:v>
      </x:c>
      <x:c r="Q89" s="85" t="n">
        <x:v>69</x:v>
      </x:c>
      <x:c r="R89" s="85" t="n">
        <x:v>77</x:v>
      </x:c>
      <x:c r="S89" s="85" t="n">
        <x:v>75</x:v>
      </x:c>
      <x:c r="T89" s="85" t="n">
        <x:v>74</x:v>
      </x:c>
      <x:c r="U89" s="85" t="n">
        <x:v>64</x:v>
      </x:c>
      <x:c r="V89" s="85" t="n">
        <x:v>67</x:v>
      </x:c>
      <x:c r="W89" s="85" t="n">
        <x:v>59</x:v>
      </x:c>
      <x:c r="X89" s="85" t="n">
        <x:v>80</x:v>
      </x:c>
      <x:c r="Y89" s="85" t="n">
        <x:v>77</x:v>
      </x:c>
      <x:c r="Z89" s="85" t="n">
        <x:v>65</x:v>
      </x:c>
      <x:c r="AA89" s="85" t="n">
        <x:v>71</x:v>
      </x:c>
      <x:c r="AB89" s="85" t="n">
        <x:v>66</x:v>
      </x:c>
      <x:c r="AC89" s="82" t="n">
        <x:v>0</x:v>
      </x:c>
      <x:c r="AD89" s="82" t="n">
        <x:v>0</x:v>
      </x:c>
      <x:c r="AE89" s="82" t="n">
        <x:v>0</x:v>
      </x:c>
      <x:c r="AF89" s="82" t="n">
        <x:v>0</x:v>
      </x:c>
      <x:c r="AG89" s="91" t="str">
        <x:v>要実績照合</x:v>
      </x:c>
      <x:c r="AH89" s="91" t="str">
        <x:v>現役300名補充時の脚質暫定値。パリ〜ルーベ／ロンド個人成績の追加照合が必要</x:v>
      </x:c>
      <x:c r="AI89" s="91" t="str">
        <x:v>https://www.paris-roubaix.fr/en/history</x:v>
      </x:c>
      <x:c r="AJ89" s="91" t="str">
        <x:v>能力・適性・Credit整合済</x:v>
      </x:c>
      <x:c r="AK8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89" s="91" t="str">
        <x:v>https://en.wikipedia.org/wiki/Henri_Uhlig</x:v>
      </x:c>
    </x:row>
    <x:row r="90" ht="24" customHeight="1">
      <x:c r="A90" s="82" t="n">
        <x:v>86</x:v>
      </x:c>
      <x:c r="B90" s="82" t="str">
        <x:v>Alberto Dainese</x:v>
      </x:c>
      <x:c r="C90" s="143" t="str"/>
      <x:c r="D90" s="82" t="str">
        <x:v>イタリア</x:v>
      </x:c>
      <x:c r="E90" s="82" t="str">
        <x:v>現役</x:v>
      </x:c>
      <x:c r="F90" s="82" t="str">
        <x:v>スプリンター</x:v>
      </x:c>
      <x:c r="G90" s="82" t="str">
        <x:v>総合型</x:v>
      </x:c>
      <x:c r="H90" s="85" t="n">
        <x:v>76</x:v>
      </x:c>
      <x:c r="I90" s="85" t="n">
        <x:v>70</x:v>
      </x:c>
      <x:c r="J90" s="91" t="str">
        <x:v>リードアウト / 最終発射台 / スプリントトレイン / 集団コントローラー</x:v>
      </x:c>
      <x:c r="K90" s="91" t="str"/>
      <x:c r="L90" s="91" t="str">
        <x:v>スプリンター / 総合型</x:v>
      </x:c>
      <x:c r="M90" s="88" t="n">
        <x:v>5350</x:v>
      </x:c>
      <x:c r="N90" s="85" t="n">
        <x:v>80</x:v>
      </x:c>
      <x:c r="O90" s="85" t="n">
        <x:v>79</x:v>
      </x:c>
      <x:c r="P90" s="85" t="n">
        <x:v>66</x:v>
      </x:c>
      <x:c r="Q90" s="85" t="n">
        <x:v>74</x:v>
      </x:c>
      <x:c r="R90" s="85" t="n">
        <x:v>62</x:v>
      </x:c>
      <x:c r="S90" s="85" t="n">
        <x:v>64</x:v>
      </x:c>
      <x:c r="T90" s="85" t="n">
        <x:v>68</x:v>
      </x:c>
      <x:c r="U90" s="85" t="n">
        <x:v>68</x:v>
      </x:c>
      <x:c r="V90" s="85" t="n">
        <x:v>71</x:v>
      </x:c>
      <x:c r="W90" s="85" t="n">
        <x:v>56</x:v>
      </x:c>
      <x:c r="X90" s="85" t="n">
        <x:v>68</x:v>
      </x:c>
      <x:c r="Y90" s="85" t="n">
        <x:v>70</x:v>
      </x:c>
      <x:c r="Z90" s="85" t="n">
        <x:v>69</x:v>
      </x:c>
      <x:c r="AA90" s="85" t="n">
        <x:v>74</x:v>
      </x:c>
      <x:c r="AB90" s="85" t="n">
        <x:v>67</x:v>
      </x:c>
      <x:c r="AC90" s="82" t="n">
        <x:v>0</x:v>
      </x:c>
      <x:c r="AD90" s="82" t="n">
        <x:v>0</x:v>
      </x:c>
      <x:c r="AE90" s="82" t="n">
        <x:v>0</x:v>
      </x:c>
      <x:c r="AF90" s="82" t="n">
        <x:v>0</x:v>
      </x:c>
      <x:c r="AG90" s="91" t="str">
        <x:v>要実績照合</x:v>
      </x:c>
      <x:c r="AH90" s="91" t="str">
        <x:v>現役300名補充時の脚質暫定値。パリ〜ルーベ／ロンド個人成績の追加照合が必要</x:v>
      </x:c>
      <x:c r="AI90" s="91" t="str">
        <x:v>https://www.paris-roubaix.fr/en/history</x:v>
      </x:c>
      <x:c r="AJ90" s="91" t="str">
        <x:v>能力・適性・Credit整合済</x:v>
      </x:c>
      <x:c r="AK90" s="91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0" s="91" t="str">
        <x:v>https://en.wikipedia.org/wiki/Alberto_Dainese</x:v>
      </x:c>
    </x:row>
    <x:row r="91" ht="24" customHeight="1">
      <x:c r="A91" s="82" t="n">
        <x:v>87</x:v>
      </x:c>
      <x:c r="B91" s="82" t="str">
        <x:v>Andrea Vendrame</x:v>
      </x:c>
      <x:c r="C91" s="143" t="str"/>
      <x:c r="D91" s="82" t="str">
        <x:v>イタリア</x:v>
      </x:c>
      <x:c r="E91" s="82" t="str">
        <x:v>現役</x:v>
      </x:c>
      <x:c r="F91" s="82" t="str">
        <x:v>パンチャー</x:v>
      </x:c>
      <x:c r="G91" s="82" t="str">
        <x:v>クライマー</x:v>
      </x:c>
      <x:c r="H91" s="85" t="n">
        <x:v>76</x:v>
      </x:c>
      <x:c r="I91" s="85" t="n">
        <x:v>69</x:v>
      </x:c>
      <x:c r="J91" s="91" t="str">
        <x:v>ステージハンター / 山岳賞ハンター</x:v>
      </x:c>
      <x:c r="K91" s="91" t="str"/>
      <x:c r="L91" s="91" t="str">
        <x:v>パンチャー / クライマー</x:v>
      </x:c>
      <x:c r="M91" s="88" t="n">
        <x:v>5300</x:v>
      </x:c>
      <x:c r="N91" s="85" t="n">
        <x:v>68</x:v>
      </x:c>
      <x:c r="O91" s="85" t="n">
        <x:v>74</x:v>
      </x:c>
      <x:c r="P91" s="85" t="n">
        <x:v>79</x:v>
      </x:c>
      <x:c r="Q91" s="85" t="n">
        <x:v>68</x:v>
      </x:c>
      <x:c r="R91" s="85" t="n">
        <x:v>73</x:v>
      </x:c>
      <x:c r="S91" s="85" t="n">
        <x:v>67</x:v>
      </x:c>
      <x:c r="T91" s="85" t="n">
        <x:v>64</x:v>
      </x:c>
      <x:c r="U91" s="85" t="n">
        <x:v>70</x:v>
      </x:c>
      <x:c r="V91" s="85" t="n">
        <x:v>73</x:v>
      </x:c>
      <x:c r="W91" s="85" t="n">
        <x:v>53</x:v>
      </x:c>
      <x:c r="X91" s="85" t="n">
        <x:v>68</x:v>
      </x:c>
      <x:c r="Y91" s="85" t="n">
        <x:v>69</x:v>
      </x:c>
      <x:c r="Z91" s="85" t="n">
        <x:v>68</x:v>
      </x:c>
      <x:c r="AA91" s="85" t="n">
        <x:v>78</x:v>
      </x:c>
      <x:c r="AB91" s="85" t="n">
        <x:v>80</x:v>
      </x:c>
      <x:c r="AC91" s="82" t="n">
        <x:v>0</x:v>
      </x:c>
      <x:c r="AD91" s="82" t="n">
        <x:v>0</x:v>
      </x:c>
      <x:c r="AE91" s="82" t="n">
        <x:v>0</x:v>
      </x:c>
      <x:c r="AF91" s="82" t="n">
        <x:v>0</x:v>
      </x:c>
      <x:c r="AG91" s="91" t="str">
        <x:v>要実績照合</x:v>
      </x:c>
      <x:c r="AH91" s="91" t="str">
        <x:v>現役300名補充時の脚質暫定値。パリ〜ルーベ／ロンド個人成績の追加照合が必要</x:v>
      </x:c>
      <x:c r="AI91" s="91" t="str">
        <x:v>https://www.paris-roubaix.fr/en/history</x:v>
      </x:c>
      <x:c r="AJ91" s="91" t="str">
        <x:v>能力・適性・Credit整合済</x:v>
      </x:c>
      <x:c r="AK9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1" s="91" t="str">
        <x:v>https://en.wikipedia.org/wiki/Andrea_Vendrame</x:v>
      </x:c>
    </x:row>
    <x:row r="92" ht="24" customHeight="1">
      <x:c r="A92" s="82" t="n">
        <x:v>88</x:v>
      </x:c>
      <x:c r="B92" s="82" t="str">
        <x:v>Amaury Capiot</x:v>
      </x:c>
      <x:c r="C92" s="143" t="str"/>
      <x:c r="D92" s="82" t="str">
        <x:v>ベルギー</x:v>
      </x:c>
      <x:c r="E92" s="82" t="str">
        <x:v>現役</x:v>
      </x:c>
      <x:c r="F92" s="82" t="str">
        <x:v>クラシック型</x:v>
      </x:c>
      <x:c r="G92" s="82" t="str">
        <x:v>クライマー</x:v>
      </x:c>
      <x:c r="H92" s="85" t="n">
        <x:v>75</x:v>
      </x:c>
      <x:c r="I92" s="85" t="n">
        <x:v>80</x:v>
      </x:c>
      <x:c r="J92" s="91" t="str">
        <x:v>山岳賞ハンター / 平坦アシスト / TT牽引 / 石畳護衛 / 横風要員 / 逃げ屋 / 横風分断</x:v>
      </x:c>
      <x:c r="K92" s="91" t="str"/>
      <x:c r="L92" s="91" t="str">
        <x:v>クラシック型 / クライマー</x:v>
      </x:c>
      <x:c r="M92" s="88" t="n">
        <x:v>7100</x:v>
      </x:c>
      <x:c r="N92" s="85" t="n">
        <x:v>76</x:v>
      </x:c>
      <x:c r="O92" s="85" t="n">
        <x:v>72</x:v>
      </x:c>
      <x:c r="P92" s="85" t="n">
        <x:v>74</x:v>
      </x:c>
      <x:c r="Q92" s="85" t="n">
        <x:v>80</x:v>
      </x:c>
      <x:c r="R92" s="85" t="n">
        <x:v>69</x:v>
      </x:c>
      <x:c r="S92" s="85" t="n">
        <x:v>78</x:v>
      </x:c>
      <x:c r="T92" s="85" t="n">
        <x:v>81</x:v>
      </x:c>
      <x:c r="U92" s="85" t="n">
        <x:v>83</x:v>
      </x:c>
      <x:c r="V92" s="85" t="n">
        <x:v>81</x:v>
      </x:c>
      <x:c r="W92" s="85" t="n">
        <x:v>75</x:v>
      </x:c>
      <x:c r="X92" s="85" t="n">
        <x:v>74</x:v>
      </x:c>
      <x:c r="Y92" s="85" t="n">
        <x:v>73</x:v>
      </x:c>
      <x:c r="Z92" s="85" t="n">
        <x:v>83</x:v>
      </x:c>
      <x:c r="AA92" s="85" t="n">
        <x:v>72</x:v>
      </x:c>
      <x:c r="AB92" s="85" t="n">
        <x:v>82</x:v>
      </x:c>
      <x:c r="AC92" s="82" t="n">
        <x:v>0</x:v>
      </x:c>
      <x:c r="AD92" s="82" t="n">
        <x:v>0</x:v>
      </x:c>
      <x:c r="AE92" s="82" t="n">
        <x:v>0</x:v>
      </x:c>
      <x:c r="AF92" s="82" t="n">
        <x:v>0</x:v>
      </x:c>
      <x:c r="AG92" s="91" t="str">
        <x:v>要実績照合</x:v>
      </x:c>
      <x:c r="AH92" s="91" t="str">
        <x:v>現役300名補充時の脚質暫定値。パリ〜ルーベ／ロンド個人成績の追加照合が必要</x:v>
      </x:c>
      <x:c r="AI92" s="91" t="str">
        <x:v>https://www.paris-roubaix.fr/en/history</x:v>
      </x:c>
      <x:c r="AJ92" s="91" t="str">
        <x:v>能力・適性・Credit整合済</x:v>
      </x:c>
      <x:c r="AK9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2" s="91" t="str">
        <x:v>https://en.wikipedia.org/wiki/Amaury_Capiot</x:v>
      </x:c>
    </x:row>
    <x:row r="93" ht="24" customHeight="1">
      <x:c r="A93" s="82" t="n">
        <x:v>89</x:v>
      </x:c>
      <x:c r="B93" s="82" t="str">
        <x:v>Jake Stewart (cyclist)</x:v>
      </x:c>
      <x:c r="C93" s="143" t="str"/>
      <x:c r="D93" s="82" t="str">
        <x:v>イギリス</x:v>
      </x:c>
      <x:c r="E93" s="82" t="str">
        <x:v>現役</x:v>
      </x:c>
      <x:c r="F93" s="82" t="str">
        <x:v>クラシック型</x:v>
      </x:c>
      <x:c r="G93" s="82" t="str">
        <x:v>パンチャー</x:v>
      </x:c>
      <x:c r="H93" s="85" t="n">
        <x:v>75</x:v>
      </x:c>
      <x:c r="I93" s="85" t="n">
        <x:v>78</x:v>
      </x:c>
      <x:c r="J93" s="91" t="str">
        <x:v>ステージハンター / 平坦アシスト / 石畳護衛 / 横風要員 / 逃げ屋 / 超ロングスパート / ブリッジャー</x:v>
      </x:c>
      <x:c r="K93" s="91" t="str"/>
      <x:c r="L93" s="91" t="str">
        <x:v>クラシック型 / パンチャー</x:v>
      </x:c>
      <x:c r="M93" s="88" t="n">
        <x:v>7000</x:v>
      </x:c>
      <x:c r="N93" s="85" t="n">
        <x:v>74</x:v>
      </x:c>
      <x:c r="O93" s="85" t="n">
        <x:v>73</x:v>
      </x:c>
      <x:c r="P93" s="85" t="n">
        <x:v>76</x:v>
      </x:c>
      <x:c r="Q93" s="85" t="n">
        <x:v>77</x:v>
      </x:c>
      <x:c r="R93" s="85" t="n">
        <x:v>66</x:v>
      </x:c>
      <x:c r="S93" s="85" t="n">
        <x:v>75</x:v>
      </x:c>
      <x:c r="T93" s="85" t="n">
        <x:v>82</x:v>
      </x:c>
      <x:c r="U93" s="85" t="n">
        <x:v>84</x:v>
      </x:c>
      <x:c r="V93" s="85" t="n">
        <x:v>83</x:v>
      </x:c>
      <x:c r="W93" s="85" t="n">
        <x:v>76</x:v>
      </x:c>
      <x:c r="X93" s="85" t="n">
        <x:v>70</x:v>
      </x:c>
      <x:c r="Y93" s="85" t="n">
        <x:v>71</x:v>
      </x:c>
      <x:c r="Z93" s="85" t="n">
        <x:v>75</x:v>
      </x:c>
      <x:c r="AA93" s="85" t="n">
        <x:v>72</x:v>
      </x:c>
      <x:c r="AB93" s="85" t="n">
        <x:v>83</x:v>
      </x:c>
      <x:c r="AC93" s="82" t="n">
        <x:v>0</x:v>
      </x:c>
      <x:c r="AD93" s="82" t="n">
        <x:v>0</x:v>
      </x:c>
      <x:c r="AE93" s="82" t="n">
        <x:v>0</x:v>
      </x:c>
      <x:c r="AF93" s="82" t="n">
        <x:v>0</x:v>
      </x:c>
      <x:c r="AG93" s="91" t="str">
        <x:v>要実績照合</x:v>
      </x:c>
      <x:c r="AH93" s="91" t="str">
        <x:v>現役300名補充時の脚質暫定値。パリ〜ルーベ／ロンド個人成績の追加照合が必要</x:v>
      </x:c>
      <x:c r="AI93" s="91" t="str">
        <x:v>https://www.paris-roubaix.fr/en/history</x:v>
      </x:c>
      <x:c r="AJ93" s="91" t="str">
        <x:v>能力・適性・Credit整合済</x:v>
      </x:c>
      <x:c r="AK93" s="91" t="str">
        <x:v>公開プロフィール脚質「Classics specialist, lead-ou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3" s="91" t="str">
        <x:v>https://en.wikipedia.org/wiki/Jake_Stewart_(cyclist)</x:v>
      </x:c>
    </x:row>
    <x:row r="94" ht="24" customHeight="1">
      <x:c r="A94" s="82" t="n">
        <x:v>90</x:v>
      </x:c>
      <x:c r="B94" s="82" t="str">
        <x:v>Aaron Gate</x:v>
      </x:c>
      <x:c r="C94" s="143" t="str"/>
      <x:c r="D94" s="82" t="str">
        <x:v>ニュージーランド</x:v>
      </x:c>
      <x:c r="E94" s="82" t="str">
        <x:v>現役</x:v>
      </x:c>
      <x:c r="F94" s="82" t="str">
        <x:v>クラシック型</x:v>
      </x:c>
      <x:c r="G94" s="82" t="str">
        <x:v>TT・ルーラー型</x:v>
      </x:c>
      <x:c r="H94" s="85" t="n">
        <x:v>75</x:v>
      </x:c>
      <x:c r="I94" s="85" t="n">
        <x:v>78</x:v>
      </x:c>
      <x:c r="J94" s="91" t="str">
        <x:v>平坦アシスト / TT牽引 / 石畳護衛 / 横風要員 / 逃げ屋 / 超ロングスパート / 横風分断</x:v>
      </x:c>
      <x:c r="K94" s="91" t="str"/>
      <x:c r="L94" s="91" t="str">
        <x:v>クラシック型 / TT・ルーラー型</x:v>
      </x:c>
      <x:c r="M94" s="88" t="n">
        <x:v>7000</x:v>
      </x:c>
      <x:c r="N94" s="85" t="n">
        <x:v>73</x:v>
      </x:c>
      <x:c r="O94" s="85" t="n">
        <x:v>71</x:v>
      </x:c>
      <x:c r="P94" s="85" t="n">
        <x:v>72</x:v>
      </x:c>
      <x:c r="Q94" s="85" t="n">
        <x:v>81</x:v>
      </x:c>
      <x:c r="R94" s="85" t="n">
        <x:v>67</x:v>
      </x:c>
      <x:c r="S94" s="85" t="n">
        <x:v>74</x:v>
      </x:c>
      <x:c r="T94" s="85" t="n">
        <x:v>83</x:v>
      </x:c>
      <x:c r="U94" s="85" t="n">
        <x:v>81</x:v>
      </x:c>
      <x:c r="V94" s="85" t="n">
        <x:v>83</x:v>
      </x:c>
      <x:c r="W94" s="85" t="n">
        <x:v>78</x:v>
      </x:c>
      <x:c r="X94" s="85" t="n">
        <x:v>70</x:v>
      </x:c>
      <x:c r="Y94" s="85" t="n">
        <x:v>68</x:v>
      </x:c>
      <x:c r="Z94" s="85" t="n">
        <x:v>75</x:v>
      </x:c>
      <x:c r="AA94" s="85" t="n">
        <x:v>70</x:v>
      </x:c>
      <x:c r="AB94" s="85" t="n">
        <x:v>84</x:v>
      </x:c>
      <x:c r="AC94" s="82" t="n">
        <x:v>0</x:v>
      </x:c>
      <x:c r="AD94" s="82" t="n">
        <x:v>0</x:v>
      </x:c>
      <x:c r="AE94" s="82" t="n">
        <x:v>0</x:v>
      </x:c>
      <x:c r="AF94" s="82" t="n">
        <x:v>0</x:v>
      </x:c>
      <x:c r="AG94" s="91" t="str">
        <x:v>要実績照合</x:v>
      </x:c>
      <x:c r="AH94" s="91" t="str">
        <x:v>現役300名補充時の脚質暫定値。パリ〜ルーベ／ロンド個人成績の追加照合が必要</x:v>
      </x:c>
      <x:c r="AI94" s="91" t="str">
        <x:v>https://www.paris-roubaix.fr/en/history</x:v>
      </x:c>
      <x:c r="AJ94" s="91" t="str">
        <x:v>能力・適性・Credit整合済</x:v>
      </x:c>
      <x:c r="AK9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4" s="91" t="str">
        <x:v>https://en.wikipedia.org/wiki/Aaron_Gate</x:v>
      </x:c>
    </x:row>
    <x:row r="95" ht="24" customHeight="1">
      <x:c r="A95" s="82" t="n">
        <x:v>91</x:v>
      </x:c>
      <x:c r="B95" s="82" t="str">
        <x:v>Jonas Abrahamsen</x:v>
      </x:c>
      <x:c r="C95" s="143" t="str"/>
      <x:c r="D95" s="82" t="str">
        <x:v>ノルウェー</x:v>
      </x:c>
      <x:c r="E95" s="82" t="str">
        <x:v>現役</x:v>
      </x:c>
      <x:c r="F95" s="82" t="str">
        <x:v>クラシック型</x:v>
      </x:c>
      <x:c r="G95" s="82" t="str">
        <x:v>スプリンター</x:v>
      </x:c>
      <x:c r="H95" s="85" t="n">
        <x:v>75</x:v>
      </x:c>
      <x:c r="I95" s="85" t="n">
        <x:v>78</x:v>
      </x:c>
      <x:c r="J95" s="91" t="str">
        <x:v>スプリントトレイン / 平坦アシスト / 石畳護衛 / 横風要員 / 逃げ屋 / 超ロングスパート / 横風分断</x:v>
      </x:c>
      <x:c r="K95" s="91" t="str"/>
      <x:c r="L95" s="91" t="str">
        <x:v>クラシック型 / スプリンター</x:v>
      </x:c>
      <x:c r="M95" s="88" t="n">
        <x:v>6850</x:v>
      </x:c>
      <x:c r="N95" s="85" t="n">
        <x:v>77</x:v>
      </x:c>
      <x:c r="O95" s="85" t="n">
        <x:v>73</x:v>
      </x:c>
      <x:c r="P95" s="85" t="n">
        <x:v>73</x:v>
      </x:c>
      <x:c r="Q95" s="85" t="n">
        <x:v>79</x:v>
      </x:c>
      <x:c r="R95" s="85" t="n">
        <x:v>68</x:v>
      </x:c>
      <x:c r="S95" s="85" t="n">
        <x:v>79</x:v>
      </x:c>
      <x:c r="T95" s="85" t="n">
        <x:v>82</x:v>
      </x:c>
      <x:c r="U95" s="85" t="n">
        <x:v>80</x:v>
      </x:c>
      <x:c r="V95" s="85" t="n">
        <x:v>82</x:v>
      </x:c>
      <x:c r="W95" s="85" t="n">
        <x:v>74</x:v>
      </x:c>
      <x:c r="X95" s="85" t="n">
        <x:v>73</x:v>
      </x:c>
      <x:c r="Y95" s="85" t="n">
        <x:v>74</x:v>
      </x:c>
      <x:c r="Z95" s="85" t="n">
        <x:v>75</x:v>
      </x:c>
      <x:c r="AA95" s="85" t="n">
        <x:v>73</x:v>
      </x:c>
      <x:c r="AB95" s="85" t="n">
        <x:v>82</x:v>
      </x:c>
      <x:c r="AC95" s="82" t="n">
        <x:v>0</x:v>
      </x:c>
      <x:c r="AD95" s="82" t="n">
        <x:v>0</x:v>
      </x:c>
      <x:c r="AE95" s="82" t="n">
        <x:v>0</x:v>
      </x:c>
      <x:c r="AF95" s="82" t="n">
        <x:v>0</x:v>
      </x:c>
      <x:c r="AG95" s="91" t="str">
        <x:v>要実績照合</x:v>
      </x:c>
      <x:c r="AH95" s="91" t="str">
        <x:v>現役300名補充時の脚質暫定値。パリ〜ルーベ／ロンド個人成績の追加照合が必要</x:v>
      </x:c>
      <x:c r="AI95" s="91" t="str">
        <x:v>https://www.paris-roubaix.fr/en/history</x:v>
      </x:c>
      <x:c r="AJ95" s="91" t="str">
        <x:v>能力・適性・Credit整合済</x:v>
      </x:c>
      <x:c r="AK9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5" s="91" t="str">
        <x:v>https://en.wikipedia.org/wiki/Jonas_Abrahamsen</x:v>
      </x:c>
    </x:row>
    <x:row r="96" ht="24" customHeight="1">
      <x:c r="A96" s="82" t="n">
        <x:v>92</x:v>
      </x:c>
      <x:c r="B96" s="82" t="str">
        <x:v>Clément Russo</x:v>
      </x:c>
      <x:c r="C96" s="143" t="str"/>
      <x:c r="D96" s="82" t="str">
        <x:v>フランス</x:v>
      </x:c>
      <x:c r="E96" s="82" t="str">
        <x:v>現役</x:v>
      </x:c>
      <x:c r="F96" s="82" t="str">
        <x:v>クラシック型</x:v>
      </x:c>
      <x:c r="G96" s="82" t="str">
        <x:v>TT・ルーラー型</x:v>
      </x:c>
      <x:c r="H96" s="85" t="n">
        <x:v>75</x:v>
      </x:c>
      <x:c r="I96" s="85" t="n">
        <x:v>79</x:v>
      </x:c>
      <x:c r="J96" s="91" t="str">
        <x:v>平坦アシスト / 平坦ペースメーカー / TT牽引 / 石畳護衛 / 横風要員 / 逃げ屋 / 超ロングスパート</x:v>
      </x:c>
      <x:c r="K96" s="91" t="str"/>
      <x:c r="L96" s="91" t="str">
        <x:v>クラシック型 / TT・ルーラー型</x:v>
      </x:c>
      <x:c r="M96" s="88" t="n">
        <x:v>6650</x:v>
      </x:c>
      <x:c r="N96" s="85" t="n">
        <x:v>76</x:v>
      </x:c>
      <x:c r="O96" s="85" t="n">
        <x:v>76</x:v>
      </x:c>
      <x:c r="P96" s="85" t="n">
        <x:v>74</x:v>
      </x:c>
      <x:c r="Q96" s="85" t="n">
        <x:v>80</x:v>
      </x:c>
      <x:c r="R96" s="85" t="n">
        <x:v>69</x:v>
      </x:c>
      <x:c r="S96" s="85" t="n">
        <x:v>78</x:v>
      </x:c>
      <x:c r="T96" s="85" t="n">
        <x:v>77</x:v>
      </x:c>
      <x:c r="U96" s="85" t="n">
        <x:v>77</x:v>
      </x:c>
      <x:c r="V96" s="85" t="n">
        <x:v>79</x:v>
      </x:c>
      <x:c r="W96" s="85" t="n">
        <x:v>77</x:v>
      </x:c>
      <x:c r="X96" s="85" t="n">
        <x:v>74</x:v>
      </x:c>
      <x:c r="Y96" s="85" t="n">
        <x:v>72</x:v>
      </x:c>
      <x:c r="Z96" s="85" t="n">
        <x:v>82</x:v>
      </x:c>
      <x:c r="AA96" s="85" t="n">
        <x:v>68</x:v>
      </x:c>
      <x:c r="AB96" s="85" t="n">
        <x:v>81</x:v>
      </x:c>
      <x:c r="AC96" s="82" t="n">
        <x:v>0</x:v>
      </x:c>
      <x:c r="AD96" s="82" t="n">
        <x:v>0</x:v>
      </x:c>
      <x:c r="AE96" s="82" t="n">
        <x:v>0</x:v>
      </x:c>
      <x:c r="AF96" s="82" t="n">
        <x:v>0</x:v>
      </x:c>
      <x:c r="AG96" s="91" t="str">
        <x:v>要実績照合</x:v>
      </x:c>
      <x:c r="AH96" s="91" t="str">
        <x:v>現役300名補充時の脚質暫定値。パリ〜ルーベ／ロンド個人成績の追加照合が必要</x:v>
      </x:c>
      <x:c r="AI96" s="91" t="str">
        <x:v>https://www.paris-roubaix.fr/en/history</x:v>
      </x:c>
      <x:c r="AJ96" s="91" t="str">
        <x:v>能力・適性・Credit整合済</x:v>
      </x:c>
      <x:c r="AK9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6" s="91" t="str">
        <x:v>https://en.wikipedia.org/wiki/Cl%C3%A9ment_Russo</x:v>
      </x:c>
    </x:row>
    <x:row r="97" ht="24" customHeight="1">
      <x:c r="A97" s="82" t="n">
        <x:v>93</x:v>
      </x:c>
      <x:c r="B97" s="82" t="str">
        <x:v>Michał Kwiatkowski</x:v>
      </x:c>
      <x:c r="C97" s="143" t="str"/>
      <x:c r="D97" s="82" t="str">
        <x:v>ポーランド</x:v>
      </x:c>
      <x:c r="E97" s="82" t="str">
        <x:v>現役</x:v>
      </x:c>
      <x:c r="F97" s="82" t="str">
        <x:v>クラシック型</x:v>
      </x:c>
      <x:c r="G97" s="82" t="str">
        <x:v>TT・ルーラー型</x:v>
      </x:c>
      <x:c r="H97" s="85" t="n">
        <x:v>75</x:v>
      </x:c>
      <x:c r="I97" s="85" t="n">
        <x:v>78</x:v>
      </x:c>
      <x:c r="J97" s="91" t="str">
        <x:v>TT牽引 / 石畳護衛 / 下り牽引 / 横風要員 / 逃げ屋 / ポジションキーパー</x:v>
      </x:c>
      <x:c r="K97" s="91" t="str"/>
      <x:c r="L97" s="91" t="str">
        <x:v>クラシック型 / TT・ルーラー型</x:v>
      </x:c>
      <x:c r="M97" s="88" t="n">
        <x:v>6550</x:v>
      </x:c>
      <x:c r="N97" s="85" t="n">
        <x:v>72</x:v>
      </x:c>
      <x:c r="O97" s="85" t="n">
        <x:v>72</x:v>
      </x:c>
      <x:c r="P97" s="85" t="n">
        <x:v>75</x:v>
      </x:c>
      <x:c r="Q97" s="85" t="n">
        <x:v>75</x:v>
      </x:c>
      <x:c r="R97" s="85" t="n">
        <x:v>62</x:v>
      </x:c>
      <x:c r="S97" s="85" t="n">
        <x:v>75</x:v>
      </x:c>
      <x:c r="T97" s="85" t="n">
        <x:v>83</x:v>
      </x:c>
      <x:c r="U97" s="85" t="n">
        <x:v>82</x:v>
      </x:c>
      <x:c r="V97" s="85" t="n">
        <x:v>84</x:v>
      </x:c>
      <x:c r="W97" s="85" t="n">
        <x:v>74</x:v>
      </x:c>
      <x:c r="X97" s="85" t="n">
        <x:v>70</x:v>
      </x:c>
      <x:c r="Y97" s="85" t="n">
        <x:v>73</x:v>
      </x:c>
      <x:c r="Z97" s="85" t="n">
        <x:v>76</x:v>
      </x:c>
      <x:c r="AA97" s="85" t="n">
        <x:v>73</x:v>
      </x:c>
      <x:c r="AB97" s="85" t="n">
        <x:v>75</x:v>
      </x:c>
      <x:c r="AC97" s="82" t="n">
        <x:v>0</x:v>
      </x:c>
      <x:c r="AD97" s="82" t="n">
        <x:v>0</x:v>
      </x:c>
      <x:c r="AE97" s="82" t="n">
        <x:v>0</x:v>
      </x:c>
      <x:c r="AF97" s="82" t="n">
        <x:v>0</x:v>
      </x:c>
      <x:c r="AG97" s="91" t="str">
        <x:v>要実績照合</x:v>
      </x:c>
      <x:c r="AH97" s="91" t="str">
        <x:v>現役300名補充時の脚質暫定値。パリ〜ルーベ／ロンド個人成績の追加照合が必要</x:v>
      </x:c>
      <x:c r="AI97" s="91" t="str">
        <x:v>https://www.paris-roubaix.fr/en/history</x:v>
      </x:c>
      <x:c r="AJ97" s="91" t="str">
        <x:v>能力・適性・Credit整合済</x:v>
      </x:c>
      <x:c r="AK97" s="91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7" s="91" t="str">
        <x:v>https://en.wikipedia.org/wiki/Micha%C5%82_Kwiatkowski</x:v>
      </x:c>
    </x:row>
    <x:row r="98" ht="24" customHeight="1">
      <x:c r="A98" s="82" t="n">
        <x:v>94</x:v>
      </x:c>
      <x:c r="B98" s="82" t="str">
        <x:v>Attila Valter</x:v>
      </x:c>
      <x:c r="C98" s="143" t="str"/>
      <x:c r="D98" s="82" t="str">
        <x:v>HUN</x:v>
      </x:c>
      <x:c r="E98" s="82" t="str">
        <x:v>現役</x:v>
      </x:c>
      <x:c r="F98" s="82" t="str">
        <x:v>クライマー</x:v>
      </x:c>
      <x:c r="G98" s="82" t="str">
        <x:v>スプリンター</x:v>
      </x:c>
      <x:c r="H98" s="85" t="n">
        <x:v>75</x:v>
      </x:c>
      <x:c r="I98" s="85" t="n">
        <x:v>78</x:v>
      </x:c>
      <x:c r="J98" s="91" t="str">
        <x:v>山岳賞ハンター / スプリントトレイン / 平坦アシスト / 山岳アシスト / 山岳番手 / サテライトライダー</x:v>
      </x:c>
      <x:c r="K98" s="91" t="str"/>
      <x:c r="L98" s="91" t="str">
        <x:v>クライマー / スプリンター</x:v>
      </x:c>
      <x:c r="M98" s="88" t="n">
        <x:v>6450</x:v>
      </x:c>
      <x:c r="N98" s="85" t="n">
        <x:v>61</x:v>
      </x:c>
      <x:c r="O98" s="85" t="n">
        <x:v>69</x:v>
      </x:c>
      <x:c r="P98" s="85" t="n">
        <x:v>71</x:v>
      </x:c>
      <x:c r="Q98" s="85" t="n">
        <x:v>67</x:v>
      </x:c>
      <x:c r="R98" s="85" t="n">
        <x:v>78</x:v>
      </x:c>
      <x:c r="S98" s="85" t="n">
        <x:v>81</x:v>
      </x:c>
      <x:c r="T98" s="85" t="n">
        <x:v>73</x:v>
      </x:c>
      <x:c r="U98" s="85" t="n">
        <x:v>68</x:v>
      </x:c>
      <x:c r="V98" s="85" t="n">
        <x:v>70</x:v>
      </x:c>
      <x:c r="W98" s="85" t="n">
        <x:v>55</x:v>
      </x:c>
      <x:c r="X98" s="85" t="n">
        <x:v>79</x:v>
      </x:c>
      <x:c r="Y98" s="85" t="n">
        <x:v>79</x:v>
      </x:c>
      <x:c r="Z98" s="85" t="n">
        <x:v>78</x:v>
      </x:c>
      <x:c r="AA98" s="85" t="n">
        <x:v>72</x:v>
      </x:c>
      <x:c r="AB98" s="85" t="n">
        <x:v>78</x:v>
      </x:c>
      <x:c r="AC98" s="82" t="n">
        <x:v>0</x:v>
      </x:c>
      <x:c r="AD98" s="82" t="n">
        <x:v>0</x:v>
      </x:c>
      <x:c r="AE98" s="82" t="n">
        <x:v>0</x:v>
      </x:c>
      <x:c r="AF98" s="82" t="n">
        <x:v>0</x:v>
      </x:c>
      <x:c r="AG98" s="91" t="str">
        <x:v>要実績照合</x:v>
      </x:c>
      <x:c r="AH98" s="91" t="str">
        <x:v>現役300名補充時の脚質暫定値。パリ〜ルーベ／ロンド個人成績の追加照合が必要</x:v>
      </x:c>
      <x:c r="AI98" s="91" t="str">
        <x:v>https://www.paris-roubaix.fr/en/history</x:v>
      </x:c>
      <x:c r="AJ98" s="91" t="str">
        <x:v>能力・適性・Credit整合済</x:v>
      </x:c>
      <x:c r="AK98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8" s="91" t="str">
        <x:v>https://en.wikipedia.org/wiki/Attila_Valter</x:v>
      </x:c>
    </x:row>
    <x:row r="99" ht="24" customHeight="1">
      <x:c r="A99" s="82" t="n">
        <x:v>95</x:v>
      </x:c>
      <x:c r="B99" s="82" t="str">
        <x:v>James Knox (cyclist)</x:v>
      </x:c>
      <x:c r="C99" s="143" t="str"/>
      <x:c r="D99" s="82" t="str">
        <x:v>イギリス</x:v>
      </x:c>
      <x:c r="E99" s="82" t="str">
        <x:v>現役</x:v>
      </x:c>
      <x:c r="F99" s="82" t="str">
        <x:v>クライマー</x:v>
      </x:c>
      <x:c r="G99" s="82" t="str">
        <x:v>パンチャー</x:v>
      </x:c>
      <x:c r="H99" s="85" t="n">
        <x:v>75</x:v>
      </x:c>
      <x:c r="I99" s="85" t="n">
        <x:v>76</x:v>
      </x:c>
      <x:c r="J99" s="91" t="str">
        <x:v>山岳賞ハンター / 山岳アシスト / 逃げ屋 / サテライトライダー</x:v>
      </x:c>
      <x:c r="K99" s="91" t="str"/>
      <x:c r="L99" s="91" t="str">
        <x:v>クライマー / パンチャー</x:v>
      </x:c>
      <x:c r="M99" s="88" t="n">
        <x:v>6400</x:v>
      </x:c>
      <x:c r="N99" s="85" t="n">
        <x:v>64</x:v>
      </x:c>
      <x:c r="O99" s="85" t="n">
        <x:v>69</x:v>
      </x:c>
      <x:c r="P99" s="85" t="n">
        <x:v>71</x:v>
      </x:c>
      <x:c r="Q99" s="85" t="n">
        <x:v>66</x:v>
      </x:c>
      <x:c r="R99" s="85" t="n">
        <x:v>81</x:v>
      </x:c>
      <x:c r="S99" s="85" t="n">
        <x:v>79</x:v>
      </x:c>
      <x:c r="T99" s="85" t="n">
        <x:v>77</x:v>
      </x:c>
      <x:c r="U99" s="85" t="n">
        <x:v>66</x:v>
      </x:c>
      <x:c r="V99" s="85" t="n">
        <x:v>69</x:v>
      </x:c>
      <x:c r="W99" s="85" t="n">
        <x:v>56</x:v>
      </x:c>
      <x:c r="X99" s="85" t="n">
        <x:v>78</x:v>
      </x:c>
      <x:c r="Y99" s="85" t="n">
        <x:v>77</x:v>
      </x:c>
      <x:c r="Z99" s="85" t="n">
        <x:v>71</x:v>
      </x:c>
      <x:c r="AA99" s="85" t="n">
        <x:v>67</x:v>
      </x:c>
      <x:c r="AB99" s="85" t="n">
        <x:v>78</x:v>
      </x:c>
      <x:c r="AC99" s="82" t="n">
        <x:v>0</x:v>
      </x:c>
      <x:c r="AD99" s="82" t="n">
        <x:v>0</x:v>
      </x:c>
      <x:c r="AE99" s="82" t="n">
        <x:v>0</x:v>
      </x:c>
      <x:c r="AF99" s="82" t="n">
        <x:v>0</x:v>
      </x:c>
      <x:c r="AG99" s="91" t="str">
        <x:v>要実績照合</x:v>
      </x:c>
      <x:c r="AH99" s="91" t="str">
        <x:v>現役300名補充時の脚質暫定値。パリ〜ルーベ／ロンド個人成績の追加照合が必要</x:v>
      </x:c>
      <x:c r="AI99" s="91" t="str">
        <x:v>https://www.paris-roubaix.fr/en/history</x:v>
      </x:c>
      <x:c r="AJ99" s="91" t="str">
        <x:v>能力・適性・Credit整合済</x:v>
      </x:c>
      <x:c r="AK99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99" s="91" t="str">
        <x:v>https://en.wikipedia.org/wiki/James_Knox_(cyclist)</x:v>
      </x:c>
    </x:row>
    <x:row r="100" ht="24" customHeight="1">
      <x:c r="A100" s="82" t="n">
        <x:v>96</x:v>
      </x:c>
      <x:c r="B100" s="82" t="str">
        <x:v>Léo Bisiaux</x:v>
      </x:c>
      <x:c r="C100" s="143" t="str"/>
      <x:c r="D100" s="82" t="str">
        <x:v>フランス</x:v>
      </x:c>
      <x:c r="E100" s="82" t="str">
        <x:v>現役</x:v>
      </x:c>
      <x:c r="F100" s="82" t="str">
        <x:v>クラシック型</x:v>
      </x:c>
      <x:c r="G100" s="82" t="str">
        <x:v>TT・ルーラー型</x:v>
      </x:c>
      <x:c r="H100" s="85" t="n">
        <x:v>75</x:v>
      </x:c>
      <x:c r="I100" s="85" t="n">
        <x:v>78</x:v>
      </x:c>
      <x:c r="J100" s="91" t="str">
        <x:v>平坦アシスト / TT牽引 / 石畳護衛 / ブレイクアウェイキラー / 横風要員 / 逃げ屋 / ブリッジャー</x:v>
      </x:c>
      <x:c r="K100" s="91" t="str"/>
      <x:c r="L100" s="91" t="str">
        <x:v>クラシック型 / TT・ルーラー型</x:v>
      </x:c>
      <x:c r="M100" s="88" t="n">
        <x:v>6300</x:v>
      </x:c>
      <x:c r="N100" s="85" t="n">
        <x:v>75</x:v>
      </x:c>
      <x:c r="O100" s="85" t="n">
        <x:v>73</x:v>
      </x:c>
      <x:c r="P100" s="85" t="n">
        <x:v>73</x:v>
      </x:c>
      <x:c r="Q100" s="85" t="n">
        <x:v>75</x:v>
      </x:c>
      <x:c r="R100" s="85" t="n">
        <x:v>70</x:v>
      </x:c>
      <x:c r="S100" s="85" t="n">
        <x:v>73</x:v>
      </x:c>
      <x:c r="T100" s="85" t="n">
        <x:v>79</x:v>
      </x:c>
      <x:c r="U100" s="85" t="n">
        <x:v>79</x:v>
      </x:c>
      <x:c r="V100" s="85" t="n">
        <x:v>79</x:v>
      </x:c>
      <x:c r="W100" s="85" t="n">
        <x:v>76</x:v>
      </x:c>
      <x:c r="X100" s="85" t="n">
        <x:v>73</x:v>
      </x:c>
      <x:c r="Y100" s="85" t="n">
        <x:v>73</x:v>
      </x:c>
      <x:c r="Z100" s="85" t="n">
        <x:v>78</x:v>
      </x:c>
      <x:c r="AA100" s="85" t="n">
        <x:v>70</x:v>
      </x:c>
      <x:c r="AB100" s="85" t="n">
        <x:v>75</x:v>
      </x:c>
      <x:c r="AC100" s="82" t="n">
        <x:v>0</x:v>
      </x:c>
      <x:c r="AD100" s="82" t="n">
        <x:v>0</x:v>
      </x:c>
      <x:c r="AE100" s="82" t="n">
        <x:v>0</x:v>
      </x:c>
      <x:c r="AF100" s="82" t="n">
        <x:v>0</x:v>
      </x:c>
      <x:c r="AG100" s="91" t="str">
        <x:v>要実績照合</x:v>
      </x:c>
      <x:c r="AH100" s="91" t="str">
        <x:v>現役300名補充時の脚質暫定値。パリ〜ルーベ／ロンド個人成績の追加照合が必要</x:v>
      </x:c>
      <x:c r="AI100" s="91" t="str">
        <x:v>https://www.paris-roubaix.fr/en/history</x:v>
      </x:c>
      <x:c r="AJ100" s="91" t="str">
        <x:v>能力・適性・Credit整合済</x:v>
      </x:c>
      <x:c r="AK10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0" s="91" t="str">
        <x:v>https://en.wikipedia.org/wiki/L%C3%A9o_Bisiaux</x:v>
      </x:c>
    </x:row>
    <x:row r="101" ht="24" customHeight="1">
      <x:c r="A101" s="82" t="n">
        <x:v>97</x:v>
      </x:c>
      <x:c r="B101" s="82" t="str">
        <x:v>Julien Bernard</x:v>
      </x:c>
      <x:c r="C101" s="143" t="str"/>
      <x:c r="D101" s="82" t="str">
        <x:v>フランス</x:v>
      </x:c>
      <x:c r="E101" s="82" t="str">
        <x:v>現役</x:v>
      </x:c>
      <x:c r="F101" s="82" t="str">
        <x:v>総合型</x:v>
      </x:c>
      <x:c r="G101" s="82" t="str">
        <x:v>スプリンター</x:v>
      </x:c>
      <x:c r="H101" s="85" t="n">
        <x:v>75</x:v>
      </x:c>
      <x:c r="I101" s="85" t="n">
        <x:v>75</x:v>
      </x:c>
      <x:c r="J101" s="91" t="str">
        <x:v>山岳賞ハンター / スプリントトレイン / 山岳アシスト / ブリッジャー</x:v>
      </x:c>
      <x:c r="K101" s="91" t="str"/>
      <x:c r="L101" s="91" t="str">
        <x:v>総合型 / スプリンター</x:v>
      </x:c>
      <x:c r="M101" s="88" t="n">
        <x:v>6200</x:v>
      </x:c>
      <x:c r="N101" s="85" t="n">
        <x:v>64</x:v>
      </x:c>
      <x:c r="O101" s="85" t="n">
        <x:v>70</x:v>
      </x:c>
      <x:c r="P101" s="85" t="n">
        <x:v>71</x:v>
      </x:c>
      <x:c r="Q101" s="85" t="n">
        <x:v>71</x:v>
      </x:c>
      <x:c r="R101" s="85" t="n">
        <x:v>79</x:v>
      </x:c>
      <x:c r="S101" s="85" t="n">
        <x:v>76</x:v>
      </x:c>
      <x:c r="T101" s="85" t="n">
        <x:v>78</x:v>
      </x:c>
      <x:c r="U101" s="85" t="n">
        <x:v>66</x:v>
      </x:c>
      <x:c r="V101" s="85" t="n">
        <x:v>69</x:v>
      </x:c>
      <x:c r="W101" s="85" t="n">
        <x:v>54</x:v>
      </x:c>
      <x:c r="X101" s="85" t="n">
        <x:v>82</x:v>
      </x:c>
      <x:c r="Y101" s="85" t="n">
        <x:v>80</x:v>
      </x:c>
      <x:c r="Z101" s="85" t="n">
        <x:v>70</x:v>
      </x:c>
      <x:c r="AA101" s="85" t="n">
        <x:v>80</x:v>
      </x:c>
      <x:c r="AB101" s="85" t="n">
        <x:v>71</x:v>
      </x:c>
      <x:c r="AC101" s="82" t="n">
        <x:v>0</x:v>
      </x:c>
      <x:c r="AD101" s="82" t="n">
        <x:v>0</x:v>
      </x:c>
      <x:c r="AE101" s="82" t="n">
        <x:v>0</x:v>
      </x:c>
      <x:c r="AF101" s="82" t="n">
        <x:v>0</x:v>
      </x:c>
      <x:c r="AG101" s="91" t="str">
        <x:v>要実績照合</x:v>
      </x:c>
      <x:c r="AH101" s="91" t="str">
        <x:v>現役300名補充時の脚質暫定値。パリ〜ルーベ／ロンド個人成績の追加照合が必要</x:v>
      </x:c>
      <x:c r="AI101" s="91" t="str">
        <x:v>https://www.paris-roubaix.fr/en/history</x:v>
      </x:c>
      <x:c r="AJ101" s="91" t="str">
        <x:v>能力・適性・Credit整合済</x:v>
      </x:c>
      <x:c r="AK10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1" s="91" t="str">
        <x:v>https://en.wikipedia.org/wiki/Julien_Bernard</x:v>
      </x:c>
    </x:row>
    <x:row r="102" ht="24" customHeight="1">
      <x:c r="A102" s="82" t="n">
        <x:v>98</x:v>
      </x:c>
      <x:c r="B102" s="82" t="str">
        <x:v>Jørgen Nordhagen</x:v>
      </x:c>
      <x:c r="C102" s="143" t="str"/>
      <x:c r="D102" s="82" t="str">
        <x:v>ノルウェー</x:v>
      </x:c>
      <x:c r="E102" s="82" t="str">
        <x:v>現役</x:v>
      </x:c>
      <x:c r="F102" s="82" t="str">
        <x:v>パンチャー</x:v>
      </x:c>
      <x:c r="G102" s="82" t="str">
        <x:v>スプリンター</x:v>
      </x:c>
      <x:c r="H102" s="85" t="n">
        <x:v>75</x:v>
      </x:c>
      <x:c r="I102" s="85" t="n">
        <x:v>72</x:v>
      </x:c>
      <x:c r="J102" s="91" t="str">
        <x:v>ステージハンター / 山岳賞ハンター / スプリントトレイン / 下り牽引 / 逃げ屋 / カウンターアタッカー / 無賃乗車</x:v>
      </x:c>
      <x:c r="K102" s="91" t="str"/>
      <x:c r="L102" s="91" t="str">
        <x:v>パンチャー / スプリンター</x:v>
      </x:c>
      <x:c r="M102" s="88" t="n">
        <x:v>6150</x:v>
      </x:c>
      <x:c r="N102" s="85" t="n">
        <x:v>71</x:v>
      </x:c>
      <x:c r="O102" s="85" t="n">
        <x:v>81</x:v>
      </x:c>
      <x:c r="P102" s="85" t="n">
        <x:v>82</x:v>
      </x:c>
      <x:c r="Q102" s="85" t="n">
        <x:v>69</x:v>
      </x:c>
      <x:c r="R102" s="85" t="n">
        <x:v>73</x:v>
      </x:c>
      <x:c r="S102" s="85" t="n">
        <x:v>67</x:v>
      </x:c>
      <x:c r="T102" s="85" t="n">
        <x:v>70</x:v>
      </x:c>
      <x:c r="U102" s="85" t="n">
        <x:v>74</x:v>
      </x:c>
      <x:c r="V102" s="85" t="n">
        <x:v>79</x:v>
      </x:c>
      <x:c r="W102" s="85" t="n">
        <x:v>60</x:v>
      </x:c>
      <x:c r="X102" s="85" t="n">
        <x:v>72</x:v>
      </x:c>
      <x:c r="Y102" s="85" t="n">
        <x:v>71</x:v>
      </x:c>
      <x:c r="Z102" s="85" t="n">
        <x:v>64</x:v>
      </x:c>
      <x:c r="AA102" s="85" t="n">
        <x:v>77</x:v>
      </x:c>
      <x:c r="AB102" s="85" t="n">
        <x:v>80</x:v>
      </x:c>
      <x:c r="AC102" s="82" t="n">
        <x:v>0</x:v>
      </x:c>
      <x:c r="AD102" s="82" t="n">
        <x:v>0</x:v>
      </x:c>
      <x:c r="AE102" s="82" t="n">
        <x:v>0</x:v>
      </x:c>
      <x:c r="AF102" s="82" t="n">
        <x:v>0</x:v>
      </x:c>
      <x:c r="AG102" s="91" t="str">
        <x:v>要実績照合</x:v>
      </x:c>
      <x:c r="AH102" s="91" t="str">
        <x:v>現役300名補充時の脚質暫定値。パリ〜ルーベ／ロンド個人成績の追加照合が必要</x:v>
      </x:c>
      <x:c r="AI102" s="91" t="str">
        <x:v>https://www.paris-roubaix.fr/en/history</x:v>
      </x:c>
      <x:c r="AJ102" s="91" t="str">
        <x:v>能力・適性・Credit整合済</x:v>
      </x:c>
      <x:c r="AK10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2" s="91" t="str">
        <x:v>https://en.wikipedia.org/wiki/J%C3%B8rgen_Nordhagen</x:v>
      </x:c>
    </x:row>
    <x:row r="103" ht="24" customHeight="1">
      <x:c r="A103" s="82" t="n">
        <x:v>99</x:v>
      </x:c>
      <x:c r="B103" s="82" t="str">
        <x:v>Alessandro Pinarello</x:v>
      </x:c>
      <x:c r="C103" s="143" t="str"/>
      <x:c r="D103" s="82" t="str">
        <x:v>イタリア</x:v>
      </x:c>
      <x:c r="E103" s="82" t="str">
        <x:v>現役</x:v>
      </x:c>
      <x:c r="F103" s="82" t="str">
        <x:v>クラシック型</x:v>
      </x:c>
      <x:c r="G103" s="82" t="str">
        <x:v>総合型</x:v>
      </x:c>
      <x:c r="H103" s="85" t="n">
        <x:v>75</x:v>
      </x:c>
      <x:c r="I103" s="85" t="n">
        <x:v>75</x:v>
      </x:c>
      <x:c r="J103" s="91" t="str">
        <x:v>石畳護衛 / 集団コントローラー / 逃げ屋</x:v>
      </x:c>
      <x:c r="K103" s="91" t="str"/>
      <x:c r="L103" s="91" t="str">
        <x:v>クラシック型 / 総合型</x:v>
      </x:c>
      <x:c r="M103" s="88" t="n">
        <x:v>5900</x:v>
      </x:c>
      <x:c r="N103" s="85" t="n">
        <x:v>74</x:v>
      </x:c>
      <x:c r="O103" s="85" t="n">
        <x:v>69</x:v>
      </x:c>
      <x:c r="P103" s="85" t="n">
        <x:v>71</x:v>
      </x:c>
      <x:c r="Q103" s="85" t="n">
        <x:v>73</x:v>
      </x:c>
      <x:c r="R103" s="85" t="n">
        <x:v>64</x:v>
      </x:c>
      <x:c r="S103" s="85" t="n">
        <x:v>77</x:v>
      </x:c>
      <x:c r="T103" s="85" t="n">
        <x:v>78</x:v>
      </x:c>
      <x:c r="U103" s="85" t="n">
        <x:v>77</x:v>
      </x:c>
      <x:c r="V103" s="85" t="n">
        <x:v>75</x:v>
      </x:c>
      <x:c r="W103" s="85" t="n">
        <x:v>73</x:v>
      </x:c>
      <x:c r="X103" s="85" t="n">
        <x:v>67</x:v>
      </x:c>
      <x:c r="Y103" s="85" t="n">
        <x:v>69</x:v>
      </x:c>
      <x:c r="Z103" s="85" t="n">
        <x:v>72</x:v>
      </x:c>
      <x:c r="AA103" s="85" t="n">
        <x:v>69</x:v>
      </x:c>
      <x:c r="AB103" s="85" t="n">
        <x:v>78</x:v>
      </x:c>
      <x:c r="AC103" s="82" t="n">
        <x:v>0</x:v>
      </x:c>
      <x:c r="AD103" s="82" t="n">
        <x:v>0</x:v>
      </x:c>
      <x:c r="AE103" s="82" t="n">
        <x:v>0</x:v>
      </x:c>
      <x:c r="AF103" s="82" t="n">
        <x:v>0</x:v>
      </x:c>
      <x:c r="AG103" s="91" t="str">
        <x:v>要実績照合</x:v>
      </x:c>
      <x:c r="AH103" s="91" t="str">
        <x:v>現役300名補充時の脚質暫定値。パリ〜ルーベ／ロンド個人成績の追加照合が必要</x:v>
      </x:c>
      <x:c r="AI103" s="91" t="str">
        <x:v>https://www.paris-roubaix.fr/en/history</x:v>
      </x:c>
      <x:c r="AJ103" s="91" t="str">
        <x:v>能力・適性・Credit整合済</x:v>
      </x:c>
      <x:c r="AK10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3" s="91" t="str">
        <x:v>https://en.wikipedia.org/wiki/Alessandro_Pinarello</x:v>
      </x:c>
    </x:row>
    <x:row r="104" ht="24" customHeight="1">
      <x:c r="A104" s="82" t="n">
        <x:v>100</x:v>
      </x:c>
      <x:c r="B104" s="82" t="str">
        <x:v>Ilan Van Wilder</x:v>
      </x:c>
      <x:c r="C104" s="143" t="str"/>
      <x:c r="D104" s="82" t="str">
        <x:v>ベルギー</x:v>
      </x:c>
      <x:c r="E104" s="82" t="str">
        <x:v>現役</x:v>
      </x:c>
      <x:c r="F104" s="82" t="str">
        <x:v>総合型</x:v>
      </x:c>
      <x:c r="G104" s="82" t="str">
        <x:v>クライマー</x:v>
      </x:c>
      <x:c r="H104" s="85" t="n">
        <x:v>75</x:v>
      </x:c>
      <x:c r="I104" s="85" t="n">
        <x:v>75</x:v>
      </x:c>
      <x:c r="J104" s="91" t="str">
        <x:v>山岳賞ハンター / 山岳アシスト / 山岳ペースメーカー</x:v>
      </x:c>
      <x:c r="K104" s="91" t="str"/>
      <x:c r="L104" s="91" t="str">
        <x:v>総合型 / クライマー</x:v>
      </x:c>
      <x:c r="M104" s="88" t="n">
        <x:v>5900</x:v>
      </x:c>
      <x:c r="N104" s="85" t="n">
        <x:v>65</x:v>
      </x:c>
      <x:c r="O104" s="85" t="n">
        <x:v>65</x:v>
      </x:c>
      <x:c r="P104" s="85" t="n">
        <x:v>70</x:v>
      </x:c>
      <x:c r="Q104" s="85" t="n">
        <x:v>69</x:v>
      </x:c>
      <x:c r="R104" s="85" t="n">
        <x:v>80</x:v>
      </x:c>
      <x:c r="S104" s="85" t="n">
        <x:v>82</x:v>
      </x:c>
      <x:c r="T104" s="85" t="n">
        <x:v>77</x:v>
      </x:c>
      <x:c r="U104" s="85" t="n">
        <x:v>66</x:v>
      </x:c>
      <x:c r="V104" s="85" t="n">
        <x:v>69</x:v>
      </x:c>
      <x:c r="W104" s="85" t="n">
        <x:v>55</x:v>
      </x:c>
      <x:c r="X104" s="85" t="n">
        <x:v>76</x:v>
      </x:c>
      <x:c r="Y104" s="85" t="n">
        <x:v>79</x:v>
      </x:c>
      <x:c r="Z104" s="85" t="n">
        <x:v>69</x:v>
      </x:c>
      <x:c r="AA104" s="85" t="n">
        <x:v>71</x:v>
      </x:c>
      <x:c r="AB104" s="85" t="n">
        <x:v>68</x:v>
      </x:c>
      <x:c r="AC104" s="82" t="n">
        <x:v>0</x:v>
      </x:c>
      <x:c r="AD104" s="82" t="n">
        <x:v>0</x:v>
      </x:c>
      <x:c r="AE104" s="82" t="n">
        <x:v>0</x:v>
      </x:c>
      <x:c r="AF104" s="82" t="n">
        <x:v>0</x:v>
      </x:c>
      <x:c r="AG104" s="91" t="str">
        <x:v>要実績照合</x:v>
      </x:c>
      <x:c r="AH104" s="91" t="str">
        <x:v>現役300名補充時の脚質暫定値。パリ〜ルーベ／ロンド個人成績の追加照合が必要</x:v>
      </x:c>
      <x:c r="AI104" s="91" t="str">
        <x:v>https://www.paris-roubaix.fr/en/history</x:v>
      </x:c>
      <x:c r="AJ104" s="91" t="str">
        <x:v>能力・適性・Credit整合済</x:v>
      </x:c>
      <x:c r="AK104" s="91" t="str">
        <x:v>公開プロフィール脚質「All 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4" s="91" t="str">
        <x:v>https://en.wikipedia.org/wiki/Ilan_Van_Wilder</x:v>
      </x:c>
    </x:row>
    <x:row r="105" ht="24" customHeight="1">
      <x:c r="A105" s="82" t="n">
        <x:v>101</x:v>
      </x:c>
      <x:c r="B105" s="82" t="str">
        <x:v>Felix Ørn-Kristoff</x:v>
      </x:c>
      <x:c r="C105" s="143" t="str"/>
      <x:c r="D105" s="82" t="str">
        <x:v>ノルウェー</x:v>
      </x:c>
      <x:c r="E105" s="82" t="str">
        <x:v>現役</x:v>
      </x:c>
      <x:c r="F105" s="82" t="str">
        <x:v>クラシック型</x:v>
      </x:c>
      <x:c r="G105" s="82" t="str">
        <x:v>パンチャー</x:v>
      </x:c>
      <x:c r="H105" s="85" t="n">
        <x:v>75</x:v>
      </x:c>
      <x:c r="I105" s="85" t="n">
        <x:v>75</x:v>
      </x:c>
      <x:c r="J105" s="91" t="str">
        <x:v>石畳護衛 / 横風要員 / 逃げ屋</x:v>
      </x:c>
      <x:c r="K105" s="91" t="str"/>
      <x:c r="L105" s="91" t="str">
        <x:v>クラシック型 / パンチャー</x:v>
      </x:c>
      <x:c r="M105" s="88" t="n">
        <x:v>5800</x:v>
      </x:c>
      <x:c r="N105" s="85" t="n">
        <x:v>71</x:v>
      </x:c>
      <x:c r="O105" s="85" t="n">
        <x:v>72</x:v>
      </x:c>
      <x:c r="P105" s="85" t="n">
        <x:v>72</x:v>
      </x:c>
      <x:c r="Q105" s="85" t="n">
        <x:v>77</x:v>
      </x:c>
      <x:c r="R105" s="85" t="n">
        <x:v>62</x:v>
      </x:c>
      <x:c r="S105" s="85" t="n">
        <x:v>71</x:v>
      </x:c>
      <x:c r="T105" s="85" t="n">
        <x:v>75</x:v>
      </x:c>
      <x:c r="U105" s="85" t="n">
        <x:v>76</x:v>
      </x:c>
      <x:c r="V105" s="85" t="n">
        <x:v>81</x:v>
      </x:c>
      <x:c r="W105" s="85" t="n">
        <x:v>71</x:v>
      </x:c>
      <x:c r="X105" s="85" t="n">
        <x:v>70</x:v>
      </x:c>
      <x:c r="Y105" s="85" t="n">
        <x:v>69</x:v>
      </x:c>
      <x:c r="Z105" s="85" t="n">
        <x:v>73</x:v>
      </x:c>
      <x:c r="AA105" s="85" t="n">
        <x:v>72</x:v>
      </x:c>
      <x:c r="AB105" s="85" t="n">
        <x:v>77</x:v>
      </x:c>
      <x:c r="AC105" s="82" t="n">
        <x:v>0</x:v>
      </x:c>
      <x:c r="AD105" s="82" t="n">
        <x:v>0</x:v>
      </x:c>
      <x:c r="AE105" s="82" t="n">
        <x:v>0</x:v>
      </x:c>
      <x:c r="AF105" s="82" t="n">
        <x:v>0</x:v>
      </x:c>
      <x:c r="AG105" s="91" t="str">
        <x:v>要実績照合</x:v>
      </x:c>
      <x:c r="AH105" s="91" t="str">
        <x:v>現役300名補充時の脚質暫定値。パリ〜ルーベ／ロンド個人成績の追加照合が必要</x:v>
      </x:c>
      <x:c r="AI105" s="91" t="str">
        <x:v>https://www.paris-roubaix.fr/en/history</x:v>
      </x:c>
      <x:c r="AJ105" s="91" t="str">
        <x:v>能力・適性・Credit整合済</x:v>
      </x:c>
      <x:c r="AK10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5" s="91" t="str">
        <x:v>https://en.wikipedia.org/wiki/Felix_%C3%98rn-Kristoff</x:v>
      </x:c>
    </x:row>
    <x:row r="106" ht="24" customHeight="1">
      <x:c r="A106" s="82" t="n">
        <x:v>102</x:v>
      </x:c>
      <x:c r="B106" s="82" t="str">
        <x:v>Jan Hirt</x:v>
      </x:c>
      <x:c r="C106" s="143" t="str"/>
      <x:c r="D106" s="82" t="str">
        <x:v>チェコ</x:v>
      </x:c>
      <x:c r="E106" s="82" t="str">
        <x:v>現役</x:v>
      </x:c>
      <x:c r="F106" s="82" t="str">
        <x:v>クライマー</x:v>
      </x:c>
      <x:c r="G106" s="82" t="str">
        <x:v>パンチャー</x:v>
      </x:c>
      <x:c r="H106" s="85" t="n">
        <x:v>75</x:v>
      </x:c>
      <x:c r="I106" s="85" t="n">
        <x:v>75</x:v>
      </x:c>
      <x:c r="J106" s="91" t="str">
        <x:v>山岳賞ハンター / 山岳アシスト / 山岳ペースメーカー</x:v>
      </x:c>
      <x:c r="K106" s="91" t="str"/>
      <x:c r="L106" s="91" t="str">
        <x:v>クライマー / パンチャー</x:v>
      </x:c>
      <x:c r="M106" s="88" t="n">
        <x:v>5750</x:v>
      </x:c>
      <x:c r="N106" s="85" t="n">
        <x:v>57</x:v>
      </x:c>
      <x:c r="O106" s="85" t="n">
        <x:v>66</x:v>
      </x:c>
      <x:c r="P106" s="85" t="n">
        <x:v>70</x:v>
      </x:c>
      <x:c r="Q106" s="85" t="n">
        <x:v>66</x:v>
      </x:c>
      <x:c r="R106" s="85" t="n">
        <x:v>76</x:v>
      </x:c>
      <x:c r="S106" s="85" t="n">
        <x:v>80</x:v>
      </x:c>
      <x:c r="T106" s="85" t="n">
        <x:v>71</x:v>
      </x:c>
      <x:c r="U106" s="85" t="n">
        <x:v>64</x:v>
      </x:c>
      <x:c r="V106" s="85" t="n">
        <x:v>66</x:v>
      </x:c>
      <x:c r="W106" s="85" t="n">
        <x:v>55</x:v>
      </x:c>
      <x:c r="X106" s="85" t="n">
        <x:v>77</x:v>
      </x:c>
      <x:c r="Y106" s="85" t="n">
        <x:v>75</x:v>
      </x:c>
      <x:c r="Z106" s="85" t="n">
        <x:v>72</x:v>
      </x:c>
      <x:c r="AA106" s="85" t="n">
        <x:v>67</x:v>
      </x:c>
      <x:c r="AB106" s="85" t="n">
        <x:v>74</x:v>
      </x:c>
      <x:c r="AC106" s="82" t="n">
        <x:v>0</x:v>
      </x:c>
      <x:c r="AD106" s="82" t="n">
        <x:v>0</x:v>
      </x:c>
      <x:c r="AE106" s="82" t="n">
        <x:v>0</x:v>
      </x:c>
      <x:c r="AF106" s="82" t="n">
        <x:v>0</x:v>
      </x:c>
      <x:c r="AG106" s="91" t="str">
        <x:v>要実績照合</x:v>
      </x:c>
      <x:c r="AH106" s="91" t="str">
        <x:v>現役300名補充時の脚質暫定値。パリ〜ルーベ／ロンド個人成績の追加照合が必要</x:v>
      </x:c>
      <x:c r="AI106" s="91" t="str">
        <x:v>https://www.paris-roubaix.fr/en/history</x:v>
      </x:c>
      <x:c r="AJ106" s="91" t="str">
        <x:v>能力・適性・Credit整合済</x:v>
      </x:c>
      <x:c r="AK106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6" s="91" t="str">
        <x:v>https://en.wikipedia.org/wiki/Jan_Hirt</x:v>
      </x:c>
    </x:row>
    <x:row r="107" ht="24" customHeight="1">
      <x:c r="A107" s="82" t="n">
        <x:v>103</x:v>
      </x:c>
      <x:c r="B107" s="82" t="str">
        <x:v>Cian Uijtdebroeks</x:v>
      </x:c>
      <x:c r="C107" s="143" t="str"/>
      <x:c r="D107" s="82" t="str">
        <x:v>ベルギー</x:v>
      </x:c>
      <x:c r="E107" s="82" t="str">
        <x:v>現役</x:v>
      </x:c>
      <x:c r="F107" s="82" t="str">
        <x:v>総合型</x:v>
      </x:c>
      <x:c r="G107" s="82" t="str">
        <x:v>クライマー</x:v>
      </x:c>
      <x:c r="H107" s="85" t="n">
        <x:v>75</x:v>
      </x:c>
      <x:c r="I107" s="85" t="n">
        <x:v>72</x:v>
      </x:c>
      <x:c r="J107" s="91" t="str">
        <x:v>山岳賞ハンター / 山岳アシスト / 集団コントローラー</x:v>
      </x:c>
      <x:c r="K107" s="91" t="str"/>
      <x:c r="L107" s="91" t="str">
        <x:v>総合型 / クライマー</x:v>
      </x:c>
      <x:c r="M107" s="88" t="n">
        <x:v>5550</x:v>
      </x:c>
      <x:c r="N107" s="85" t="n">
        <x:v>66</x:v>
      </x:c>
      <x:c r="O107" s="85" t="n">
        <x:v>69</x:v>
      </x:c>
      <x:c r="P107" s="85" t="n">
        <x:v>72</x:v>
      </x:c>
      <x:c r="Q107" s="85" t="n">
        <x:v>69</x:v>
      </x:c>
      <x:c r="R107" s="85" t="n">
        <x:v>74</x:v>
      </x:c>
      <x:c r="S107" s="85" t="n">
        <x:v>75</x:v>
      </x:c>
      <x:c r="T107" s="85" t="n">
        <x:v>73</x:v>
      </x:c>
      <x:c r="U107" s="85" t="n">
        <x:v>68</x:v>
      </x:c>
      <x:c r="V107" s="85" t="n">
        <x:v>67</x:v>
      </x:c>
      <x:c r="W107" s="85" t="n">
        <x:v>57</x:v>
      </x:c>
      <x:c r="X107" s="85" t="n">
        <x:v>82</x:v>
      </x:c>
      <x:c r="Y107" s="85" t="n">
        <x:v>80</x:v>
      </x:c>
      <x:c r="Z107" s="85" t="n">
        <x:v>66</x:v>
      </x:c>
      <x:c r="AA107" s="85" t="n">
        <x:v>72</x:v>
      </x:c>
      <x:c r="AB107" s="85" t="n">
        <x:v>66</x:v>
      </x:c>
      <x:c r="AC107" s="82" t="n">
        <x:v>0</x:v>
      </x:c>
      <x:c r="AD107" s="82" t="n">
        <x:v>0</x:v>
      </x:c>
      <x:c r="AE107" s="82" t="n">
        <x:v>0</x:v>
      </x:c>
      <x:c r="AF107" s="82" t="n">
        <x:v>0</x:v>
      </x:c>
      <x:c r="AG107" s="91" t="str">
        <x:v>要実績照合</x:v>
      </x:c>
      <x:c r="AH107" s="91" t="str">
        <x:v>現役300名補充時の脚質暫定値。パリ〜ルーベ／ロンド個人成績の追加照合が必要</x:v>
      </x:c>
      <x:c r="AI107" s="91" t="str">
        <x:v>https://www.paris-roubaix.fr/en/history</x:v>
      </x:c>
      <x:c r="AJ107" s="91" t="str">
        <x:v>能力・適性・Credit整合済</x:v>
      </x:c>
      <x:c r="AK107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7" s="91" t="str">
        <x:v>https://en.wikipedia.org/wiki/Cian_Uijtdebroeks</x:v>
      </x:c>
    </x:row>
    <x:row r="108" ht="24" customHeight="1">
      <x:c r="A108" s="82" t="n">
        <x:v>104</x:v>
      </x:c>
      <x:c r="B108" s="82" t="str">
        <x:v>Ben Healy (cyclist)</x:v>
      </x:c>
      <x:c r="C108" s="143" t="str"/>
      <x:c r="D108" s="82" t="str">
        <x:v>アイルランド</x:v>
      </x:c>
      <x:c r="E108" s="82" t="str">
        <x:v>現役</x:v>
      </x:c>
      <x:c r="F108" s="82" t="str">
        <x:v>パンチャー</x:v>
      </x:c>
      <x:c r="G108" s="82" t="str">
        <x:v>クラシック型</x:v>
      </x:c>
      <x:c r="H108" s="85" t="n">
        <x:v>75</x:v>
      </x:c>
      <x:c r="I108" s="85" t="n">
        <x:v>71</x:v>
      </x:c>
      <x:c r="J108" s="91" t="str">
        <x:v>ステージハンター / 山岳賞ハンター / カウンターアタッカー</x:v>
      </x:c>
      <x:c r="K108" s="91" t="str"/>
      <x:c r="L108" s="91" t="str">
        <x:v>パンチャー / クラシック型</x:v>
      </x:c>
      <x:c r="M108" s="88" t="n">
        <x:v>5500</x:v>
      </x:c>
      <x:c r="N108" s="85" t="n">
        <x:v>74</x:v>
      </x:c>
      <x:c r="O108" s="85" t="n">
        <x:v>76</x:v>
      </x:c>
      <x:c r="P108" s="85" t="n">
        <x:v>79</x:v>
      </x:c>
      <x:c r="Q108" s="85" t="n">
        <x:v>69</x:v>
      </x:c>
      <x:c r="R108" s="85" t="n">
        <x:v>73</x:v>
      </x:c>
      <x:c r="S108" s="85" t="n">
        <x:v>67</x:v>
      </x:c>
      <x:c r="T108" s="85" t="n">
        <x:v>68</x:v>
      </x:c>
      <x:c r="U108" s="85" t="n">
        <x:v>75</x:v>
      </x:c>
      <x:c r="V108" s="85" t="n">
        <x:v>76</x:v>
      </x:c>
      <x:c r="W108" s="85" t="n">
        <x:v>60</x:v>
      </x:c>
      <x:c r="X108" s="85" t="n">
        <x:v>73</x:v>
      </x:c>
      <x:c r="Y108" s="85" t="n">
        <x:v>70</x:v>
      </x:c>
      <x:c r="Z108" s="85" t="n">
        <x:v>68</x:v>
      </x:c>
      <x:c r="AA108" s="85" t="n">
        <x:v>81</x:v>
      </x:c>
      <x:c r="AB108" s="85" t="n">
        <x:v>73</x:v>
      </x:c>
      <x:c r="AC108" s="82" t="n">
        <x:v>0</x:v>
      </x:c>
      <x:c r="AD108" s="82" t="n">
        <x:v>0</x:v>
      </x:c>
      <x:c r="AE108" s="82" t="n">
        <x:v>0</x:v>
      </x:c>
      <x:c r="AF108" s="82" t="n">
        <x:v>0</x:v>
      </x:c>
      <x:c r="AG108" s="91" t="str">
        <x:v>要実績照合</x:v>
      </x:c>
      <x:c r="AH108" s="91" t="str">
        <x:v>現役300名補充時の脚質暫定値。パリ〜ルーベ／ロンド個人成績の追加照合が必要</x:v>
      </x:c>
      <x:c r="AI108" s="91" t="str">
        <x:v>https://www.paris-roubaix.fr/en/history</x:v>
      </x:c>
      <x:c r="AJ108" s="91" t="str">
        <x:v>能力・適性・Credit整合済</x:v>
      </x:c>
      <x:c r="AK10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8" s="91" t="str">
        <x:v>https://en.wikipedia.org/wiki/Ben_Healy_(cyclist)</x:v>
      </x:c>
    </x:row>
    <x:row r="109" ht="24" customHeight="1">
      <x:c r="A109" s="82" t="n">
        <x:v>105</x:v>
      </x:c>
      <x:c r="B109" s="82" t="str">
        <x:v>Enzo Paleni</x:v>
      </x:c>
      <x:c r="C109" s="143" t="str"/>
      <x:c r="D109" s="82" t="str">
        <x:v>フランス</x:v>
      </x:c>
      <x:c r="E109" s="82" t="str">
        <x:v>現役</x:v>
      </x:c>
      <x:c r="F109" s="82" t="str">
        <x:v>パンチャー</x:v>
      </x:c>
      <x:c r="G109" s="82" t="str">
        <x:v>スプリンター</x:v>
      </x:c>
      <x:c r="H109" s="85" t="n">
        <x:v>75</x:v>
      </x:c>
      <x:c r="I109" s="85" t="n">
        <x:v>70</x:v>
      </x:c>
      <x:c r="J109" s="91" t="str">
        <x:v>ステージハンター / 山岳賞ハンター / スプリントトレイン / カウンターアタッカー / 無賃乗車 / ポジションキーパー</x:v>
      </x:c>
      <x:c r="K109" s="91" t="str"/>
      <x:c r="L109" s="91" t="str">
        <x:v>パンチャー / スプリンター</x:v>
      </x:c>
      <x:c r="M109" s="88" t="n">
        <x:v>5450</x:v>
      </x:c>
      <x:c r="N109" s="85" t="n">
        <x:v>72</x:v>
      </x:c>
      <x:c r="O109" s="85" t="n">
        <x:v>80</x:v>
      </x:c>
      <x:c r="P109" s="85" t="n">
        <x:v>81</x:v>
      </x:c>
      <x:c r="Q109" s="85" t="n">
        <x:v>68</x:v>
      </x:c>
      <x:c r="R109" s="85" t="n">
        <x:v>72</x:v>
      </x:c>
      <x:c r="S109" s="85" t="n">
        <x:v>66</x:v>
      </x:c>
      <x:c r="T109" s="85" t="n">
        <x:v>65</x:v>
      </x:c>
      <x:c r="U109" s="85" t="n">
        <x:v>76</x:v>
      </x:c>
      <x:c r="V109" s="85" t="n">
        <x:v>78</x:v>
      </x:c>
      <x:c r="W109" s="85" t="n">
        <x:v>53</x:v>
      </x:c>
      <x:c r="X109" s="85" t="n">
        <x:v>69</x:v>
      </x:c>
      <x:c r="Y109" s="85" t="n">
        <x:v>66</x:v>
      </x:c>
      <x:c r="Z109" s="85" t="n">
        <x:v>65</x:v>
      </x:c>
      <x:c r="AA109" s="85" t="n">
        <x:v>76</x:v>
      </x:c>
      <x:c r="AB109" s="85" t="n">
        <x:v>73</x:v>
      </x:c>
      <x:c r="AC109" s="82" t="n">
        <x:v>0</x:v>
      </x:c>
      <x:c r="AD109" s="82" t="n">
        <x:v>0</x:v>
      </x:c>
      <x:c r="AE109" s="82" t="n">
        <x:v>0</x:v>
      </x:c>
      <x:c r="AF109" s="82" t="n">
        <x:v>0</x:v>
      </x:c>
      <x:c r="AG109" s="91" t="str">
        <x:v>要実績照合</x:v>
      </x:c>
      <x:c r="AH109" s="91" t="str">
        <x:v>現役300名補充時の脚質暫定値。パリ〜ルーベ／ロンド個人成績の追加照合が必要</x:v>
      </x:c>
      <x:c r="AI109" s="91" t="str">
        <x:v>https://www.paris-roubaix.fr/en/history</x:v>
      </x:c>
      <x:c r="AJ109" s="91" t="str">
        <x:v>能力・適性・Credit整合済</x:v>
      </x:c>
      <x:c r="AK10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09" s="91" t="str">
        <x:v>https://en.wikipedia.org/wiki/Enzo_Paleni</x:v>
      </x:c>
    </x:row>
    <x:row r="110" ht="24" customHeight="1">
      <x:c r="A110" s="82" t="n">
        <x:v>106</x:v>
      </x:c>
      <x:c r="B110" s="82" t="str">
        <x:v>Corbin Strong</x:v>
      </x:c>
      <x:c r="C110" s="143" t="str"/>
      <x:c r="D110" s="82" t="str">
        <x:v>ニュージーランド</x:v>
      </x:c>
      <x:c r="E110" s="82" t="str">
        <x:v>現役</x:v>
      </x:c>
      <x:c r="F110" s="82" t="str">
        <x:v>スプリンター</x:v>
      </x:c>
      <x:c r="G110" s="82" t="str">
        <x:v>総合型</x:v>
      </x:c>
      <x:c r="H110" s="85" t="n">
        <x:v>75</x:v>
      </x:c>
      <x:c r="I110" s="85" t="n">
        <x:v>68</x:v>
      </x:c>
      <x:c r="J110" s="91" t="str">
        <x:v>リードアウト / 最終発射台 / 集団コントローラー / ブリッジャー / 無賃乗車</x:v>
      </x:c>
      <x:c r="K110" s="91" t="str"/>
      <x:c r="L110" s="91" t="str">
        <x:v>スプリンター / 総合型</x:v>
      </x:c>
      <x:c r="M110" s="88" t="n">
        <x:v>5400</x:v>
      </x:c>
      <x:c r="N110" s="85" t="n">
        <x:v>84</x:v>
      </x:c>
      <x:c r="O110" s="85" t="n">
        <x:v>77</x:v>
      </x:c>
      <x:c r="P110" s="85" t="n">
        <x:v>66</x:v>
      </x:c>
      <x:c r="Q110" s="85" t="n">
        <x:v>73</x:v>
      </x:c>
      <x:c r="R110" s="85" t="n">
        <x:v>64</x:v>
      </x:c>
      <x:c r="S110" s="85" t="n">
        <x:v>68</x:v>
      </x:c>
      <x:c r="T110" s="85" t="n">
        <x:v>65</x:v>
      </x:c>
      <x:c r="U110" s="85" t="n">
        <x:v>70</x:v>
      </x:c>
      <x:c r="V110" s="85" t="n">
        <x:v>73</x:v>
      </x:c>
      <x:c r="W110" s="85" t="n">
        <x:v>54</x:v>
      </x:c>
      <x:c r="X110" s="85" t="n">
        <x:v>69</x:v>
      </x:c>
      <x:c r="Y110" s="85" t="n">
        <x:v>66</x:v>
      </x:c>
      <x:c r="Z110" s="85" t="n">
        <x:v>64</x:v>
      </x:c>
      <x:c r="AA110" s="85" t="n">
        <x:v>77</x:v>
      </x:c>
      <x:c r="AB110" s="85" t="n">
        <x:v>70</x:v>
      </x:c>
      <x:c r="AC110" s="82" t="n">
        <x:v>0</x:v>
      </x:c>
      <x:c r="AD110" s="82" t="n">
        <x:v>0</x:v>
      </x:c>
      <x:c r="AE110" s="82" t="n">
        <x:v>0</x:v>
      </x:c>
      <x:c r="AF110" s="82" t="n">
        <x:v>0</x:v>
      </x:c>
      <x:c r="AG110" s="91" t="str">
        <x:v>要実績照合</x:v>
      </x:c>
      <x:c r="AH110" s="91" t="str">
        <x:v>現役300名補充時の脚質暫定値。パリ〜ルーベ／ロンド個人成績の追加照合が必要</x:v>
      </x:c>
      <x:c r="AI110" s="91" t="str">
        <x:v>https://www.paris-roubaix.fr/en/history</x:v>
      </x:c>
      <x:c r="AJ110" s="91" t="str">
        <x:v>能力・適性・Credit整合済</x:v>
      </x:c>
      <x:c r="AK110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0" s="91" t="str">
        <x:v>https://en.wikipedia.org/wiki/Corbin_Strong</x:v>
      </x:c>
    </x:row>
    <x:row r="111" ht="24" customHeight="1">
      <x:c r="A111" s="82" t="n">
        <x:v>107</x:v>
      </x:c>
      <x:c r="B111" s="82" t="str">
        <x:v>Lorenzo Rota</x:v>
      </x:c>
      <x:c r="C111" s="143" t="str"/>
      <x:c r="D111" s="82" t="str">
        <x:v>イタリア</x:v>
      </x:c>
      <x:c r="E111" s="82" t="str">
        <x:v>現役</x:v>
      </x:c>
      <x:c r="F111" s="82" t="str">
        <x:v>パンチャー</x:v>
      </x:c>
      <x:c r="G111" s="82" t="str">
        <x:v>クライマー</x:v>
      </x:c>
      <x:c r="H111" s="85" t="n">
        <x:v>75</x:v>
      </x:c>
      <x:c r="I111" s="85" t="n">
        <x:v>71</x:v>
      </x:c>
      <x:c r="J111" s="91" t="str">
        <x:v>ステージハンター / 山岳賞ハンター</x:v>
      </x:c>
      <x:c r="K111" s="91" t="str"/>
      <x:c r="L111" s="91" t="str">
        <x:v>パンチャー / クライマー</x:v>
      </x:c>
      <x:c r="M111" s="88" t="n">
        <x:v>5150</x:v>
      </x:c>
      <x:c r="N111" s="85" t="n">
        <x:v>70</x:v>
      </x:c>
      <x:c r="O111" s="85" t="n">
        <x:v>73</x:v>
      </x:c>
      <x:c r="P111" s="85" t="n">
        <x:v>80</x:v>
      </x:c>
      <x:c r="Q111" s="85" t="n">
        <x:v>66</x:v>
      </x:c>
      <x:c r="R111" s="85" t="n">
        <x:v>73</x:v>
      </x:c>
      <x:c r="S111" s="85" t="n">
        <x:v>68</x:v>
      </x:c>
      <x:c r="T111" s="85" t="n">
        <x:v>63</x:v>
      </x:c>
      <x:c r="U111" s="85" t="n">
        <x:v>72</x:v>
      </x:c>
      <x:c r="V111" s="85" t="n">
        <x:v>75</x:v>
      </x:c>
      <x:c r="W111" s="85" t="n">
        <x:v>54</x:v>
      </x:c>
      <x:c r="X111" s="85" t="n">
        <x:v>72</x:v>
      </x:c>
      <x:c r="Y111" s="85" t="n">
        <x:v>71</x:v>
      </x:c>
      <x:c r="Z111" s="85" t="n">
        <x:v>65</x:v>
      </x:c>
      <x:c r="AA111" s="85" t="n">
        <x:v>77</x:v>
      </x:c>
      <x:c r="AB111" s="85" t="n">
        <x:v>75</x:v>
      </x:c>
      <x:c r="AC111" s="82" t="n">
        <x:v>0</x:v>
      </x:c>
      <x:c r="AD111" s="82" t="n">
        <x:v>0</x:v>
      </x:c>
      <x:c r="AE111" s="82" t="n">
        <x:v>0</x:v>
      </x:c>
      <x:c r="AF111" s="82" t="n">
        <x:v>0</x:v>
      </x:c>
      <x:c r="AG111" s="91" t="str">
        <x:v>要実績照合</x:v>
      </x:c>
      <x:c r="AH111" s="91" t="str">
        <x:v>現役300名補充時の脚質暫定値。パリ〜ルーベ／ロンド個人成績の追加照合が必要</x:v>
      </x:c>
      <x:c r="AI111" s="91" t="str">
        <x:v>https://www.paris-roubaix.fr/en/history</x:v>
      </x:c>
      <x:c r="AJ111" s="91" t="str">
        <x:v>能力・適性・Credit整合済</x:v>
      </x:c>
      <x:c r="AK11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1" s="91" t="str">
        <x:v>https://en.wikipedia.org/wiki/Lorenzo_Rota</x:v>
      </x:c>
    </x:row>
    <x:row r="112" ht="24" customHeight="1">
      <x:c r="A112" s="82" t="n">
        <x:v>108</x:v>
      </x:c>
      <x:c r="B112" s="82" t="str">
        <x:v>Anders Skaarseth</x:v>
      </x:c>
      <x:c r="C112" s="143" t="str"/>
      <x:c r="D112" s="82" t="str">
        <x:v>ノルウェー</x:v>
      </x:c>
      <x:c r="E112" s="82" t="str">
        <x:v>現役</x:v>
      </x:c>
      <x:c r="F112" s="82" t="str">
        <x:v>総合型</x:v>
      </x:c>
      <x:c r="G112" s="82" t="str">
        <x:v>TT・ルーラー型</x:v>
      </x:c>
      <x:c r="H112" s="85" t="n">
        <x:v>75</x:v>
      </x:c>
      <x:c r="I112" s="85" t="n">
        <x:v>71</x:v>
      </x:c>
      <x:c r="J112" s="91" t="str">
        <x:v>山岳賞ハンター / 山岳アシスト / 山岳番手</x:v>
      </x:c>
      <x:c r="K112" s="91" t="str"/>
      <x:c r="L112" s="91" t="str">
        <x:v>総合型 / TT・ルーラー型</x:v>
      </x:c>
      <x:c r="M112" s="88" t="n">
        <x:v>5100</x:v>
      </x:c>
      <x:c r="N112" s="85" t="n">
        <x:v>62</x:v>
      </x:c>
      <x:c r="O112" s="85" t="n">
        <x:v>68</x:v>
      </x:c>
      <x:c r="P112" s="85" t="n">
        <x:v>71</x:v>
      </x:c>
      <x:c r="Q112" s="85" t="n">
        <x:v>67</x:v>
      </x:c>
      <x:c r="R112" s="85" t="n">
        <x:v>76</x:v>
      </x:c>
      <x:c r="S112" s="85" t="n">
        <x:v>71</x:v>
      </x:c>
      <x:c r="T112" s="85" t="n">
        <x:v>77</x:v>
      </x:c>
      <x:c r="U112" s="85" t="n">
        <x:v>64</x:v>
      </x:c>
      <x:c r="V112" s="85" t="n">
        <x:v>63</x:v>
      </x:c>
      <x:c r="W112" s="85" t="n">
        <x:v>50</x:v>
      </x:c>
      <x:c r="X112" s="85" t="n">
        <x:v>79</x:v>
      </x:c>
      <x:c r="Y112" s="85" t="n">
        <x:v>76</x:v>
      </x:c>
      <x:c r="Z112" s="85" t="n">
        <x:v>67</x:v>
      </x:c>
      <x:c r="AA112" s="85" t="n">
        <x:v>74</x:v>
      </x:c>
      <x:c r="AB112" s="85" t="n">
        <x:v>70</x:v>
      </x:c>
      <x:c r="AC112" s="82" t="n">
        <x:v>0</x:v>
      </x:c>
      <x:c r="AD112" s="82" t="n">
        <x:v>0</x:v>
      </x:c>
      <x:c r="AE112" s="82" t="n">
        <x:v>0</x:v>
      </x:c>
      <x:c r="AF112" s="82" t="n">
        <x:v>0</x:v>
      </x:c>
      <x:c r="AG112" s="91" t="str">
        <x:v>要実績照合</x:v>
      </x:c>
      <x:c r="AH112" s="91" t="str">
        <x:v>現役300名補充時の脚質暫定値。パリ〜ルーベ／ロンド個人成績の追加照合が必要</x:v>
      </x:c>
      <x:c r="AI112" s="91" t="str">
        <x:v>https://www.paris-roubaix.fr/en/history</x:v>
      </x:c>
      <x:c r="AJ112" s="91" t="str">
        <x:v>能力・適性・Credit整合済</x:v>
      </x:c>
      <x:c r="AK11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2" s="91" t="str">
        <x:v>https://en.wikipedia.org/wiki/Anders_Skaarseth</x:v>
      </x:c>
    </x:row>
    <x:row r="113" ht="24" customHeight="1">
      <x:c r="A113" s="82" t="n">
        <x:v>109</x:v>
      </x:c>
      <x:c r="B113" s="82" t="str">
        <x:v>Johan Jacobs</x:v>
      </x:c>
      <x:c r="C113" s="143" t="str"/>
      <x:c r="D113" s="82" t="str">
        <x:v>スイス</x:v>
      </x:c>
      <x:c r="E113" s="82" t="str">
        <x:v>現役</x:v>
      </x:c>
      <x:c r="F113" s="82" t="str">
        <x:v>スプリンター</x:v>
      </x:c>
      <x:c r="G113" s="82" t="str">
        <x:v>クライマー</x:v>
      </x:c>
      <x:c r="H113" s="85" t="n">
        <x:v>75</x:v>
      </x:c>
      <x:c r="I113" s="85" t="n">
        <x:v>68</x:v>
      </x:c>
      <x:c r="J113" s="91" t="str">
        <x:v>山岳賞ハンター / リードアウト / スプリントトレイン</x:v>
      </x:c>
      <x:c r="K113" s="91" t="str"/>
      <x:c r="L113" s="91" t="str">
        <x:v>スプリンター / クライマー</x:v>
      </x:c>
      <x:c r="M113" s="88" t="n">
        <x:v>4300</x:v>
      </x:c>
      <x:c r="N113" s="85" t="n">
        <x:v>77</x:v>
      </x:c>
      <x:c r="O113" s="85" t="n">
        <x:v>74</x:v>
      </x:c>
      <x:c r="P113" s="85" t="n">
        <x:v>63</x:v>
      </x:c>
      <x:c r="Q113" s="85" t="n">
        <x:v>71</x:v>
      </x:c>
      <x:c r="R113" s="85" t="n">
        <x:v>56</x:v>
      </x:c>
      <x:c r="S113" s="85" t="n">
        <x:v>64</x:v>
      </x:c>
      <x:c r="T113" s="85" t="n">
        <x:v>65</x:v>
      </x:c>
      <x:c r="U113" s="85" t="n">
        <x:v>67</x:v>
      </x:c>
      <x:c r="V113" s="85" t="n">
        <x:v>68</x:v>
      </x:c>
      <x:c r="W113" s="85" t="n">
        <x:v>52</x:v>
      </x:c>
      <x:c r="X113" s="85" t="n">
        <x:v>69</x:v>
      </x:c>
      <x:c r="Y113" s="85" t="n">
        <x:v>63</x:v>
      </x:c>
      <x:c r="Z113" s="85" t="n">
        <x:v>63</x:v>
      </x:c>
      <x:c r="AA113" s="85" t="n">
        <x:v>78</x:v>
      </x:c>
      <x:c r="AB113" s="85" t="n">
        <x:v>67</x:v>
      </x:c>
      <x:c r="AC113" s="82" t="n">
        <x:v>0</x:v>
      </x:c>
      <x:c r="AD113" s="82" t="n">
        <x:v>0</x:v>
      </x:c>
      <x:c r="AE113" s="82" t="n">
        <x:v>0</x:v>
      </x:c>
      <x:c r="AF113" s="82" t="n">
        <x:v>0</x:v>
      </x:c>
      <x:c r="AG113" s="91" t="str">
        <x:v>要実績照合</x:v>
      </x:c>
      <x:c r="AH113" s="91" t="str">
        <x:v>現役300名補充時の脚質暫定値。パリ〜ルーベ／ロンド個人成績の追加照合が必要</x:v>
      </x:c>
      <x:c r="AI113" s="91" t="str">
        <x:v>https://www.paris-roubaix.fr/en/history</x:v>
      </x:c>
      <x:c r="AJ113" s="91" t="str">
        <x:v>能力・適性・Credit整合済</x:v>
      </x:c>
      <x:c r="AK11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3" s="91" t="str">
        <x:v>https://en.wikipedia.org/wiki/Johan_Jacobs</x:v>
      </x:c>
    </x:row>
    <x:row r="114" ht="24" customHeight="1">
      <x:c r="A114" s="82" t="n">
        <x:v>110</x:v>
      </x:c>
      <x:c r="B114" s="82" t="str">
        <x:v>Callum Scotson</x:v>
      </x:c>
      <x:c r="C114" s="143" t="str"/>
      <x:c r="D114" s="82" t="str">
        <x:v>オーストラリア</x:v>
      </x:c>
      <x:c r="E114" s="82" t="str">
        <x:v>現役</x:v>
      </x:c>
      <x:c r="F114" s="82" t="str">
        <x:v>クラシック型</x:v>
      </x:c>
      <x:c r="G114" s="82" t="str">
        <x:v>スプリンター</x:v>
      </x:c>
      <x:c r="H114" s="85" t="n">
        <x:v>74</x:v>
      </x:c>
      <x:c r="I114" s="85" t="n">
        <x:v>78</x:v>
      </x:c>
      <x:c r="J114" s="91" t="str">
        <x:v>スプリントトレイン / 平坦アシスト / 石畳護衛 / ブレイクアウェイキラー / 横風要員 / 逃げ屋 / ブリッジャー</x:v>
      </x:c>
      <x:c r="K114" s="91" t="str"/>
      <x:c r="L114" s="91" t="str">
        <x:v>クラシック型 / スプリンター</x:v>
      </x:c>
      <x:c r="M114" s="88" t="n">
        <x:v>6400</x:v>
      </x:c>
      <x:c r="N114" s="85" t="n">
        <x:v>76</x:v>
      </x:c>
      <x:c r="O114" s="85" t="n">
        <x:v>74</x:v>
      </x:c>
      <x:c r="P114" s="85" t="n">
        <x:v>76</x:v>
      </x:c>
      <x:c r="Q114" s="85" t="n">
        <x:v>78</x:v>
      </x:c>
      <x:c r="R114" s="85" t="n">
        <x:v>69</x:v>
      </x:c>
      <x:c r="S114" s="85" t="n">
        <x:v>79</x:v>
      </x:c>
      <x:c r="T114" s="85" t="n">
        <x:v>82</x:v>
      </x:c>
      <x:c r="U114" s="85" t="n">
        <x:v>76</x:v>
      </x:c>
      <x:c r="V114" s="85" t="n">
        <x:v>80</x:v>
      </x:c>
      <x:c r="W114" s="85" t="n">
        <x:v>74</x:v>
      </x:c>
      <x:c r="X114" s="85" t="n">
        <x:v>69</x:v>
      </x:c>
      <x:c r="Y114" s="85" t="n">
        <x:v>72</x:v>
      </x:c>
      <x:c r="Z114" s="85" t="n">
        <x:v>82</x:v>
      </x:c>
      <x:c r="AA114" s="85" t="n">
        <x:v>70</x:v>
      </x:c>
      <x:c r="AB114" s="85" t="n">
        <x:v>74</x:v>
      </x:c>
      <x:c r="AC114" s="82" t="n">
        <x:v>0</x:v>
      </x:c>
      <x:c r="AD114" s="82" t="n">
        <x:v>0</x:v>
      </x:c>
      <x:c r="AE114" s="82" t="n">
        <x:v>0</x:v>
      </x:c>
      <x:c r="AF114" s="82" t="n">
        <x:v>0</x:v>
      </x:c>
      <x:c r="AG114" s="91" t="str">
        <x:v>要実績照合</x:v>
      </x:c>
      <x:c r="AH114" s="91" t="str">
        <x:v>現役300名補充時の脚質暫定値。パリ〜ルーベ／ロンド個人成績の追加照合が必要</x:v>
      </x:c>
      <x:c r="AI114" s="91" t="str">
        <x:v>https://www.paris-roubaix.fr/en/history</x:v>
      </x:c>
      <x:c r="AJ114" s="91" t="str">
        <x:v>能力・適性・Credit整合済</x:v>
      </x:c>
      <x:c r="AK11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4" s="91" t="str">
        <x:v>https://en.wikipedia.org/wiki/Callum_Scotson</x:v>
      </x:c>
    </x:row>
    <x:row r="115" ht="24" customHeight="1">
      <x:c r="A115" s="82" t="n">
        <x:v>111</x:v>
      </x:c>
      <x:c r="B115" s="82" t="str">
        <x:v>Lukas Nerurkar</x:v>
      </x:c>
      <x:c r="C115" s="143" t="str"/>
      <x:c r="D115" s="82" t="str">
        <x:v>イギリス</x:v>
      </x:c>
      <x:c r="E115" s="82" t="str">
        <x:v>現役</x:v>
      </x:c>
      <x:c r="F115" s="82" t="str">
        <x:v>クラシック型</x:v>
      </x:c>
      <x:c r="G115" s="82" t="str">
        <x:v>TT・ルーラー型</x:v>
      </x:c>
      <x:c r="H115" s="85" t="n">
        <x:v>74</x:v>
      </x:c>
      <x:c r="I115" s="85" t="n">
        <x:v>76</x:v>
      </x:c>
      <x:c r="J115" s="91" t="str">
        <x:v>TT牽引 / 石畳護衛 / 逃げ屋 / ブリッジャー</x:v>
      </x:c>
      <x:c r="K115" s="91" t="str"/>
      <x:c r="L115" s="91" t="str">
        <x:v>クラシック型 / TT・ルーラー型</x:v>
      </x:c>
      <x:c r="M115" s="88" t="n">
        <x:v>6250</x:v>
      </x:c>
      <x:c r="N115" s="85" t="n">
        <x:v>73</x:v>
      </x:c>
      <x:c r="O115" s="85" t="n">
        <x:v>73</x:v>
      </x:c>
      <x:c r="P115" s="85" t="n">
        <x:v>73</x:v>
      </x:c>
      <x:c r="Q115" s="85" t="n">
        <x:v>75</x:v>
      </x:c>
      <x:c r="R115" s="85" t="n">
        <x:v>62</x:v>
      </x:c>
      <x:c r="S115" s="85" t="n">
        <x:v>79</x:v>
      </x:c>
      <x:c r="T115" s="85" t="n">
        <x:v>76</x:v>
      </x:c>
      <x:c r="U115" s="85" t="n">
        <x:v>82</x:v>
      </x:c>
      <x:c r="V115" s="85" t="n">
        <x:v>76</x:v>
      </x:c>
      <x:c r="W115" s="85" t="n">
        <x:v>74</x:v>
      </x:c>
      <x:c r="X115" s="85" t="n">
        <x:v>68</x:v>
      </x:c>
      <x:c r="Y115" s="85" t="n">
        <x:v>68</x:v>
      </x:c>
      <x:c r="Z115" s="85" t="n">
        <x:v>73</x:v>
      </x:c>
      <x:c r="AA115" s="85" t="n">
        <x:v>67</x:v>
      </x:c>
      <x:c r="AB115" s="85" t="n">
        <x:v>82</x:v>
      </x:c>
      <x:c r="AC115" s="82" t="n">
        <x:v>0</x:v>
      </x:c>
      <x:c r="AD115" s="82" t="n">
        <x:v>0</x:v>
      </x:c>
      <x:c r="AE115" s="82" t="n">
        <x:v>0</x:v>
      </x:c>
      <x:c r="AF115" s="82" t="n">
        <x:v>0</x:v>
      </x:c>
      <x:c r="AG115" s="91" t="str">
        <x:v>要実績照合</x:v>
      </x:c>
      <x:c r="AH115" s="91" t="str">
        <x:v>現役300名補充時の脚質暫定値。パリ〜ルーベ／ロンド個人成績の追加照合が必要</x:v>
      </x:c>
      <x:c r="AI115" s="91" t="str">
        <x:v>https://www.paris-roubaix.fr/en/history</x:v>
      </x:c>
      <x:c r="AJ115" s="91" t="str">
        <x:v>能力・適性・Credit整合済</x:v>
      </x:c>
      <x:c r="AK11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5" s="91" t="str">
        <x:v>https://en.wikipedia.org/wiki/Lukas_Nerurkar</x:v>
      </x:c>
    </x:row>
    <x:row r="116" ht="24" customHeight="1">
      <x:c r="A116" s="82" t="n">
        <x:v>112</x:v>
      </x:c>
      <x:c r="B116" s="82" t="str">
        <x:v>Filippo Zana</x:v>
      </x:c>
      <x:c r="C116" s="143" t="str"/>
      <x:c r="D116" s="82" t="str">
        <x:v>イタリア</x:v>
      </x:c>
      <x:c r="E116" s="82" t="str">
        <x:v>現役</x:v>
      </x:c>
      <x:c r="F116" s="82" t="str">
        <x:v>クライマー</x:v>
      </x:c>
      <x:c r="G116" s="82" t="str">
        <x:v>TT・ルーラー型</x:v>
      </x:c>
      <x:c r="H116" s="85" t="n">
        <x:v>74</x:v>
      </x:c>
      <x:c r="I116" s="85" t="n">
        <x:v>74</x:v>
      </x:c>
      <x:c r="J116" s="91" t="str">
        <x:v>山岳賞ハンター / 山岳アシスト</x:v>
      </x:c>
      <x:c r="K116" s="91" t="str"/>
      <x:c r="L116" s="91" t="str">
        <x:v>クライマー / TT・ルーラー型</x:v>
      </x:c>
      <x:c r="M116" s="88" t="n">
        <x:v>6100</x:v>
      </x:c>
      <x:c r="N116" s="85" t="n">
        <x:v>57</x:v>
      </x:c>
      <x:c r="O116" s="85" t="n">
        <x:v>69</x:v>
      </x:c>
      <x:c r="P116" s="85" t="n">
        <x:v>70</x:v>
      </x:c>
      <x:c r="Q116" s="85" t="n">
        <x:v>65</x:v>
      </x:c>
      <x:c r="R116" s="85" t="n">
        <x:v>83</x:v>
      </x:c>
      <x:c r="S116" s="85" t="n">
        <x:v>78</x:v>
      </x:c>
      <x:c r="T116" s="85" t="n">
        <x:v>74</x:v>
      </x:c>
      <x:c r="U116" s="85" t="n">
        <x:v>64</x:v>
      </x:c>
      <x:c r="V116" s="85" t="n">
        <x:v>67</x:v>
      </x:c>
      <x:c r="W116" s="85" t="n">
        <x:v>59</x:v>
      </x:c>
      <x:c r="X116" s="85" t="n">
        <x:v>76</x:v>
      </x:c>
      <x:c r="Y116" s="85" t="n">
        <x:v>76</x:v>
      </x:c>
      <x:c r="Z116" s="85" t="n">
        <x:v>74</x:v>
      </x:c>
      <x:c r="AA116" s="85" t="n">
        <x:v>69</x:v>
      </x:c>
      <x:c r="AB116" s="85" t="n">
        <x:v>72</x:v>
      </x:c>
      <x:c r="AC116" s="82" t="n">
        <x:v>0</x:v>
      </x:c>
      <x:c r="AD116" s="82" t="n">
        <x:v>0</x:v>
      </x:c>
      <x:c r="AE116" s="82" t="n">
        <x:v>0</x:v>
      </x:c>
      <x:c r="AF116" s="82" t="n">
        <x:v>0</x:v>
      </x:c>
      <x:c r="AG116" s="91" t="str">
        <x:v>要実績照合</x:v>
      </x:c>
      <x:c r="AH116" s="91" t="str">
        <x:v>現役300名補充時の脚質暫定値。パリ〜ルーベ／ロンド個人成績の追加照合が必要</x:v>
      </x:c>
      <x:c r="AI116" s="91" t="str">
        <x:v>https://www.paris-roubaix.fr/en/history</x:v>
      </x:c>
      <x:c r="AJ116" s="91" t="str">
        <x:v>能力・適性・Credit整合済</x:v>
      </x:c>
      <x:c r="AK116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6" s="91" t="str">
        <x:v>https://en.wikipedia.org/wiki/Filippo_Zana</x:v>
      </x:c>
    </x:row>
    <x:row r="117" ht="24" customHeight="1">
      <x:c r="A117" s="82" t="n">
        <x:v>113</x:v>
      </x:c>
      <x:c r="B117" s="82" t="str">
        <x:v>Filippo Conca</x:v>
      </x:c>
      <x:c r="C117" s="143" t="str"/>
      <x:c r="D117" s="82" t="str">
        <x:v>イタリア</x:v>
      </x:c>
      <x:c r="E117" s="82" t="str">
        <x:v>現役</x:v>
      </x:c>
      <x:c r="F117" s="82" t="str">
        <x:v>クラシック型</x:v>
      </x:c>
      <x:c r="G117" s="82" t="str">
        <x:v>スプリンター</x:v>
      </x:c>
      <x:c r="H117" s="85" t="n">
        <x:v>74</x:v>
      </x:c>
      <x:c r="I117" s="85" t="n">
        <x:v>76</x:v>
      </x:c>
      <x:c r="J117" s="91" t="str">
        <x:v>スプリントトレイン / 石畳護衛 / ブレイクアウェイキラー / 横風要員 / 超ロングスパート / ブリッジャー / ポジションキーパー</x:v>
      </x:c>
      <x:c r="K117" s="91" t="str"/>
      <x:c r="L117" s="91" t="str">
        <x:v>クラシック型 / スプリンター</x:v>
      </x:c>
      <x:c r="M117" s="88" t="n">
        <x:v>6000</x:v>
      </x:c>
      <x:c r="N117" s="85" t="n">
        <x:v>75</x:v>
      </x:c>
      <x:c r="O117" s="85" t="n">
        <x:v>73</x:v>
      </x:c>
      <x:c r="P117" s="85" t="n">
        <x:v>72</x:v>
      </x:c>
      <x:c r="Q117" s="85" t="n">
        <x:v>76</x:v>
      </x:c>
      <x:c r="R117" s="85" t="n">
        <x:v>69</x:v>
      </x:c>
      <x:c r="S117" s="85" t="n">
        <x:v>73</x:v>
      </x:c>
      <x:c r="T117" s="85" t="n">
        <x:v>80</x:v>
      </x:c>
      <x:c r="U117" s="85" t="n">
        <x:v>78</x:v>
      </x:c>
      <x:c r="V117" s="85" t="n">
        <x:v>77</x:v>
      </x:c>
      <x:c r="W117" s="85" t="n">
        <x:v>73</x:v>
      </x:c>
      <x:c r="X117" s="85" t="n">
        <x:v>66</x:v>
      </x:c>
      <x:c r="Y117" s="85" t="n">
        <x:v>72</x:v>
      </x:c>
      <x:c r="Z117" s="85" t="n">
        <x:v>77</x:v>
      </x:c>
      <x:c r="AA117" s="85" t="n">
        <x:v>69</x:v>
      </x:c>
      <x:c r="AB117" s="85" t="n">
        <x:v>77</x:v>
      </x:c>
      <x:c r="AC117" s="82" t="n">
        <x:v>0</x:v>
      </x:c>
      <x:c r="AD117" s="82" t="n">
        <x:v>0</x:v>
      </x:c>
      <x:c r="AE117" s="82" t="n">
        <x:v>0</x:v>
      </x:c>
      <x:c r="AF117" s="82" t="n">
        <x:v>0</x:v>
      </x:c>
      <x:c r="AG117" s="91" t="str">
        <x:v>要実績照合</x:v>
      </x:c>
      <x:c r="AH117" s="91" t="str">
        <x:v>現役300名補充時の脚質暫定値。パリ〜ルーベ／ロンド個人成績の追加照合が必要</x:v>
      </x:c>
      <x:c r="AI117" s="91" t="str">
        <x:v>https://www.paris-roubaix.fr/en/history</x:v>
      </x:c>
      <x:c r="AJ117" s="91" t="str">
        <x:v>能力・適性・Credit整合済</x:v>
      </x:c>
      <x:c r="AK11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7" s="91" t="str">
        <x:v>https://en.wikipedia.org/wiki/Filippo_Conca</x:v>
      </x:c>
    </x:row>
    <x:row r="118" ht="24" customHeight="1">
      <x:c r="A118" s="82" t="n">
        <x:v>114</x:v>
      </x:c>
      <x:c r="B118" s="82" t="str">
        <x:v>James Shaw (cyclist)</x:v>
      </x:c>
      <x:c r="C118" s="143" t="str"/>
      <x:c r="D118" s="82" t="str">
        <x:v>イギリス</x:v>
      </x:c>
      <x:c r="E118" s="82" t="str">
        <x:v>現役</x:v>
      </x:c>
      <x:c r="F118" s="82" t="str">
        <x:v>パンチャー</x:v>
      </x:c>
      <x:c r="G118" s="82" t="str">
        <x:v>総合型</x:v>
      </x:c>
      <x:c r="H118" s="85" t="n">
        <x:v>74</x:v>
      </x:c>
      <x:c r="I118" s="85" t="n">
        <x:v>72</x:v>
      </x:c>
      <x:c r="J118" s="91" t="str">
        <x:v>ステージハンター / 山岳賞ハンター / 集団コントローラー / 逃げ屋 / カウンターアタッカー</x:v>
      </x:c>
      <x:c r="K118" s="91" t="str"/>
      <x:c r="L118" s="91" t="str">
        <x:v>パンチャー / 総合型</x:v>
      </x:c>
      <x:c r="M118" s="88" t="n">
        <x:v>5850</x:v>
      </x:c>
      <x:c r="N118" s="85" t="n">
        <x:v>72</x:v>
      </x:c>
      <x:c r="O118" s="85" t="n">
        <x:v>78</x:v>
      </x:c>
      <x:c r="P118" s="85" t="n">
        <x:v>83</x:v>
      </x:c>
      <x:c r="Q118" s="85" t="n">
        <x:v>69</x:v>
      </x:c>
      <x:c r="R118" s="85" t="n">
        <x:v>73</x:v>
      </x:c>
      <x:c r="S118" s="85" t="n">
        <x:v>71</x:v>
      </x:c>
      <x:c r="T118" s="85" t="n">
        <x:v>67</x:v>
      </x:c>
      <x:c r="U118" s="85" t="n">
        <x:v>72</x:v>
      </x:c>
      <x:c r="V118" s="85" t="n">
        <x:v>75</x:v>
      </x:c>
      <x:c r="W118" s="85" t="n">
        <x:v>62</x:v>
      </x:c>
      <x:c r="X118" s="85" t="n">
        <x:v>71</x:v>
      </x:c>
      <x:c r="Y118" s="85" t="n">
        <x:v>74</x:v>
      </x:c>
      <x:c r="Z118" s="85" t="n">
        <x:v>65</x:v>
      </x:c>
      <x:c r="AA118" s="85" t="n">
        <x:v>75</x:v>
      </x:c>
      <x:c r="AB118" s="85" t="n">
        <x:v>80</x:v>
      </x:c>
      <x:c r="AC118" s="82" t="n">
        <x:v>0</x:v>
      </x:c>
      <x:c r="AD118" s="82" t="n">
        <x:v>0</x:v>
      </x:c>
      <x:c r="AE118" s="82" t="n">
        <x:v>0</x:v>
      </x:c>
      <x:c r="AF118" s="82" t="n">
        <x:v>0</x:v>
      </x:c>
      <x:c r="AG118" s="91" t="str">
        <x:v>要実績照合</x:v>
      </x:c>
      <x:c r="AH118" s="91" t="str">
        <x:v>現役300名補充時の脚質暫定値。パリ〜ルーベ／ロンド個人成績の追加照合が必要</x:v>
      </x:c>
      <x:c r="AI118" s="91" t="str">
        <x:v>https://www.paris-roubaix.fr/en/history</x:v>
      </x:c>
      <x:c r="AJ118" s="91" t="str">
        <x:v>能力・適性・Credit整合済</x:v>
      </x:c>
      <x:c r="AK118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8" s="91" t="str">
        <x:v>https://en.wikipedia.org/wiki/James_Shaw_(cyclist)</x:v>
      </x:c>
    </x:row>
    <x:row r="119" ht="24" customHeight="1">
      <x:c r="A119" s="82" t="n">
        <x:v>115</x:v>
      </x:c>
      <x:c r="B119" s="82" t="str">
        <x:v>Alex Baudin</x:v>
      </x:c>
      <x:c r="C119" s="143" t="str"/>
      <x:c r="D119" s="82" t="str">
        <x:v>フランス</x:v>
      </x:c>
      <x:c r="E119" s="82" t="str">
        <x:v>現役</x:v>
      </x:c>
      <x:c r="F119" s="82" t="str">
        <x:v>クライマー</x:v>
      </x:c>
      <x:c r="G119" s="82" t="str">
        <x:v>スプリンター</x:v>
      </x:c>
      <x:c r="H119" s="85" t="n">
        <x:v>74</x:v>
      </x:c>
      <x:c r="I119" s="85" t="n">
        <x:v>74</x:v>
      </x:c>
      <x:c r="J119" s="91" t="str">
        <x:v>山岳賞ハンター / スプリントトレイン / 山岳アシスト / 山岳ペースメーカー</x:v>
      </x:c>
      <x:c r="K119" s="91" t="str"/>
      <x:c r="L119" s="91" t="str">
        <x:v>クライマー / スプリンター</x:v>
      </x:c>
      <x:c r="M119" s="88" t="n">
        <x:v>5700</x:v>
      </x:c>
      <x:c r="N119" s="85" t="n">
        <x:v>54</x:v>
      </x:c>
      <x:c r="O119" s="85" t="n">
        <x:v>68</x:v>
      </x:c>
      <x:c r="P119" s="85" t="n">
        <x:v>69</x:v>
      </x:c>
      <x:c r="Q119" s="85" t="n">
        <x:v>63</x:v>
      </x:c>
      <x:c r="R119" s="85" t="n">
        <x:v>80</x:v>
      </x:c>
      <x:c r="S119" s="85" t="n">
        <x:v>77</x:v>
      </x:c>
      <x:c r="T119" s="85" t="n">
        <x:v>72</x:v>
      </x:c>
      <x:c r="U119" s="85" t="n">
        <x:v>66</x:v>
      </x:c>
      <x:c r="V119" s="85" t="n">
        <x:v>71</x:v>
      </x:c>
      <x:c r="W119" s="85" t="n">
        <x:v>55</x:v>
      </x:c>
      <x:c r="X119" s="85" t="n">
        <x:v>77</x:v>
      </x:c>
      <x:c r="Y119" s="85" t="n">
        <x:v>75</x:v>
      </x:c>
      <x:c r="Z119" s="85" t="n">
        <x:v>72</x:v>
      </x:c>
      <x:c r="AA119" s="85" t="n">
        <x:v>71</x:v>
      </x:c>
      <x:c r="AB119" s="85" t="n">
        <x:v>70</x:v>
      </x:c>
      <x:c r="AC119" s="82" t="n">
        <x:v>0</x:v>
      </x:c>
      <x:c r="AD119" s="82" t="n">
        <x:v>0</x:v>
      </x:c>
      <x:c r="AE119" s="82" t="n">
        <x:v>0</x:v>
      </x:c>
      <x:c r="AF119" s="82" t="n">
        <x:v>0</x:v>
      </x:c>
      <x:c r="AG119" s="91" t="str">
        <x:v>要実績照合</x:v>
      </x:c>
      <x:c r="AH119" s="91" t="str">
        <x:v>現役300名補充時の脚質暫定値。パリ〜ルーベ／ロンド個人成績の追加照合が必要</x:v>
      </x:c>
      <x:c r="AI119" s="91" t="str">
        <x:v>https://www.paris-roubaix.fr/en/history</x:v>
      </x:c>
      <x:c r="AJ119" s="91" t="str">
        <x:v>能力・適性・Credit整合済</x:v>
      </x:c>
      <x:c r="AK11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19" s="91" t="str">
        <x:v>https://en.wikipedia.org/wiki/Alex_Baudin</x:v>
      </x:c>
    </x:row>
    <x:row r="120" ht="24" customHeight="1">
      <x:c r="A120" s="82" t="n">
        <x:v>116</x:v>
      </x:c>
      <x:c r="B120" s="82" t="str">
        <x:v>Alexander Kamp</x:v>
      </x:c>
      <x:c r="C120" s="143" t="str"/>
      <x:c r="D120" s="82" t="str">
        <x:v>デンマーク</x:v>
      </x:c>
      <x:c r="E120" s="82" t="str">
        <x:v>現役</x:v>
      </x:c>
      <x:c r="F120" s="82" t="str">
        <x:v>スプリンター</x:v>
      </x:c>
      <x:c r="G120" s="82" t="str">
        <x:v>総合型</x:v>
      </x:c>
      <x:c r="H120" s="85" t="n">
        <x:v>74</x:v>
      </x:c>
      <x:c r="I120" s="85" t="n">
        <x:v>72</x:v>
      </x:c>
      <x:c r="J120" s="91" t="str">
        <x:v>リードアウト / 最終発射台 / スプリントトレイン / 集団コントローラー / ブリッジャー</x:v>
      </x:c>
      <x:c r="K120" s="91" t="str"/>
      <x:c r="L120" s="91" t="str">
        <x:v>スプリンター / 総合型</x:v>
      </x:c>
      <x:c r="M120" s="88" t="n">
        <x:v>5550</x:v>
      </x:c>
      <x:c r="N120" s="85" t="n">
        <x:v>83</x:v>
      </x:c>
      <x:c r="O120" s="85" t="n">
        <x:v>77</x:v>
      </x:c>
      <x:c r="P120" s="85" t="n">
        <x:v>69</x:v>
      </x:c>
      <x:c r="Q120" s="85" t="n">
        <x:v>72</x:v>
      </x:c>
      <x:c r="R120" s="85" t="n">
        <x:v>63</x:v>
      </x:c>
      <x:c r="S120" s="85" t="n">
        <x:v>69</x:v>
      </x:c>
      <x:c r="T120" s="85" t="n">
        <x:v>70</x:v>
      </x:c>
      <x:c r="U120" s="85" t="n">
        <x:v>71</x:v>
      </x:c>
      <x:c r="V120" s="85" t="n">
        <x:v>70</x:v>
      </x:c>
      <x:c r="W120" s="85" t="n">
        <x:v>54</x:v>
      </x:c>
      <x:c r="X120" s="85" t="n">
        <x:v>71</x:v>
      </x:c>
      <x:c r="Y120" s="85" t="n">
        <x:v>71</x:v>
      </x:c>
      <x:c r="Z120" s="85" t="n">
        <x:v>71</x:v>
      </x:c>
      <x:c r="AA120" s="85" t="n">
        <x:v>81</x:v>
      </x:c>
      <x:c r="AB120" s="85" t="n">
        <x:v>68</x:v>
      </x:c>
      <x:c r="AC120" s="82" t="n">
        <x:v>0</x:v>
      </x:c>
      <x:c r="AD120" s="82" t="n">
        <x:v>0</x:v>
      </x:c>
      <x:c r="AE120" s="82" t="n">
        <x:v>0</x:v>
      </x:c>
      <x:c r="AF120" s="82" t="n">
        <x:v>0</x:v>
      </x:c>
      <x:c r="AG120" s="91" t="str">
        <x:v>要実績照合</x:v>
      </x:c>
      <x:c r="AH120" s="91" t="str">
        <x:v>現役300名補充時の脚質暫定値。パリ〜ルーベ／ロンド個人成績の追加照合が必要</x:v>
      </x:c>
      <x:c r="AI120" s="91" t="str">
        <x:v>https://www.paris-roubaix.fr/en/history</x:v>
      </x:c>
      <x:c r="AJ120" s="91" t="str">
        <x:v>能力・適性・Credit整合済</x:v>
      </x:c>
      <x:c r="AK12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0" s="91" t="str">
        <x:v>https://en.wikipedia.org/wiki/Alexander_Kamp</x:v>
      </x:c>
    </x:row>
    <x:row r="121" ht="24" customHeight="1">
      <x:c r="A121" s="82" t="n">
        <x:v>117</x:v>
      </x:c>
      <x:c r="B121" s="82" t="str">
        <x:v>Jorge Arcas</x:v>
      </x:c>
      <x:c r="C121" s="143" t="str"/>
      <x:c r="D121" s="82" t="str">
        <x:v>スペイン</x:v>
      </x:c>
      <x:c r="E121" s="82" t="str">
        <x:v>現役</x:v>
      </x:c>
      <x:c r="F121" s="82" t="str">
        <x:v>クラシック型</x:v>
      </x:c>
      <x:c r="G121" s="82" t="str">
        <x:v>TT・ルーラー型</x:v>
      </x:c>
      <x:c r="H121" s="85" t="n">
        <x:v>74</x:v>
      </x:c>
      <x:c r="I121" s="85" t="n">
        <x:v>76</x:v>
      </x:c>
      <x:c r="J121" s="91" t="str">
        <x:v>TT牽引 / 石畳護衛 / ブレイクアウェイキラー / 逃げ屋</x:v>
      </x:c>
      <x:c r="K121" s="91" t="str"/>
      <x:c r="L121" s="91" t="str">
        <x:v>クラシック型 / TT・ルーラー型</x:v>
      </x:c>
      <x:c r="M121" s="88" t="n">
        <x:v>5500</x:v>
      </x:c>
      <x:c r="N121" s="85" t="n">
        <x:v>72</x:v>
      </x:c>
      <x:c r="O121" s="85" t="n">
        <x:v>71</x:v>
      </x:c>
      <x:c r="P121" s="85" t="n">
        <x:v>73</x:v>
      </x:c>
      <x:c r="Q121" s="85" t="n">
        <x:v>75</x:v>
      </x:c>
      <x:c r="R121" s="85" t="n">
        <x:v>67</x:v>
      </x:c>
      <x:c r="S121" s="85" t="n">
        <x:v>72</x:v>
      </x:c>
      <x:c r="T121" s="85" t="n">
        <x:v>76</x:v>
      </x:c>
      <x:c r="U121" s="85" t="n">
        <x:v>72</x:v>
      </x:c>
      <x:c r="V121" s="85" t="n">
        <x:v>78</x:v>
      </x:c>
      <x:c r="W121" s="85" t="n">
        <x:v>70</x:v>
      </x:c>
      <x:c r="X121" s="85" t="n">
        <x:v>68</x:v>
      </x:c>
      <x:c r="Y121" s="85" t="n">
        <x:v>71</x:v>
      </x:c>
      <x:c r="Z121" s="85" t="n">
        <x:v>78</x:v>
      </x:c>
      <x:c r="AA121" s="85" t="n">
        <x:v>70</x:v>
      </x:c>
      <x:c r="AB121" s="85" t="n">
        <x:v>78</x:v>
      </x:c>
      <x:c r="AC121" s="82" t="n">
        <x:v>0</x:v>
      </x:c>
      <x:c r="AD121" s="82" t="n">
        <x:v>0</x:v>
      </x:c>
      <x:c r="AE121" s="82" t="n">
        <x:v>0</x:v>
      </x:c>
      <x:c r="AF121" s="82" t="n">
        <x:v>0</x:v>
      </x:c>
      <x:c r="AG121" s="91" t="str">
        <x:v>要実績照合</x:v>
      </x:c>
      <x:c r="AH121" s="91" t="str">
        <x:v>現役300名補充時の脚質暫定値。パリ〜ルーベ／ロンド個人成績の追加照合が必要</x:v>
      </x:c>
      <x:c r="AI121" s="91" t="str">
        <x:v>https://www.paris-roubaix.fr/en/history</x:v>
      </x:c>
      <x:c r="AJ121" s="91" t="str">
        <x:v>能力・適性・Credit整合済</x:v>
      </x:c>
      <x:c r="AK12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1" s="91" t="str">
        <x:v>https://en.wikipedia.org/wiki/Jorge_Arcas</x:v>
      </x:c>
    </x:row>
    <x:row r="122" ht="24" customHeight="1">
      <x:c r="A122" s="82" t="n">
        <x:v>118</x:v>
      </x:c>
      <x:c r="B122" s="82" t="str">
        <x:v>Jon Barrenetxea</x:v>
      </x:c>
      <x:c r="C122" s="143" t="str"/>
      <x:c r="D122" s="82" t="str">
        <x:v>スペイン</x:v>
      </x:c>
      <x:c r="E122" s="82" t="str">
        <x:v>現役</x:v>
      </x:c>
      <x:c r="F122" s="82" t="str">
        <x:v>総合型</x:v>
      </x:c>
      <x:c r="G122" s="82" t="str">
        <x:v>スプリンター</x:v>
      </x:c>
      <x:c r="H122" s="85" t="n">
        <x:v>74</x:v>
      </x:c>
      <x:c r="I122" s="85" t="n">
        <x:v>73</x:v>
      </x:c>
      <x:c r="J122" s="91" t="str">
        <x:v>スプリントトレイン / 山岳アシスト / 集団コントローラー</x:v>
      </x:c>
      <x:c r="K122" s="91" t="str"/>
      <x:c r="L122" s="91" t="str">
        <x:v>総合型 / スプリンター</x:v>
      </x:c>
      <x:c r="M122" s="88" t="n">
        <x:v>5450</x:v>
      </x:c>
      <x:c r="N122" s="85" t="n">
        <x:v>65</x:v>
      </x:c>
      <x:c r="O122" s="85" t="n">
        <x:v>64</x:v>
      </x:c>
      <x:c r="P122" s="85" t="n">
        <x:v>73</x:v>
      </x:c>
      <x:c r="Q122" s="85" t="n">
        <x:v>71</x:v>
      </x:c>
      <x:c r="R122" s="85" t="n">
        <x:v>75</x:v>
      </x:c>
      <x:c r="S122" s="85" t="n">
        <x:v>77</x:v>
      </x:c>
      <x:c r="T122" s="85" t="n">
        <x:v>75</x:v>
      </x:c>
      <x:c r="U122" s="85" t="n">
        <x:v>68</x:v>
      </x:c>
      <x:c r="V122" s="85" t="n">
        <x:v>71</x:v>
      </x:c>
      <x:c r="W122" s="85" t="n">
        <x:v>54</x:v>
      </x:c>
      <x:c r="X122" s="85" t="n">
        <x:v>78</x:v>
      </x:c>
      <x:c r="Y122" s="85" t="n">
        <x:v>78</x:v>
      </x:c>
      <x:c r="Z122" s="85" t="n">
        <x:v>66</x:v>
      </x:c>
      <x:c r="AA122" s="85" t="n">
        <x:v>75</x:v>
      </x:c>
      <x:c r="AB122" s="85" t="n">
        <x:v>67</x:v>
      </x:c>
      <x:c r="AC122" s="82" t="n">
        <x:v>0</x:v>
      </x:c>
      <x:c r="AD122" s="82" t="n">
        <x:v>0</x:v>
      </x:c>
      <x:c r="AE122" s="82" t="n">
        <x:v>0</x:v>
      </x:c>
      <x:c r="AF122" s="82" t="n">
        <x:v>0</x:v>
      </x:c>
      <x:c r="AG122" s="91" t="str">
        <x:v>要実績照合</x:v>
      </x:c>
      <x:c r="AH122" s="91" t="str">
        <x:v>現役300名補充時の脚質暫定値。パリ〜ルーベ／ロンド個人成績の追加照合が必要</x:v>
      </x:c>
      <x:c r="AI122" s="91" t="str">
        <x:v>https://www.paris-roubaix.fr/en/history</x:v>
      </x:c>
      <x:c r="AJ122" s="91" t="str">
        <x:v>能力・適性・Credit整合済</x:v>
      </x:c>
      <x:c r="AK122" s="91" t="str">
        <x:v>公開プロフィール脚質「All-rounder, 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2" s="91" t="str">
        <x:v>https://en.wikipedia.org/wiki/Jon_Barrenetxea</x:v>
      </x:c>
    </x:row>
    <x:row r="123" ht="24" customHeight="1">
      <x:c r="A123" s="82" t="n">
        <x:v>119</x:v>
      </x:c>
      <x:c r="B123" s="82" t="str">
        <x:v>Jefferson Alexander Cepeda</x:v>
      </x:c>
      <x:c r="C123" s="143" t="str"/>
      <x:c r="D123" s="82" t="str">
        <x:v>エクアドル</x:v>
      </x:c>
      <x:c r="E123" s="82" t="str">
        <x:v>現役</x:v>
      </x:c>
      <x:c r="F123" s="82" t="str">
        <x:v>クライマー</x:v>
      </x:c>
      <x:c r="G123" s="82" t="str">
        <x:v>クラシック型</x:v>
      </x:c>
      <x:c r="H123" s="85" t="n">
        <x:v>74</x:v>
      </x:c>
      <x:c r="I123" s="85" t="n">
        <x:v>74</x:v>
      </x:c>
      <x:c r="J123" s="91" t="str">
        <x:v>山岳賞ハンター / 山岳アシスト</x:v>
      </x:c>
      <x:c r="K123" s="91" t="str"/>
      <x:c r="L123" s="91" t="str">
        <x:v>クライマー / クラシック型</x:v>
      </x:c>
      <x:c r="M123" s="88" t="n">
        <x:v>5400</x:v>
      </x:c>
      <x:c r="N123" s="85" t="n">
        <x:v>61</x:v>
      </x:c>
      <x:c r="O123" s="85" t="n">
        <x:v>69</x:v>
      </x:c>
      <x:c r="P123" s="85" t="n">
        <x:v>68</x:v>
      </x:c>
      <x:c r="Q123" s="85" t="n">
        <x:v>62</x:v>
      </x:c>
      <x:c r="R123" s="85" t="n">
        <x:v>79</x:v>
      </x:c>
      <x:c r="S123" s="85" t="n">
        <x:v>74</x:v>
      </x:c>
      <x:c r="T123" s="85" t="n">
        <x:v>71</x:v>
      </x:c>
      <x:c r="U123" s="85" t="n">
        <x:v>66</x:v>
      </x:c>
      <x:c r="V123" s="85" t="n">
        <x:v>63</x:v>
      </x:c>
      <x:c r="W123" s="85" t="n">
        <x:v>50</x:v>
      </x:c>
      <x:c r="X123" s="85" t="n">
        <x:v>75</x:v>
      </x:c>
      <x:c r="Y123" s="85" t="n">
        <x:v>76</x:v>
      </x:c>
      <x:c r="Z123" s="85" t="n">
        <x:v>74</x:v>
      </x:c>
      <x:c r="AA123" s="85" t="n">
        <x:v>70</x:v>
      </x:c>
      <x:c r="AB123" s="85" t="n">
        <x:v>71</x:v>
      </x:c>
      <x:c r="AC123" s="82" t="n">
        <x:v>0</x:v>
      </x:c>
      <x:c r="AD123" s="82" t="n">
        <x:v>0</x:v>
      </x:c>
      <x:c r="AE123" s="82" t="n">
        <x:v>0</x:v>
      </x:c>
      <x:c r="AF123" s="82" t="n">
        <x:v>0</x:v>
      </x:c>
      <x:c r="AG123" s="91" t="str">
        <x:v>要実績照合</x:v>
      </x:c>
      <x:c r="AH123" s="91" t="str">
        <x:v>現役300名補充時の脚質暫定値。パリ〜ルーベ／ロンド個人成績の追加照合が必要</x:v>
      </x:c>
      <x:c r="AI123" s="91" t="str">
        <x:v>https://www.paris-roubaix.fr/en/history</x:v>
      </x:c>
      <x:c r="AJ123" s="91" t="str">
        <x:v>能力・適性・Credit整合済</x:v>
      </x:c>
      <x:c r="AK123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3" s="91" t="str">
        <x:v>https://en.wikipedia.org/wiki/Jefferson_Alexander_Cepeda</x:v>
      </x:c>
    </x:row>
    <x:row r="124" ht="24" customHeight="1">
      <x:c r="A124" s="82" t="n">
        <x:v>120</x:v>
      </x:c>
      <x:c r="B124" s="82" t="str">
        <x:v>Aaron Dockx</x:v>
      </x:c>
      <x:c r="C124" s="143" t="str"/>
      <x:c r="D124" s="82" t="str">
        <x:v>ベルギー</x:v>
      </x:c>
      <x:c r="E124" s="82" t="str">
        <x:v>現役</x:v>
      </x:c>
      <x:c r="F124" s="82" t="str">
        <x:v>総合型</x:v>
      </x:c>
      <x:c r="G124" s="82" t="str">
        <x:v>スプリンター</x:v>
      </x:c>
      <x:c r="H124" s="85" t="n">
        <x:v>74</x:v>
      </x:c>
      <x:c r="I124" s="85" t="n">
        <x:v>74</x:v>
      </x:c>
      <x:c r="J124" s="91" t="str">
        <x:v>スプリントトレイン / 山岳アシスト / 山岳番手</x:v>
      </x:c>
      <x:c r="K124" s="91" t="str"/>
      <x:c r="L124" s="91" t="str">
        <x:v>総合型 / スプリンター</x:v>
      </x:c>
      <x:c r="M124" s="88" t="n">
        <x:v>5350</x:v>
      </x:c>
      <x:c r="N124" s="85" t="n">
        <x:v>57</x:v>
      </x:c>
      <x:c r="O124" s="85" t="n">
        <x:v>65</x:v>
      </x:c>
      <x:c r="P124" s="85" t="n">
        <x:v>70</x:v>
      </x:c>
      <x:c r="Q124" s="85" t="n">
        <x:v>71</x:v>
      </x:c>
      <x:c r="R124" s="85" t="n">
        <x:v>77</x:v>
      </x:c>
      <x:c r="S124" s="85" t="n">
        <x:v>74</x:v>
      </x:c>
      <x:c r="T124" s="85" t="n">
        <x:v>75</x:v>
      </x:c>
      <x:c r="U124" s="85" t="n">
        <x:v>70</x:v>
      </x:c>
      <x:c r="V124" s="85" t="n">
        <x:v>67</x:v>
      </x:c>
      <x:c r="W124" s="85" t="n">
        <x:v>59</x:v>
      </x:c>
      <x:c r="X124" s="85" t="n">
        <x:v>79</x:v>
      </x:c>
      <x:c r="Y124" s="85" t="n">
        <x:v>78</x:v>
      </x:c>
      <x:c r="Z124" s="85" t="n">
        <x:v>66</x:v>
      </x:c>
      <x:c r="AA124" s="85" t="n">
        <x:v>75</x:v>
      </x:c>
      <x:c r="AB124" s="85" t="n">
        <x:v>66</x:v>
      </x:c>
      <x:c r="AC124" s="82" t="n">
        <x:v>0</x:v>
      </x:c>
      <x:c r="AD124" s="82" t="n">
        <x:v>0</x:v>
      </x:c>
      <x:c r="AE124" s="82" t="n">
        <x:v>0</x:v>
      </x:c>
      <x:c r="AF124" s="82" t="n">
        <x:v>0</x:v>
      </x:c>
      <x:c r="AG124" s="91" t="str">
        <x:v>要実績照合</x:v>
      </x:c>
      <x:c r="AH124" s="91" t="str">
        <x:v>現役300名補充時の脚質暫定値。パリ〜ルーベ／ロンド個人成績の追加照合が必要</x:v>
      </x:c>
      <x:c r="AI124" s="91" t="str">
        <x:v>https://www.paris-roubaix.fr/en/history</x:v>
      </x:c>
      <x:c r="AJ124" s="91" t="str">
        <x:v>能力・適性・Credit整合済</x:v>
      </x:c>
      <x:c r="AK12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4" s="91" t="str">
        <x:v>https://en.wikipedia.org/wiki/Aaron_Dockx</x:v>
      </x:c>
    </x:row>
    <x:row r="125" ht="24" customHeight="1">
      <x:c r="A125" s="82" t="n">
        <x:v>121</x:v>
      </x:c>
      <x:c r="B125" s="82" t="str">
        <x:v>Filippo Fiorelli</x:v>
      </x:c>
      <x:c r="C125" s="143" t="str"/>
      <x:c r="D125" s="82" t="str">
        <x:v>イタリア</x:v>
      </x:c>
      <x:c r="E125" s="82" t="str">
        <x:v>現役</x:v>
      </x:c>
      <x:c r="F125" s="82" t="str">
        <x:v>クラシック型</x:v>
      </x:c>
      <x:c r="G125" s="82" t="str">
        <x:v>スプリンター</x:v>
      </x:c>
      <x:c r="H125" s="85" t="n">
        <x:v>74</x:v>
      </x:c>
      <x:c r="I125" s="85" t="n">
        <x:v>75</x:v>
      </x:c>
      <x:c r="J125" s="91" t="str">
        <x:v>スプリントトレイン / 石畳護衛</x:v>
      </x:c>
      <x:c r="K125" s="91" t="str"/>
      <x:c r="L125" s="91" t="str">
        <x:v>クラシック型 / スプリンター</x:v>
      </x:c>
      <x:c r="M125" s="88" t="n">
        <x:v>5250</x:v>
      </x:c>
      <x:c r="N125" s="85" t="n">
        <x:v>74</x:v>
      </x:c>
      <x:c r="O125" s="85" t="n">
        <x:v>70</x:v>
      </x:c>
      <x:c r="P125" s="85" t="n">
        <x:v>75</x:v>
      </x:c>
      <x:c r="Q125" s="85" t="n">
        <x:v>75</x:v>
      </x:c>
      <x:c r="R125" s="85" t="n">
        <x:v>61</x:v>
      </x:c>
      <x:c r="S125" s="85" t="n">
        <x:v>72</x:v>
      </x:c>
      <x:c r="T125" s="85" t="n">
        <x:v>75</x:v>
      </x:c>
      <x:c r="U125" s="85" t="n">
        <x:v>74</x:v>
      </x:c>
      <x:c r="V125" s="85" t="n">
        <x:v>76</x:v>
      </x:c>
      <x:c r="W125" s="85" t="n">
        <x:v>70</x:v>
      </x:c>
      <x:c r="X125" s="85" t="n">
        <x:v>69</x:v>
      </x:c>
      <x:c r="Y125" s="85" t="n">
        <x:v>72</x:v>
      </x:c>
      <x:c r="Z125" s="85" t="n">
        <x:v>73</x:v>
      </x:c>
      <x:c r="AA125" s="85" t="n">
        <x:v>67</x:v>
      </x:c>
      <x:c r="AB125" s="85" t="n">
        <x:v>72</x:v>
      </x:c>
      <x:c r="AC125" s="82" t="n">
        <x:v>0</x:v>
      </x:c>
      <x:c r="AD125" s="82" t="n">
        <x:v>0</x:v>
      </x:c>
      <x:c r="AE125" s="82" t="n">
        <x:v>0</x:v>
      </x:c>
      <x:c r="AF125" s="82" t="n">
        <x:v>0</x:v>
      </x:c>
      <x:c r="AG125" s="91" t="str">
        <x:v>要実績照合</x:v>
      </x:c>
      <x:c r="AH125" s="91" t="str">
        <x:v>現役300名補充時の脚質暫定値。パリ〜ルーベ／ロンド個人成績の追加照合が必要</x:v>
      </x:c>
      <x:c r="AI125" s="91" t="str">
        <x:v>https://www.paris-roubaix.fr/en/history</x:v>
      </x:c>
      <x:c r="AJ125" s="91" t="str">
        <x:v>能力・適性・Credit整合済</x:v>
      </x:c>
      <x:c r="AK12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5" s="91" t="str">
        <x:v>https://en.wikipedia.org/wiki/Filippo_Fiorelli</x:v>
      </x:c>
    </x:row>
    <x:row r="126" ht="24" customHeight="1">
      <x:c r="A126" s="82" t="n">
        <x:v>122</x:v>
      </x:c>
      <x:c r="B126" s="82" t="str">
        <x:v>Axel Zingle</x:v>
      </x:c>
      <x:c r="C126" s="143" t="str"/>
      <x:c r="D126" s="82" t="str">
        <x:v>フランス</x:v>
      </x:c>
      <x:c r="E126" s="82" t="str">
        <x:v>現役</x:v>
      </x:c>
      <x:c r="F126" s="82" t="str">
        <x:v>スプリンター</x:v>
      </x:c>
      <x:c r="G126" s="82" t="str">
        <x:v>総合型</x:v>
      </x:c>
      <x:c r="H126" s="85" t="n">
        <x:v>74</x:v>
      </x:c>
      <x:c r="I126" s="85" t="n">
        <x:v>70</x:v>
      </x:c>
      <x:c r="J126" s="91" t="str">
        <x:v>リードアウト / 最終発射台 / スプリントトレイン / 集団コントローラー / ポジションキーパー</x:v>
      </x:c>
      <x:c r="K126" s="91" t="str"/>
      <x:c r="L126" s="91" t="str">
        <x:v>スプリンター / 総合型</x:v>
      </x:c>
      <x:c r="M126" s="88" t="n">
        <x:v>5200</x:v>
      </x:c>
      <x:c r="N126" s="85" t="n">
        <x:v>81</x:v>
      </x:c>
      <x:c r="O126" s="85" t="n">
        <x:v>79</x:v>
      </x:c>
      <x:c r="P126" s="85" t="n">
        <x:v>65</x:v>
      </x:c>
      <x:c r="Q126" s="85" t="n">
        <x:v>74</x:v>
      </x:c>
      <x:c r="R126" s="85" t="n">
        <x:v>57</x:v>
      </x:c>
      <x:c r="S126" s="85" t="n">
        <x:v>63</x:v>
      </x:c>
      <x:c r="T126" s="85" t="n">
        <x:v>67</x:v>
      </x:c>
      <x:c r="U126" s="85" t="n">
        <x:v>73</x:v>
      </x:c>
      <x:c r="V126" s="85" t="n">
        <x:v>73</x:v>
      </x:c>
      <x:c r="W126" s="85" t="n">
        <x:v>54</x:v>
      </x:c>
      <x:c r="X126" s="85" t="n">
        <x:v>71</x:v>
      </x:c>
      <x:c r="Y126" s="85" t="n">
        <x:v>68</x:v>
      </x:c>
      <x:c r="Z126" s="85" t="n">
        <x:v>70</x:v>
      </x:c>
      <x:c r="AA126" s="85" t="n">
        <x:v>80</x:v>
      </x:c>
      <x:c r="AB126" s="85" t="n">
        <x:v>66</x:v>
      </x:c>
      <x:c r="AC126" s="82" t="n">
        <x:v>0</x:v>
      </x:c>
      <x:c r="AD126" s="82" t="n">
        <x:v>0</x:v>
      </x:c>
      <x:c r="AE126" s="82" t="n">
        <x:v>0</x:v>
      </x:c>
      <x:c r="AF126" s="82" t="n">
        <x:v>0</x:v>
      </x:c>
      <x:c r="AG126" s="91" t="str">
        <x:v>要実績照合</x:v>
      </x:c>
      <x:c r="AH126" s="91" t="str">
        <x:v>現役300名補充時の脚質暫定値。パリ〜ルーベ／ロンド個人成績の追加照合が必要</x:v>
      </x:c>
      <x:c r="AI126" s="91" t="str">
        <x:v>https://www.paris-roubaix.fr/en/history</x:v>
      </x:c>
      <x:c r="AJ126" s="91" t="str">
        <x:v>能力・適性・Credit整合済</x:v>
      </x:c>
      <x:c r="AK12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6" s="91" t="str">
        <x:v>https://en.wikipedia.org/wiki/Axel_Zingle</x:v>
      </x:c>
    </x:row>
    <x:row r="127" ht="24" customHeight="1">
      <x:c r="A127" s="82" t="n">
        <x:v>123</x:v>
      </x:c>
      <x:c r="B127" s="82" t="str">
        <x:v>Ben Swift</x:v>
      </x:c>
      <x:c r="C127" s="143" t="str"/>
      <x:c r="D127" s="82" t="str">
        <x:v>イギリス</x:v>
      </x:c>
      <x:c r="E127" s="82" t="str">
        <x:v>現役</x:v>
      </x:c>
      <x:c r="F127" s="82" t="str">
        <x:v>スプリンター</x:v>
      </x:c>
      <x:c r="G127" s="82" t="str">
        <x:v>クラシック型</x:v>
      </x:c>
      <x:c r="H127" s="85" t="n">
        <x:v>74</x:v>
      </x:c>
      <x:c r="I127" s="85" t="n">
        <x:v>70</x:v>
      </x:c>
      <x:c r="J127" s="91" t="str">
        <x:v>リードアウト / 最終発射台 / スプリントトレイン</x:v>
      </x:c>
      <x:c r="K127" s="91" t="str"/>
      <x:c r="L127" s="91" t="str">
        <x:v>スプリンター / クラシック型</x:v>
      </x:c>
      <x:c r="M127" s="88" t="n">
        <x:v>5150</x:v>
      </x:c>
      <x:c r="N127" s="85" t="n">
        <x:v>84</x:v>
      </x:c>
      <x:c r="O127" s="85" t="n">
        <x:v>77</x:v>
      </x:c>
      <x:c r="P127" s="85" t="n">
        <x:v>69</x:v>
      </x:c>
      <x:c r="Q127" s="85" t="n">
        <x:v>72</x:v>
      </x:c>
      <x:c r="R127" s="85" t="n">
        <x:v>61</x:v>
      </x:c>
      <x:c r="S127" s="85" t="n">
        <x:v>65</x:v>
      </x:c>
      <x:c r="T127" s="85" t="n">
        <x:v>65</x:v>
      </x:c>
      <x:c r="U127" s="85" t="n">
        <x:v>71</x:v>
      </x:c>
      <x:c r="V127" s="85" t="n">
        <x:v>69</x:v>
      </x:c>
      <x:c r="W127" s="85" t="n">
        <x:v>59</x:v>
      </x:c>
      <x:c r="X127" s="85" t="n">
        <x:v>69</x:v>
      </x:c>
      <x:c r="Y127" s="85" t="n">
        <x:v>68</x:v>
      </x:c>
      <x:c r="Z127" s="85" t="n">
        <x:v>69</x:v>
      </x:c>
      <x:c r="AA127" s="85" t="n">
        <x:v>75</x:v>
      </x:c>
      <x:c r="AB127" s="85" t="n">
        <x:v>66</x:v>
      </x:c>
      <x:c r="AC127" s="82" t="n">
        <x:v>0</x:v>
      </x:c>
      <x:c r="AD127" s="82" t="n">
        <x:v>0</x:v>
      </x:c>
      <x:c r="AE127" s="82" t="n">
        <x:v>0</x:v>
      </x:c>
      <x:c r="AF127" s="82" t="n">
        <x:v>0</x:v>
      </x:c>
      <x:c r="AG127" s="91" t="str">
        <x:v>要実績照合</x:v>
      </x:c>
      <x:c r="AH127" s="91" t="str">
        <x:v>現役300名補充時の脚質暫定値。パリ〜ルーベ／ロンド個人成績の追加照合が必要</x:v>
      </x:c>
      <x:c r="AI127" s="91" t="str">
        <x:v>https://www.paris-roubaix.fr/en/history</x:v>
      </x:c>
      <x:c r="AJ127" s="91" t="str">
        <x:v>能力・適性・Credit整合済</x:v>
      </x:c>
      <x:c r="AK127" s="91" t="str">
        <x:v>公開プロフィール脚質「Sprinter, Domestique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7" s="91" t="str">
        <x:v>https://en.wikipedia.org/wiki/Ben_Swift</x:v>
      </x:c>
    </x:row>
    <x:row r="128" ht="24" customHeight="1">
      <x:c r="A128" s="82" t="n">
        <x:v>124</x:v>
      </x:c>
      <x:c r="B128" s="82" t="str">
        <x:v>Juan Guillermo Martínez</x:v>
      </x:c>
      <x:c r="C128" s="143" t="str"/>
      <x:c r="D128" s="82" t="str">
        <x:v>コロンビア</x:v>
      </x:c>
      <x:c r="E128" s="82" t="str">
        <x:v>現役</x:v>
      </x:c>
      <x:c r="F128" s="82" t="str">
        <x:v>クライマー</x:v>
      </x:c>
      <x:c r="G128" s="82" t="str">
        <x:v>パンチャー</x:v>
      </x:c>
      <x:c r="H128" s="85" t="n">
        <x:v>74</x:v>
      </x:c>
      <x:c r="I128" s="85" t="n">
        <x:v>73</x:v>
      </x:c>
      <x:c r="J128" s="91" t="str">
        <x:v>山岳賞ハンター / 山岳アシスト</x:v>
      </x:c>
      <x:c r="K128" s="91" t="str"/>
      <x:c r="L128" s="91" t="str">
        <x:v>クライマー / パンチャー</x:v>
      </x:c>
      <x:c r="M128" s="88" t="n">
        <x:v>5100</x:v>
      </x:c>
      <x:c r="N128" s="85" t="n">
        <x:v>56</x:v>
      </x:c>
      <x:c r="O128" s="85" t="n">
        <x:v>69</x:v>
      </x:c>
      <x:c r="P128" s="85" t="n">
        <x:v>67</x:v>
      </x:c>
      <x:c r="Q128" s="85" t="n">
        <x:v>61</x:v>
      </x:c>
      <x:c r="R128" s="85" t="n">
        <x:v>77</x:v>
      </x:c>
      <x:c r="S128" s="85" t="n">
        <x:v>72</x:v>
      </x:c>
      <x:c r="T128" s="85" t="n">
        <x:v>73</x:v>
      </x:c>
      <x:c r="U128" s="85" t="n">
        <x:v>67</x:v>
      </x:c>
      <x:c r="V128" s="85" t="n">
        <x:v>65</x:v>
      </x:c>
      <x:c r="W128" s="85" t="n">
        <x:v>56</x:v>
      </x:c>
      <x:c r="X128" s="85" t="n">
        <x:v>76</x:v>
      </x:c>
      <x:c r="Y128" s="85" t="n">
        <x:v>74</x:v>
      </x:c>
      <x:c r="Z128" s="85" t="n">
        <x:v>70</x:v>
      </x:c>
      <x:c r="AA128" s="85" t="n">
        <x:v>69</x:v>
      </x:c>
      <x:c r="AB128" s="85" t="n">
        <x:v>71</x:v>
      </x:c>
      <x:c r="AC128" s="82" t="n">
        <x:v>0</x:v>
      </x:c>
      <x:c r="AD128" s="82" t="n">
        <x:v>0</x:v>
      </x:c>
      <x:c r="AE128" s="82" t="n">
        <x:v>0</x:v>
      </x:c>
      <x:c r="AF128" s="82" t="n">
        <x:v>0</x:v>
      </x:c>
      <x:c r="AG128" s="91" t="str">
        <x:v>要実績照合</x:v>
      </x:c>
      <x:c r="AH128" s="91" t="str">
        <x:v>現役300名補充時の脚質暫定値。パリ〜ルーベ／ロンド個人成績の追加照合が必要</x:v>
      </x:c>
      <x:c r="AI128" s="91" t="str">
        <x:v>https://www.paris-roubaix.fr/en/history</x:v>
      </x:c>
      <x:c r="AJ128" s="91" t="str">
        <x:v>能力・適性・Credit整合済</x:v>
      </x:c>
      <x:c r="AK128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8" s="91" t="str">
        <x:v>https://en.wikipedia.org/wiki/Juan_Guillermo_Mart%C3%ADnez</x:v>
      </x:c>
    </x:row>
    <x:row r="129" ht="24" customHeight="1">
      <x:c r="A129" s="82" t="n">
        <x:v>125</x:v>
      </x:c>
      <x:c r="B129" s="82" t="str">
        <x:v>Bjoern Koerdt</x:v>
      </x:c>
      <x:c r="C129" s="143" t="str"/>
      <x:c r="D129" s="82" t="str">
        <x:v>イギリス</x:v>
      </x:c>
      <x:c r="E129" s="82" t="str">
        <x:v>現役</x:v>
      </x:c>
      <x:c r="F129" s="82" t="str">
        <x:v>パンチャー</x:v>
      </x:c>
      <x:c r="G129" s="82" t="str">
        <x:v>スプリンター</x:v>
      </x:c>
      <x:c r="H129" s="85" t="n">
        <x:v>74</x:v>
      </x:c>
      <x:c r="I129" s="85" t="n">
        <x:v>71</x:v>
      </x:c>
      <x:c r="J129" s="91" t="str">
        <x:v>ステージハンター / スプリントトレイン / 下り牽引 / カウンターアタッカー / 無賃乗車</x:v>
      </x:c>
      <x:c r="K129" s="91" t="str"/>
      <x:c r="L129" s="91" t="str">
        <x:v>パンチャー / スプリンター</x:v>
      </x:c>
      <x:c r="M129" s="88" t="n">
        <x:v>5000</x:v>
      </x:c>
      <x:c r="N129" s="85" t="n">
        <x:v>69</x:v>
      </x:c>
      <x:c r="O129" s="85" t="n">
        <x:v>77</x:v>
      </x:c>
      <x:c r="P129" s="85" t="n">
        <x:v>77</x:v>
      </x:c>
      <x:c r="Q129" s="85" t="n">
        <x:v>68</x:v>
      </x:c>
      <x:c r="R129" s="85" t="n">
        <x:v>71</x:v>
      </x:c>
      <x:c r="S129" s="85" t="n">
        <x:v>67</x:v>
      </x:c>
      <x:c r="T129" s="85" t="n">
        <x:v>68</x:v>
      </x:c>
      <x:c r="U129" s="85" t="n">
        <x:v>74</x:v>
      </x:c>
      <x:c r="V129" s="85" t="n">
        <x:v>74</x:v>
      </x:c>
      <x:c r="W129" s="85" t="n">
        <x:v>54</x:v>
      </x:c>
      <x:c r="X129" s="85" t="n">
        <x:v>67</x:v>
      </x:c>
      <x:c r="Y129" s="85" t="n">
        <x:v>72</x:v>
      </x:c>
      <x:c r="Z129" s="85" t="n">
        <x:v>63</x:v>
      </x:c>
      <x:c r="AA129" s="85" t="n">
        <x:v>79</x:v>
      </x:c>
      <x:c r="AB129" s="85" t="n">
        <x:v>79</x:v>
      </x:c>
      <x:c r="AC129" s="82" t="n">
        <x:v>0</x:v>
      </x:c>
      <x:c r="AD129" s="82" t="n">
        <x:v>0</x:v>
      </x:c>
      <x:c r="AE129" s="82" t="n">
        <x:v>0</x:v>
      </x:c>
      <x:c r="AF129" s="82" t="n">
        <x:v>0</x:v>
      </x:c>
      <x:c r="AG129" s="91" t="str">
        <x:v>要実績照合</x:v>
      </x:c>
      <x:c r="AH129" s="91" t="str">
        <x:v>現役300名補充時の脚質暫定値。パリ〜ルーベ／ロンド個人成績の追加照合が必要</x:v>
      </x:c>
      <x:c r="AI129" s="91" t="str">
        <x:v>https://www.paris-roubaix.fr/en/history</x:v>
      </x:c>
      <x:c r="AJ129" s="91" t="str">
        <x:v>能力・適性・Credit整合済</x:v>
      </x:c>
      <x:c r="AK12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29" s="91" t="str">
        <x:v>https://en.wikipedia.org/wiki/Bjoern_Koerdt</x:v>
      </x:c>
    </x:row>
    <x:row r="130" ht="24" customHeight="1">
      <x:c r="A130" s="82" t="n">
        <x:v>126</x:v>
      </x:c>
      <x:c r="B130" s="82" t="str">
        <x:v>Marijn van den Berg</x:v>
      </x:c>
      <x:c r="C130" s="143" t="str"/>
      <x:c r="D130" s="82" t="str">
        <x:v>オランダ</x:v>
      </x:c>
      <x:c r="E130" s="82" t="str">
        <x:v>現役</x:v>
      </x:c>
      <x:c r="F130" s="82" t="str">
        <x:v>スプリンター</x:v>
      </x:c>
      <x:c r="G130" s="82" t="str">
        <x:v>クライマー</x:v>
      </x:c>
      <x:c r="H130" s="85" t="n">
        <x:v>74</x:v>
      </x:c>
      <x:c r="I130" s="85" t="n">
        <x:v>69</x:v>
      </x:c>
      <x:c r="J130" s="91" t="str">
        <x:v>山岳賞ハンター / リードアウト / 最終発射台 / スプリントトレイン</x:v>
      </x:c>
      <x:c r="K130" s="91" t="str"/>
      <x:c r="L130" s="91" t="str">
        <x:v>スプリンター / クライマー</x:v>
      </x:c>
      <x:c r="M130" s="88" t="n">
        <x:v>4950</x:v>
      </x:c>
      <x:c r="N130" s="85" t="n">
        <x:v>82</x:v>
      </x:c>
      <x:c r="O130" s="85" t="n">
        <x:v>80</x:v>
      </x:c>
      <x:c r="P130" s="85" t="n">
        <x:v>66</x:v>
      </x:c>
      <x:c r="Q130" s="85" t="n">
        <x:v>71</x:v>
      </x:c>
      <x:c r="R130" s="85" t="n">
        <x:v>61</x:v>
      </x:c>
      <x:c r="S130" s="85" t="n">
        <x:v>64</x:v>
      </x:c>
      <x:c r="T130" s="85" t="n">
        <x:v>63</x:v>
      </x:c>
      <x:c r="U130" s="85" t="n">
        <x:v>67</x:v>
      </x:c>
      <x:c r="V130" s="85" t="n">
        <x:v>70</x:v>
      </x:c>
      <x:c r="W130" s="85" t="n">
        <x:v>58</x:v>
      </x:c>
      <x:c r="X130" s="85" t="n">
        <x:v>64</x:v>
      </x:c>
      <x:c r="Y130" s="85" t="n">
        <x:v>63</x:v>
      </x:c>
      <x:c r="Z130" s="85" t="n">
        <x:v>70</x:v>
      </x:c>
      <x:c r="AA130" s="85" t="n">
        <x:v>73</x:v>
      </x:c>
      <x:c r="AB130" s="85" t="n">
        <x:v>68</x:v>
      </x:c>
      <x:c r="AC130" s="82" t="n">
        <x:v>0</x:v>
      </x:c>
      <x:c r="AD130" s="82" t="n">
        <x:v>0</x:v>
      </x:c>
      <x:c r="AE130" s="82" t="n">
        <x:v>0</x:v>
      </x:c>
      <x:c r="AF130" s="82" t="n">
        <x:v>0</x:v>
      </x:c>
      <x:c r="AG130" s="91" t="str">
        <x:v>要実績照合</x:v>
      </x:c>
      <x:c r="AH130" s="91" t="str">
        <x:v>現役300名補充時の脚質暫定値。パリ〜ルーベ／ロンド個人成績の追加照合が必要</x:v>
      </x:c>
      <x:c r="AI130" s="91" t="str">
        <x:v>https://www.paris-roubaix.fr/en/history</x:v>
      </x:c>
      <x:c r="AJ130" s="91" t="str">
        <x:v>能力・適性・Credit整合済</x:v>
      </x:c>
      <x:c r="AK130" s="91" t="str">
        <x:v>公開プロフィール脚質「Sprinter, 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0" s="91" t="str">
        <x:v>https://en.wikipedia.org/wiki/Marijn_van_den_Berg</x:v>
      </x:c>
    </x:row>
    <x:row r="131" ht="24" customHeight="1">
      <x:c r="A131" s="82" t="n">
        <x:v>127</x:v>
      </x:c>
      <x:c r="B131" s="82" t="str">
        <x:v>Huub Artz</x:v>
      </x:c>
      <x:c r="C131" s="143" t="str"/>
      <x:c r="D131" s="82" t="str">
        <x:v>オランダ</x:v>
      </x:c>
      <x:c r="E131" s="82" t="str">
        <x:v>現役</x:v>
      </x:c>
      <x:c r="F131" s="82" t="str">
        <x:v>パンチャー</x:v>
      </x:c>
      <x:c r="G131" s="82" t="str">
        <x:v>クライマー</x:v>
      </x:c>
      <x:c r="H131" s="85" t="n">
        <x:v>74</x:v>
      </x:c>
      <x:c r="I131" s="85" t="n">
        <x:v>70</x:v>
      </x:c>
      <x:c r="J131" s="91" t="str">
        <x:v>ステージハンター / 山岳賞ハンター / 逃げ屋</x:v>
      </x:c>
      <x:c r="K131" s="91" t="str"/>
      <x:c r="L131" s="91" t="str">
        <x:v>パンチャー / クライマー</x:v>
      </x:c>
      <x:c r="M131" s="88" t="n">
        <x:v>4800</x:v>
      </x:c>
      <x:c r="N131" s="85" t="n">
        <x:v>68</x:v>
      </x:c>
      <x:c r="O131" s="85" t="n">
        <x:v>74</x:v>
      </x:c>
      <x:c r="P131" s="85" t="n">
        <x:v>78</x:v>
      </x:c>
      <x:c r="Q131" s="85" t="n">
        <x:v>67</x:v>
      </x:c>
      <x:c r="R131" s="85" t="n">
        <x:v>71</x:v>
      </x:c>
      <x:c r="S131" s="85" t="n">
        <x:v>69</x:v>
      </x:c>
      <x:c r="T131" s="85" t="n">
        <x:v>64</x:v>
      </x:c>
      <x:c r="U131" s="85" t="n">
        <x:v>69</x:v>
      </x:c>
      <x:c r="V131" s="85" t="n">
        <x:v>71</x:v>
      </x:c>
      <x:c r="W131" s="85" t="n">
        <x:v>60</x:v>
      </x:c>
      <x:c r="X131" s="85" t="n">
        <x:v>69</x:v>
      </x:c>
      <x:c r="Y131" s="85" t="n">
        <x:v>71</x:v>
      </x:c>
      <x:c r="Z131" s="85" t="n">
        <x:v>68</x:v>
      </x:c>
      <x:c r="AA131" s="85" t="n">
        <x:v>73</x:v>
      </x:c>
      <x:c r="AB131" s="85" t="n">
        <x:v>76</x:v>
      </x:c>
      <x:c r="AC131" s="82" t="n">
        <x:v>0</x:v>
      </x:c>
      <x:c r="AD131" s="82" t="n">
        <x:v>0</x:v>
      </x:c>
      <x:c r="AE131" s="82" t="n">
        <x:v>0</x:v>
      </x:c>
      <x:c r="AF131" s="82" t="n">
        <x:v>0</x:v>
      </x:c>
      <x:c r="AG131" s="91" t="str">
        <x:v>要実績照合</x:v>
      </x:c>
      <x:c r="AH131" s="91" t="str">
        <x:v>現役300名補充時の脚質暫定値。パリ〜ルーベ／ロンド個人成績の追加照合が必要</x:v>
      </x:c>
      <x:c r="AI131" s="91" t="str">
        <x:v>https://www.paris-roubaix.fr/en/history</x:v>
      </x:c>
      <x:c r="AJ131" s="91" t="str">
        <x:v>能力・適性・Credit整合済</x:v>
      </x:c>
      <x:c r="AK13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1" s="91" t="str">
        <x:v>https://en.wikipedia.org/wiki/Huub_Artz</x:v>
      </x:c>
    </x:row>
    <x:row r="132" ht="24" customHeight="1">
      <x:c r="A132" s="82" t="n">
        <x:v>128</x:v>
      </x:c>
      <x:c r="B132" s="82" t="str">
        <x:v>Jonas Iversby Hvideberg</x:v>
      </x:c>
      <x:c r="C132" s="143" t="str"/>
      <x:c r="D132" s="82" t="str">
        <x:v>ノルウェー</x:v>
      </x:c>
      <x:c r="E132" s="82" t="str">
        <x:v>現役</x:v>
      </x:c>
      <x:c r="F132" s="82" t="str">
        <x:v>総合型</x:v>
      </x:c>
      <x:c r="G132" s="82" t="str">
        <x:v>TT・ルーラー型</x:v>
      </x:c>
      <x:c r="H132" s="85" t="n">
        <x:v>74</x:v>
      </x:c>
      <x:c r="I132" s="85" t="n">
        <x:v>72</x:v>
      </x:c>
      <x:c r="J132" s="91" t="str">
        <x:v>ロードキャプテン / 山岳アシスト / 山岳番手</x:v>
      </x:c>
      <x:c r="K132" s="91" t="str"/>
      <x:c r="L132" s="91" t="str">
        <x:v>総合型 / TT・ルーラー型</x:v>
      </x:c>
      <x:c r="M132" s="88" t="n">
        <x:v>4800</x:v>
      </x:c>
      <x:c r="N132" s="85" t="n">
        <x:v>58</x:v>
      </x:c>
      <x:c r="O132" s="85" t="n">
        <x:v>68</x:v>
      </x:c>
      <x:c r="P132" s="85" t="n">
        <x:v>71</x:v>
      </x:c>
      <x:c r="Q132" s="85" t="n">
        <x:v>68</x:v>
      </x:c>
      <x:c r="R132" s="85" t="n">
        <x:v>74</x:v>
      </x:c>
      <x:c r="S132" s="85" t="n">
        <x:v>72</x:v>
      </x:c>
      <x:c r="T132" s="85" t="n">
        <x:v>74</x:v>
      </x:c>
      <x:c r="U132" s="85" t="n">
        <x:v>67</x:v>
      </x:c>
      <x:c r="V132" s="85" t="n">
        <x:v>67</x:v>
      </x:c>
      <x:c r="W132" s="85" t="n">
        <x:v>54</x:v>
      </x:c>
      <x:c r="X132" s="85" t="n">
        <x:v>75</x:v>
      </x:c>
      <x:c r="Y132" s="85" t="n">
        <x:v>77</x:v>
      </x:c>
      <x:c r="Z132" s="85" t="n">
        <x:v>69</x:v>
      </x:c>
      <x:c r="AA132" s="85" t="n">
        <x:v>72</x:v>
      </x:c>
      <x:c r="AB132" s="85" t="n">
        <x:v>65</x:v>
      </x:c>
      <x:c r="AC132" s="82" t="n">
        <x:v>0</x:v>
      </x:c>
      <x:c r="AD132" s="82" t="n">
        <x:v>0</x:v>
      </x:c>
      <x:c r="AE132" s="82" t="n">
        <x:v>0</x:v>
      </x:c>
      <x:c r="AF132" s="82" t="n">
        <x:v>0</x:v>
      </x:c>
      <x:c r="AG132" s="91" t="str">
        <x:v>要実績照合</x:v>
      </x:c>
      <x:c r="AH132" s="91" t="str">
        <x:v>現役300名補充時の脚質暫定値。パリ〜ルーベ／ロンド個人成績の追加照合が必要</x:v>
      </x:c>
      <x:c r="AI132" s="91" t="str">
        <x:v>https://www.paris-roubaix.fr/en/history</x:v>
      </x:c>
      <x:c r="AJ132" s="91" t="str">
        <x:v>能力・適性・Credit整合済</x:v>
      </x:c>
      <x:c r="AK13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2" s="91" t="str">
        <x:v>https://en.wikipedia.org/wiki/Jonas_Iversby_Hvideberg</x:v>
      </x:c>
    </x:row>
    <x:row r="133" ht="24" customHeight="1">
      <x:c r="A133" s="82" t="n">
        <x:v>129</x:v>
      </x:c>
      <x:c r="B133" s="82" t="str">
        <x:v>Julius van den Berg</x:v>
      </x:c>
      <x:c r="C133" s="143" t="str"/>
      <x:c r="D133" s="82" t="str">
        <x:v>オランダ</x:v>
      </x:c>
      <x:c r="E133" s="82" t="str">
        <x:v>現役</x:v>
      </x:c>
      <x:c r="F133" s="82" t="str">
        <x:v>スプリンター</x:v>
      </x:c>
      <x:c r="G133" s="82" t="str">
        <x:v>クラシック型</x:v>
      </x:c>
      <x:c r="H133" s="85" t="n">
        <x:v>74</x:v>
      </x:c>
      <x:c r="I133" s="85" t="n">
        <x:v>70</x:v>
      </x:c>
      <x:c r="J133" s="91" t="str">
        <x:v>リードアウト / 最終発射台 / スプリントトレイン / 下り牽引 / ポジションキーパー</x:v>
      </x:c>
      <x:c r="K133" s="91" t="str"/>
      <x:c r="L133" s="91" t="str">
        <x:v>スプリンター / クラシック型</x:v>
      </x:c>
      <x:c r="M133" s="88" t="n">
        <x:v>4700</x:v>
      </x:c>
      <x:c r="N133" s="85" t="n">
        <x:v>80</x:v>
      </x:c>
      <x:c r="O133" s="85" t="n">
        <x:v>76</x:v>
      </x:c>
      <x:c r="P133" s="85" t="n">
        <x:v>65</x:v>
      </x:c>
      <x:c r="Q133" s="85" t="n">
        <x:v>71</x:v>
      </x:c>
      <x:c r="R133" s="85" t="n">
        <x:v>55</x:v>
      </x:c>
      <x:c r="S133" s="85" t="n">
        <x:v>63</x:v>
      </x:c>
      <x:c r="T133" s="85" t="n">
        <x:v>66</x:v>
      </x:c>
      <x:c r="U133" s="85" t="n">
        <x:v>70</x:v>
      </x:c>
      <x:c r="V133" s="85" t="n">
        <x:v>73</x:v>
      </x:c>
      <x:c r="W133" s="85" t="n">
        <x:v>54</x:v>
      </x:c>
      <x:c r="X133" s="85" t="n">
        <x:v>70</x:v>
      </x:c>
      <x:c r="Y133" s="85" t="n">
        <x:v>62</x:v>
      </x:c>
      <x:c r="Z133" s="85" t="n">
        <x:v>68</x:v>
      </x:c>
      <x:c r="AA133" s="85" t="n">
        <x:v>74</x:v>
      </x:c>
      <x:c r="AB133" s="85" t="n">
        <x:v>65</x:v>
      </x:c>
      <x:c r="AC133" s="82" t="n">
        <x:v>0</x:v>
      </x:c>
      <x:c r="AD133" s="82" t="n">
        <x:v>0</x:v>
      </x:c>
      <x:c r="AE133" s="82" t="n">
        <x:v>0</x:v>
      </x:c>
      <x:c r="AF133" s="82" t="n">
        <x:v>0</x:v>
      </x:c>
      <x:c r="AG133" s="91" t="str">
        <x:v>要実績照合</x:v>
      </x:c>
      <x:c r="AH133" s="91" t="str">
        <x:v>現役300名補充時の脚質暫定値。パリ〜ルーベ／ロンド個人成績の追加照合が必要</x:v>
      </x:c>
      <x:c r="AI133" s="91" t="str">
        <x:v>https://www.paris-roubaix.fr/en/history</x:v>
      </x:c>
      <x:c r="AJ133" s="91" t="str">
        <x:v>能力・適性・Credit整合済</x:v>
      </x:c>
      <x:c r="AK13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3" s="91" t="str">
        <x:v>https://en.wikipedia.org/wiki/Julius_van_den_Berg</x:v>
      </x:c>
    </x:row>
    <x:row r="134" ht="24" customHeight="1">
      <x:c r="A134" s="82" t="n">
        <x:v>130</x:v>
      </x:c>
      <x:c r="B134" s="82" t="str">
        <x:v>Iván Romeo</x:v>
      </x:c>
      <x:c r="C134" s="143" t="str"/>
      <x:c r="D134" s="82" t="str">
        <x:v>スペイン</x:v>
      </x:c>
      <x:c r="E134" s="82" t="str">
        <x:v>現役</x:v>
      </x:c>
      <x:c r="F134" s="82" t="str">
        <x:v>パンチャー</x:v>
      </x:c>
      <x:c r="G134" s="82" t="str">
        <x:v>総合型</x:v>
      </x:c>
      <x:c r="H134" s="85" t="n">
        <x:v>74</x:v>
      </x:c>
      <x:c r="I134" s="85" t="n">
        <x:v>70</x:v>
      </x:c>
      <x:c r="J134" s="91" t="str">
        <x:v>ステージハンター / 山岳賞ハンター / 下り牽引 / 集団コントローラー / カウンターアタッカー / 無賃乗車 / ポジションキーパー</x:v>
      </x:c>
      <x:c r="K134" s="91" t="str"/>
      <x:c r="L134" s="91" t="str">
        <x:v>パンチャー / 総合型</x:v>
      </x:c>
      <x:c r="M134" s="88" t="n">
        <x:v>4650</x:v>
      </x:c>
      <x:c r="N134" s="85" t="n">
        <x:v>67</x:v>
      </x:c>
      <x:c r="O134" s="85" t="n">
        <x:v>74</x:v>
      </x:c>
      <x:c r="P134" s="85" t="n">
        <x:v>77</x:v>
      </x:c>
      <x:c r="Q134" s="85" t="n">
        <x:v>67</x:v>
      </x:c>
      <x:c r="R134" s="85" t="n">
        <x:v>71</x:v>
      </x:c>
      <x:c r="S134" s="85" t="n">
        <x:v>64</x:v>
      </x:c>
      <x:c r="T134" s="85" t="n">
        <x:v>67</x:v>
      </x:c>
      <x:c r="U134" s="85" t="n">
        <x:v>76</x:v>
      </x:c>
      <x:c r="V134" s="85" t="n">
        <x:v>74</x:v>
      </x:c>
      <x:c r="W134" s="85" t="n">
        <x:v>55</x:v>
      </x:c>
      <x:c r="X134" s="85" t="n">
        <x:v>70</x:v>
      </x:c>
      <x:c r="Y134" s="85" t="n">
        <x:v>70</x:v>
      </x:c>
      <x:c r="Z134" s="85" t="n">
        <x:v>62</x:v>
      </x:c>
      <x:c r="AA134" s="85" t="n">
        <x:v>75</x:v>
      </x:c>
      <x:c r="AB134" s="85" t="n">
        <x:v>74</x:v>
      </x:c>
      <x:c r="AC134" s="82" t="n">
        <x:v>0</x:v>
      </x:c>
      <x:c r="AD134" s="82" t="n">
        <x:v>0</x:v>
      </x:c>
      <x:c r="AE134" s="82" t="n">
        <x:v>0</x:v>
      </x:c>
      <x:c r="AF134" s="82" t="n">
        <x:v>0</x:v>
      </x:c>
      <x:c r="AG134" s="91" t="str">
        <x:v>要実績照合</x:v>
      </x:c>
      <x:c r="AH134" s="91" t="str">
        <x:v>現役300名補充時の脚質暫定値。パリ〜ルーベ／ロンド個人成績の追加照合が必要</x:v>
      </x:c>
      <x:c r="AI134" s="91" t="str">
        <x:v>https://www.paris-roubaix.fr/en/history</x:v>
      </x:c>
      <x:c r="AJ134" s="91" t="str">
        <x:v>能力・適性・Credit整合済</x:v>
      </x:c>
      <x:c r="AK13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4" s="91" t="str">
        <x:v>https://en.wikipedia.org/wiki/Iv%C3%A1n_Romeo</x:v>
      </x:c>
    </x:row>
    <x:row r="135" ht="24" customHeight="1">
      <x:c r="A135" s="82" t="n">
        <x:v>131</x:v>
      </x:c>
      <x:c r="B135" s="82" t="str">
        <x:v>Casper van Uden</x:v>
      </x:c>
      <x:c r="C135" s="143" t="str"/>
      <x:c r="D135" s="82" t="str">
        <x:v>オランダ</x:v>
      </x:c>
      <x:c r="E135" s="82" t="str">
        <x:v>現役</x:v>
      </x:c>
      <x:c r="F135" s="82" t="str">
        <x:v>スプリンター</x:v>
      </x:c>
      <x:c r="G135" s="82" t="str">
        <x:v>総合型</x:v>
      </x:c>
      <x:c r="H135" s="85" t="n">
        <x:v>74</x:v>
      </x:c>
      <x:c r="I135" s="85" t="n">
        <x:v>70</x:v>
      </x:c>
      <x:c r="J135" s="91" t="str">
        <x:v>リードアウト / 最終発射台 / スプリントトレイン / 集団コントローラー</x:v>
      </x:c>
      <x:c r="K135" s="91" t="str"/>
      <x:c r="L135" s="91" t="str">
        <x:v>スプリンター / 総合型</x:v>
      </x:c>
      <x:c r="M135" s="88" t="n">
        <x:v>4550</x:v>
      </x:c>
      <x:c r="N135" s="85" t="n">
        <x:v>80</x:v>
      </x:c>
      <x:c r="O135" s="85" t="n">
        <x:v>75</x:v>
      </x:c>
      <x:c r="P135" s="85" t="n">
        <x:v>63</x:v>
      </x:c>
      <x:c r="Q135" s="85" t="n">
        <x:v>72</x:v>
      </x:c>
      <x:c r="R135" s="85" t="n">
        <x:v>54</x:v>
      </x:c>
      <x:c r="S135" s="85" t="n">
        <x:v>65</x:v>
      </x:c>
      <x:c r="T135" s="85" t="n">
        <x:v>65</x:v>
      </x:c>
      <x:c r="U135" s="85" t="n">
        <x:v>69</x:v>
      </x:c>
      <x:c r="V135" s="85" t="n">
        <x:v>69</x:v>
      </x:c>
      <x:c r="W135" s="85" t="n">
        <x:v>58</x:v>
      </x:c>
      <x:c r="X135" s="85" t="n">
        <x:v>62</x:v>
      </x:c>
      <x:c r="Y135" s="85" t="n">
        <x:v>66</x:v>
      </x:c>
      <x:c r="Z135" s="85" t="n">
        <x:v>69</x:v>
      </x:c>
      <x:c r="AA135" s="85" t="n">
        <x:v>71</x:v>
      </x:c>
      <x:c r="AB135" s="85" t="n">
        <x:v>65</x:v>
      </x:c>
      <x:c r="AC135" s="82" t="n">
        <x:v>0</x:v>
      </x:c>
      <x:c r="AD135" s="82" t="n">
        <x:v>0</x:v>
      </x:c>
      <x:c r="AE135" s="82" t="n">
        <x:v>0</x:v>
      </x:c>
      <x:c r="AF135" s="82" t="n">
        <x:v>0</x:v>
      </x:c>
      <x:c r="AG135" s="91" t="str">
        <x:v>要実績照合</x:v>
      </x:c>
      <x:c r="AH135" s="91" t="str">
        <x:v>現役300名補充時の脚質暫定値。パリ〜ルーベ／ロンド個人成績の追加照合が必要</x:v>
      </x:c>
      <x:c r="AI135" s="91" t="str">
        <x:v>https://www.paris-roubaix.fr/en/history</x:v>
      </x:c>
      <x:c r="AJ135" s="91" t="str">
        <x:v>能力・適性・Credit整合済</x:v>
      </x:c>
      <x:c r="AK13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5" s="91" t="str">
        <x:v>https://en.wikipedia.org/wiki/Casper_van_Uden</x:v>
      </x:c>
    </x:row>
    <x:row r="136" ht="24" customHeight="1">
      <x:c r="A136" s="82" t="n">
        <x:v>132</x:v>
      </x:c>
      <x:c r="B136" s="82" t="str">
        <x:v>Andreas Kron</x:v>
      </x:c>
      <x:c r="C136" s="143" t="str"/>
      <x:c r="D136" s="82" t="str">
        <x:v>デンマーク</x:v>
      </x:c>
      <x:c r="E136" s="82" t="str">
        <x:v>現役</x:v>
      </x:c>
      <x:c r="F136" s="82" t="str">
        <x:v>パンチャー</x:v>
      </x:c>
      <x:c r="G136" s="82" t="str">
        <x:v>総合型</x:v>
      </x:c>
      <x:c r="H136" s="85" t="n">
        <x:v>74</x:v>
      </x:c>
      <x:c r="I136" s="85" t="n">
        <x:v>69</x:v>
      </x:c>
      <x:c r="J136" s="91" t="str">
        <x:v>ステージハンター / 山岳賞ハンター / 下り牽引 / 集団コントローラー</x:v>
      </x:c>
      <x:c r="K136" s="91" t="str"/>
      <x:c r="L136" s="91" t="str">
        <x:v>パンチャー / 総合型</x:v>
      </x:c>
      <x:c r="M136" s="88" t="n">
        <x:v>4500</x:v>
      </x:c>
      <x:c r="N136" s="85" t="n">
        <x:v>67</x:v>
      </x:c>
      <x:c r="O136" s="85" t="n">
        <x:v>73</x:v>
      </x:c>
      <x:c r="P136" s="85" t="n">
        <x:v>78</x:v>
      </x:c>
      <x:c r="Q136" s="85" t="n">
        <x:v>65</x:v>
      </x:c>
      <x:c r="R136" s="85" t="n">
        <x:v>72</x:v>
      </x:c>
      <x:c r="S136" s="85" t="n">
        <x:v>64</x:v>
      </x:c>
      <x:c r="T136" s="85" t="n">
        <x:v>64</x:v>
      </x:c>
      <x:c r="U136" s="85" t="n">
        <x:v>73</x:v>
      </x:c>
      <x:c r="V136" s="85" t="n">
        <x:v>75</x:v>
      </x:c>
      <x:c r="W136" s="85" t="n">
        <x:v>57</x:v>
      </x:c>
      <x:c r="X136" s="85" t="n">
        <x:v>66</x:v>
      </x:c>
      <x:c r="Y136" s="85" t="n">
        <x:v>70</x:v>
      </x:c>
      <x:c r="Z136" s="85" t="n">
        <x:v>68</x:v>
      </x:c>
      <x:c r="AA136" s="85" t="n">
        <x:v>74</x:v>
      </x:c>
      <x:c r="AB136" s="85" t="n">
        <x:v>74</x:v>
      </x:c>
      <x:c r="AC136" s="82" t="n">
        <x:v>0</x:v>
      </x:c>
      <x:c r="AD136" s="82" t="n">
        <x:v>0</x:v>
      </x:c>
      <x:c r="AE136" s="82" t="n">
        <x:v>0</x:v>
      </x:c>
      <x:c r="AF136" s="82" t="n">
        <x:v>0</x:v>
      </x:c>
      <x:c r="AG136" s="91" t="str">
        <x:v>要実績照合</x:v>
      </x:c>
      <x:c r="AH136" s="91" t="str">
        <x:v>現役300名補充時の脚質暫定値。パリ〜ルーベ／ロンド個人成績の追加照合が必要</x:v>
      </x:c>
      <x:c r="AI136" s="91" t="str">
        <x:v>https://www.paris-roubaix.fr/en/history</x:v>
      </x:c>
      <x:c r="AJ136" s="91" t="str">
        <x:v>能力・適性・Credit整合済</x:v>
      </x:c>
      <x:c r="AK136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6" s="91" t="str">
        <x:v>https://en.wikipedia.org/wiki/Andreas_Kron</x:v>
      </x:c>
    </x:row>
    <x:row r="137" ht="24" customHeight="1">
      <x:c r="A137" s="82" t="n">
        <x:v>133</x:v>
      </x:c>
      <x:c r="B137" s="82" t="str">
        <x:v>Cees Bol</x:v>
      </x:c>
      <x:c r="C137" s="143" t="str"/>
      <x:c r="D137" s="82" t="str">
        <x:v>オランダ</x:v>
      </x:c>
      <x:c r="E137" s="82" t="str">
        <x:v>現役</x:v>
      </x:c>
      <x:c r="F137" s="82" t="str">
        <x:v>スプリンター</x:v>
      </x:c>
      <x:c r="G137" s="82" t="str">
        <x:v>TT・ルーラー型</x:v>
      </x:c>
      <x:c r="H137" s="85" t="n">
        <x:v>74</x:v>
      </x:c>
      <x:c r="I137" s="85" t="n">
        <x:v>68</x:v>
      </x:c>
      <x:c r="J137" s="91" t="str">
        <x:v>ロードキャプテン / リードアウト / 最終発射台 / 下り牽引</x:v>
      </x:c>
      <x:c r="K137" s="91" t="str"/>
      <x:c r="L137" s="91" t="str">
        <x:v>スプリンター / TT・ルーラー型</x:v>
      </x:c>
      <x:c r="M137" s="88" t="n">
        <x:v>4400</x:v>
      </x:c>
      <x:c r="N137" s="85" t="n">
        <x:v>78</x:v>
      </x:c>
      <x:c r="O137" s="85" t="n">
        <x:v>77</x:v>
      </x:c>
      <x:c r="P137" s="85" t="n">
        <x:v>64</x:v>
      </x:c>
      <x:c r="Q137" s="85" t="n">
        <x:v>70</x:v>
      </x:c>
      <x:c r="R137" s="85" t="n">
        <x:v>55</x:v>
      </x:c>
      <x:c r="S137" s="85" t="n">
        <x:v>62</x:v>
      </x:c>
      <x:c r="T137" s="85" t="n">
        <x:v>63</x:v>
      </x:c>
      <x:c r="U137" s="85" t="n">
        <x:v>68</x:v>
      </x:c>
      <x:c r="V137" s="85" t="n">
        <x:v>73</x:v>
      </x:c>
      <x:c r="W137" s="85" t="n">
        <x:v>59</x:v>
      </x:c>
      <x:c r="X137" s="85" t="n">
        <x:v>70</x:v>
      </x:c>
      <x:c r="Y137" s="85" t="n">
        <x:v>67</x:v>
      </x:c>
      <x:c r="Z137" s="85" t="n">
        <x:v>65</x:v>
      </x:c>
      <x:c r="AA137" s="85" t="n">
        <x:v>74</x:v>
      </x:c>
      <x:c r="AB137" s="85" t="n">
        <x:v>68</x:v>
      </x:c>
      <x:c r="AC137" s="82" t="n">
        <x:v>0</x:v>
      </x:c>
      <x:c r="AD137" s="82" t="n">
        <x:v>0</x:v>
      </x:c>
      <x:c r="AE137" s="82" t="n">
        <x:v>0</x:v>
      </x:c>
      <x:c r="AF137" s="82" t="n">
        <x:v>0</x:v>
      </x:c>
      <x:c r="AG137" s="91" t="str">
        <x:v>要実績照合</x:v>
      </x:c>
      <x:c r="AH137" s="91" t="str">
        <x:v>現役300名補充時の脚質暫定値。パリ〜ルーベ／ロンド個人成績の追加照合が必要</x:v>
      </x:c>
      <x:c r="AI137" s="91" t="str">
        <x:v>https://www.paris-roubaix.fr/en/history</x:v>
      </x:c>
      <x:c r="AJ137" s="91" t="str">
        <x:v>能力・適性・Credit整合済</x:v>
      </x:c>
      <x:c r="AK137" s="91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7" s="91" t="str">
        <x:v>https://en.wikipedia.org/wiki/Cees_Bol</x:v>
      </x:c>
    </x:row>
    <x:row r="138" ht="24" customHeight="1">
      <x:c r="A138" s="82" t="n">
        <x:v>134</x:v>
      </x:c>
      <x:c r="B138" s="82" t="str">
        <x:v>Darren Rafferty</x:v>
      </x:c>
      <x:c r="C138" s="143" t="str"/>
      <x:c r="D138" s="82" t="str">
        <x:v>アイルランド</x:v>
      </x:c>
      <x:c r="E138" s="82" t="str">
        <x:v>現役</x:v>
      </x:c>
      <x:c r="F138" s="82" t="str">
        <x:v>スプリンター</x:v>
      </x:c>
      <x:c r="G138" s="82" t="str">
        <x:v>総合型</x:v>
      </x:c>
      <x:c r="H138" s="85" t="n">
        <x:v>74</x:v>
      </x:c>
      <x:c r="I138" s="85" t="n">
        <x:v>67</x:v>
      </x:c>
      <x:c r="J138" s="91" t="str">
        <x:v>リードアウト / 最終発射台 / スプリントトレイン / 集団コントローラー</x:v>
      </x:c>
      <x:c r="K138" s="91" t="str"/>
      <x:c r="L138" s="91" t="str">
        <x:v>スプリンター / 総合型</x:v>
      </x:c>
      <x:c r="M138" s="88" t="n">
        <x:v>4150</x:v>
      </x:c>
      <x:c r="N138" s="85" t="n">
        <x:v>79</x:v>
      </x:c>
      <x:c r="O138" s="85" t="n">
        <x:v>76</x:v>
      </x:c>
      <x:c r="P138" s="85" t="n">
        <x:v>67</x:v>
      </x:c>
      <x:c r="Q138" s="85" t="n">
        <x:v>69</x:v>
      </x:c>
      <x:c r="R138" s="85" t="n">
        <x:v>60</x:v>
      </x:c>
      <x:c r="S138" s="85" t="n">
        <x:v>61</x:v>
      </x:c>
      <x:c r="T138" s="85" t="n">
        <x:v>64</x:v>
      </x:c>
      <x:c r="U138" s="85" t="n">
        <x:v>66</x:v>
      </x:c>
      <x:c r="V138" s="85" t="n">
        <x:v>67</x:v>
      </x:c>
      <x:c r="W138" s="85" t="n">
        <x:v>54</x:v>
      </x:c>
      <x:c r="X138" s="85" t="n">
        <x:v>66</x:v>
      </x:c>
      <x:c r="Y138" s="85" t="n">
        <x:v>67</x:v>
      </x:c>
      <x:c r="Z138" s="85" t="n">
        <x:v>64</x:v>
      </x:c>
      <x:c r="AA138" s="85" t="n">
        <x:v>71</x:v>
      </x:c>
      <x:c r="AB138" s="85" t="n">
        <x:v>65</x:v>
      </x:c>
      <x:c r="AC138" s="82" t="n">
        <x:v>0</x:v>
      </x:c>
      <x:c r="AD138" s="82" t="n">
        <x:v>0</x:v>
      </x:c>
      <x:c r="AE138" s="82" t="n">
        <x:v>0</x:v>
      </x:c>
      <x:c r="AF138" s="82" t="n">
        <x:v>0</x:v>
      </x:c>
      <x:c r="AG138" s="91" t="str">
        <x:v>要実績照合</x:v>
      </x:c>
      <x:c r="AH138" s="91" t="str">
        <x:v>現役300名補充時の脚質暫定値。パリ〜ルーベ／ロンド個人成績の追加照合が必要</x:v>
      </x:c>
      <x:c r="AI138" s="91" t="str">
        <x:v>https://www.paris-roubaix.fr/en/history</x:v>
      </x:c>
      <x:c r="AJ138" s="91" t="str">
        <x:v>能力・適性・Credit整合済</x:v>
      </x:c>
      <x:c r="AK13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8" s="91" t="str">
        <x:v>https://en.wikipedia.org/wiki/Darren_Rafferty</x:v>
      </x:c>
    </x:row>
    <x:row r="139" ht="24" customHeight="1">
      <x:c r="A139" s="82" t="n">
        <x:v>135</x:v>
      </x:c>
      <x:c r="B139" s="82" t="str">
        <x:v>Amanuel Ghebreigzabhier</x:v>
      </x:c>
      <x:c r="C139" s="143" t="str"/>
      <x:c r="D139" s="82" t="str">
        <x:v>エリトリア</x:v>
      </x:c>
      <x:c r="E139" s="82" t="str">
        <x:v>現役</x:v>
      </x:c>
      <x:c r="F139" s="82" t="str">
        <x:v>クラシック型</x:v>
      </x:c>
      <x:c r="G139" s="82" t="str">
        <x:v>パンチャー</x:v>
      </x:c>
      <x:c r="H139" s="85" t="n">
        <x:v>73</x:v>
      </x:c>
      <x:c r="I139" s="85" t="n">
        <x:v>77</x:v>
      </x:c>
      <x:c r="J139" s="91" t="str">
        <x:v>平坦アシスト / TT牽引 / 石畳護衛 / 横風要員 / 逃げ屋 / 超ロングスパート</x:v>
      </x:c>
      <x:c r="K139" s="91" t="str"/>
      <x:c r="L139" s="91" t="str">
        <x:v>クラシック型 / パンチャー</x:v>
      </x:c>
      <x:c r="M139" s="88" t="n">
        <x:v>6400</x:v>
      </x:c>
      <x:c r="N139" s="85" t="n">
        <x:v>76</x:v>
      </x:c>
      <x:c r="O139" s="85" t="n">
        <x:v>72</x:v>
      </x:c>
      <x:c r="P139" s="85" t="n">
        <x:v>76</x:v>
      </x:c>
      <x:c r="Q139" s="85" t="n">
        <x:v>79</x:v>
      </x:c>
      <x:c r="R139" s="85" t="n">
        <x:v>63</x:v>
      </x:c>
      <x:c r="S139" s="85" t="n">
        <x:v>78</x:v>
      </x:c>
      <x:c r="T139" s="85" t="n">
        <x:v>81</x:v>
      </x:c>
      <x:c r="U139" s="85" t="n">
        <x:v>83</x:v>
      </x:c>
      <x:c r="V139" s="85" t="n">
        <x:v>78</x:v>
      </x:c>
      <x:c r="W139" s="85" t="n">
        <x:v>76</x:v>
      </x:c>
      <x:c r="X139" s="85" t="n">
        <x:v>67</x:v>
      </x:c>
      <x:c r="Y139" s="85" t="n">
        <x:v>69</x:v>
      </x:c>
      <x:c r="Z139" s="85" t="n">
        <x:v>78</x:v>
      </x:c>
      <x:c r="AA139" s="85" t="n">
        <x:v>71</x:v>
      </x:c>
      <x:c r="AB139" s="85" t="n">
        <x:v>76</x:v>
      </x:c>
      <x:c r="AC139" s="82" t="n">
        <x:v>0</x:v>
      </x:c>
      <x:c r="AD139" s="82" t="n">
        <x:v>0</x:v>
      </x:c>
      <x:c r="AE139" s="82" t="n">
        <x:v>0</x:v>
      </x:c>
      <x:c r="AF139" s="82" t="n">
        <x:v>0</x:v>
      </x:c>
      <x:c r="AG139" s="91" t="str">
        <x:v>要実績照合</x:v>
      </x:c>
      <x:c r="AH139" s="91" t="str">
        <x:v>現役300名補充時の脚質暫定値。パリ〜ルーベ／ロンド個人成績の追加照合が必要</x:v>
      </x:c>
      <x:c r="AI139" s="91" t="str">
        <x:v>https://www.paris-roubaix.fr/en/history</x:v>
      </x:c>
      <x:c r="AJ139" s="91" t="str">
        <x:v>能力・適性・Credit整合済</x:v>
      </x:c>
      <x:c r="AK13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39" s="91" t="str">
        <x:v>https://en.wikipedia.org/wiki/Amanuel_Ghebreigzabhier</x:v>
      </x:c>
    </x:row>
    <x:row r="140" ht="24" customHeight="1">
      <x:c r="A140" s="82" t="n">
        <x:v>136</x:v>
      </x:c>
      <x:c r="B140" s="82" t="str">
        <x:v>Jay Vine</x:v>
      </x:c>
      <x:c r="C140" s="143" t="str"/>
      <x:c r="D140" s="82" t="str">
        <x:v>オーストラリア</x:v>
      </x:c>
      <x:c r="E140" s="82" t="str">
        <x:v>現役</x:v>
      </x:c>
      <x:c r="F140" s="82" t="str">
        <x:v>クライマー</x:v>
      </x:c>
      <x:c r="G140" s="82" t="str">
        <x:v>総合型</x:v>
      </x:c>
      <x:c r="H140" s="85" t="n">
        <x:v>73</x:v>
      </x:c>
      <x:c r="I140" s="85" t="n">
        <x:v>75</x:v>
      </x:c>
      <x:c r="J140" s="91" t="str">
        <x:v>山岳賞ハンター / 山岳アシスト / 集団コントローラー</x:v>
      </x:c>
      <x:c r="K140" s="91" t="str"/>
      <x:c r="L140" s="91" t="str">
        <x:v>クライマー / 総合型</x:v>
      </x:c>
      <x:c r="M140" s="88" t="n">
        <x:v>6300</x:v>
      </x:c>
      <x:c r="N140" s="85" t="n">
        <x:v>64</x:v>
      </x:c>
      <x:c r="O140" s="85" t="n">
        <x:v>66</x:v>
      </x:c>
      <x:c r="P140" s="85" t="n">
        <x:v>70</x:v>
      </x:c>
      <x:c r="Q140" s="85" t="n">
        <x:v>66</x:v>
      </x:c>
      <x:c r="R140" s="85" t="n">
        <x:v>84</x:v>
      </x:c>
      <x:c r="S140" s="85" t="n">
        <x:v>81</x:v>
      </x:c>
      <x:c r="T140" s="85" t="n">
        <x:v>73</x:v>
      </x:c>
      <x:c r="U140" s="85" t="n">
        <x:v>65</x:v>
      </x:c>
      <x:c r="V140" s="85" t="n">
        <x:v>69</x:v>
      </x:c>
      <x:c r="W140" s="85" t="n">
        <x:v>57</x:v>
      </x:c>
      <x:c r="X140" s="85" t="n">
        <x:v>79</x:v>
      </x:c>
      <x:c r="Y140" s="85" t="n">
        <x:v>79</x:v>
      </x:c>
      <x:c r="Z140" s="85" t="n">
        <x:v>74</x:v>
      </x:c>
      <x:c r="AA140" s="85" t="n">
        <x:v>69</x:v>
      </x:c>
      <x:c r="AB140" s="85" t="n">
        <x:v>74</x:v>
      </x:c>
      <x:c r="AC140" s="82" t="n">
        <x:v>0</x:v>
      </x:c>
      <x:c r="AD140" s="82" t="n">
        <x:v>0</x:v>
      </x:c>
      <x:c r="AE140" s="82" t="n">
        <x:v>0</x:v>
      </x:c>
      <x:c r="AF140" s="82" t="n">
        <x:v>0</x:v>
      </x:c>
      <x:c r="AG140" s="91" t="str">
        <x:v>要実績照合</x:v>
      </x:c>
      <x:c r="AH140" s="91" t="str">
        <x:v>現役300名補充時の脚質暫定値。パリ〜ルーベ／ロンド個人成績の追加照合が必要</x:v>
      </x:c>
      <x:c r="AI140" s="91" t="str">
        <x:v>https://www.paris-roubaix.fr/en/history</x:v>
      </x:c>
      <x:c r="AJ140" s="91" t="str">
        <x:v>能力・適性・Credit整合済</x:v>
      </x:c>
      <x:c r="AK140" s="91" t="str">
        <x:v>公開プロフィール脚質「Climber, 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0" s="91" t="str">
        <x:v>https://en.wikipedia.org/wiki/Jay_Vine</x:v>
      </x:c>
    </x:row>
    <x:row r="141" ht="24" customHeight="1">
      <x:c r="A141" s="82" t="n">
        <x:v>137</x:v>
      </x:c>
      <x:c r="B141" s="82" t="str">
        <x:v>António Morgado</x:v>
      </x:c>
      <x:c r="C141" s="143" t="str"/>
      <x:c r="D141" s="82" t="str">
        <x:v>ポルトガル</x:v>
      </x:c>
      <x:c r="E141" s="82" t="str">
        <x:v>現役</x:v>
      </x:c>
      <x:c r="F141" s="82" t="str">
        <x:v>クラシック型</x:v>
      </x:c>
      <x:c r="G141" s="82" t="str">
        <x:v>パンチャー</x:v>
      </x:c>
      <x:c r="H141" s="85" t="n">
        <x:v>73</x:v>
      </x:c>
      <x:c r="I141" s="85" t="n">
        <x:v>75</x:v>
      </x:c>
      <x:c r="J141" s="91" t="str">
        <x:v>ステージハンター / 石畳護衛 / 下り牽引 / 逃げ屋</x:v>
      </x:c>
      <x:c r="K141" s="91" t="str"/>
      <x:c r="L141" s="91" t="str">
        <x:v>クラシック型 / パンチャー</x:v>
      </x:c>
      <x:c r="M141" s="88" t="n">
        <x:v>6000</x:v>
      </x:c>
      <x:c r="N141" s="85" t="n">
        <x:v>75</x:v>
      </x:c>
      <x:c r="O141" s="85" t="n">
        <x:v>72</x:v>
      </x:c>
      <x:c r="P141" s="85" t="n">
        <x:v>73</x:v>
      </x:c>
      <x:c r="Q141" s="85" t="n">
        <x:v>73</x:v>
      </x:c>
      <x:c r="R141" s="85" t="n">
        <x:v>65</x:v>
      </x:c>
      <x:c r="S141" s="85" t="n">
        <x:v>72</x:v>
      </x:c>
      <x:c r="T141" s="85" t="n">
        <x:v>79</x:v>
      </x:c>
      <x:c r="U141" s="85" t="n">
        <x:v>75</x:v>
      </x:c>
      <x:c r="V141" s="85" t="n">
        <x:v>82</x:v>
      </x:c>
      <x:c r="W141" s="85" t="n">
        <x:v>77</x:v>
      </x:c>
      <x:c r="X141" s="85" t="n">
        <x:v>72</x:v>
      </x:c>
      <x:c r="Y141" s="85" t="n">
        <x:v>73</x:v>
      </x:c>
      <x:c r="Z141" s="85" t="n">
        <x:v>75</x:v>
      </x:c>
      <x:c r="AA141" s="85" t="n">
        <x:v>72</x:v>
      </x:c>
      <x:c r="AB141" s="85" t="n">
        <x:v>79</x:v>
      </x:c>
      <x:c r="AC141" s="82" t="n">
        <x:v>0</x:v>
      </x:c>
      <x:c r="AD141" s="82" t="n">
        <x:v>0</x:v>
      </x:c>
      <x:c r="AE141" s="82" t="n">
        <x:v>0</x:v>
      </x:c>
      <x:c r="AF141" s="82" t="n">
        <x:v>0</x:v>
      </x:c>
      <x:c r="AG141" s="91" t="str">
        <x:v>要実績照合</x:v>
      </x:c>
      <x:c r="AH141" s="91" t="str">
        <x:v>現役300名補充時の脚質暫定値。パリ〜ルーベ／ロンド個人成績の追加照合が必要</x:v>
      </x:c>
      <x:c r="AI141" s="91" t="str">
        <x:v>https://www.paris-roubaix.fr/en/history</x:v>
      </x:c>
      <x:c r="AJ141" s="91" t="str">
        <x:v>能力・適性・Credit整合済</x:v>
      </x:c>
      <x:c r="AK14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1" s="91" t="str">
        <x:v>https://en.wikipedia.org/wiki/Ant%C3%B3nio_Morgado</x:v>
      </x:c>
    </x:row>
    <x:row r="142" ht="24" customHeight="1">
      <x:c r="A142" s="82" t="n">
        <x:v>138</x:v>
      </x:c>
      <x:c r="B142" s="82" t="str">
        <x:v>Joshua Giddings (cyclist)</x:v>
      </x:c>
      <x:c r="C142" s="143" t="str"/>
      <x:c r="D142" s="82" t="str">
        <x:v>イギリス</x:v>
      </x:c>
      <x:c r="E142" s="82" t="str">
        <x:v>現役</x:v>
      </x:c>
      <x:c r="F142" s="82" t="str">
        <x:v>クラシック型</x:v>
      </x:c>
      <x:c r="G142" s="82" t="str">
        <x:v>TT・ルーラー型</x:v>
      </x:c>
      <x:c r="H142" s="85" t="n">
        <x:v>73</x:v>
      </x:c>
      <x:c r="I142" s="85" t="n">
        <x:v>77</x:v>
      </x:c>
      <x:c r="J142" s="91" t="str">
        <x:v>平坦アシスト / TT牽引 / 石畳護衛 / 横風要員 / 逃げ屋 / 横風分断</x:v>
      </x:c>
      <x:c r="K142" s="91" t="str"/>
      <x:c r="L142" s="91" t="str">
        <x:v>クラシック型 / TT・ルーラー型</x:v>
      </x:c>
      <x:c r="M142" s="88" t="n">
        <x:v>5850</x:v>
      </x:c>
      <x:c r="N142" s="85" t="n">
        <x:v>75</x:v>
      </x:c>
      <x:c r="O142" s="85" t="n">
        <x:v>70</x:v>
      </x:c>
      <x:c r="P142" s="85" t="n">
        <x:v>72</x:v>
      </x:c>
      <x:c r="Q142" s="85" t="n">
        <x:v>73</x:v>
      </x:c>
      <x:c r="R142" s="85" t="n">
        <x:v>68</x:v>
      </x:c>
      <x:c r="S142" s="85" t="n">
        <x:v>75</x:v>
      </x:c>
      <x:c r="T142" s="85" t="n">
        <x:v>76</x:v>
      </x:c>
      <x:c r="U142" s="85" t="n">
        <x:v>73</x:v>
      </x:c>
      <x:c r="V142" s="85" t="n">
        <x:v>81</x:v>
      </x:c>
      <x:c r="W142" s="85" t="n">
        <x:v>76</x:v>
      </x:c>
      <x:c r="X142" s="85" t="n">
        <x:v>68</x:v>
      </x:c>
      <x:c r="Y142" s="85" t="n">
        <x:v>70</x:v>
      </x:c>
      <x:c r="Z142" s="85" t="n">
        <x:v>77</x:v>
      </x:c>
      <x:c r="AA142" s="85" t="n">
        <x:v>67</x:v>
      </x:c>
      <x:c r="AB142" s="85" t="n">
        <x:v>78</x:v>
      </x:c>
      <x:c r="AC142" s="82" t="n">
        <x:v>0</x:v>
      </x:c>
      <x:c r="AD142" s="82" t="n">
        <x:v>0</x:v>
      </x:c>
      <x:c r="AE142" s="82" t="n">
        <x:v>0</x:v>
      </x:c>
      <x:c r="AF142" s="82" t="n">
        <x:v>0</x:v>
      </x:c>
      <x:c r="AG142" s="91" t="str">
        <x:v>要実績照合</x:v>
      </x:c>
      <x:c r="AH142" s="91" t="str">
        <x:v>現役300名補充時の脚質暫定値。パリ〜ルーベ／ロンド個人成績の追加照合が必要</x:v>
      </x:c>
      <x:c r="AI142" s="91" t="str">
        <x:v>https://www.paris-roubaix.fr/en/history</x:v>
      </x:c>
      <x:c r="AJ142" s="91" t="str">
        <x:v>能力・適性・Credit整合済</x:v>
      </x:c>
      <x:c r="AK14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2" s="91" t="str">
        <x:v>https://en.wikipedia.org/wiki/Joshua_Giddings_(cyclist)</x:v>
      </x:c>
    </x:row>
    <x:row r="143" ht="24" customHeight="1">
      <x:c r="A143" s="82" t="n">
        <x:v>139</x:v>
      </x:c>
      <x:c r="B143" s="82" t="str">
        <x:v>Edward Planckaert</x:v>
      </x:c>
      <x:c r="C143" s="143" t="str"/>
      <x:c r="D143" s="82" t="str">
        <x:v>ベルギー</x:v>
      </x:c>
      <x:c r="E143" s="82" t="str">
        <x:v>現役</x:v>
      </x:c>
      <x:c r="F143" s="82" t="str">
        <x:v>クラシック型</x:v>
      </x:c>
      <x:c r="G143" s="82" t="str">
        <x:v>TT・ルーラー型</x:v>
      </x:c>
      <x:c r="H143" s="85" t="n">
        <x:v>73</x:v>
      </x:c>
      <x:c r="I143" s="85" t="n">
        <x:v>76</x:v>
      </x:c>
      <x:c r="J143" s="91" t="str">
        <x:v>TT牽引 / 石畳護衛 / 横風分断</x:v>
      </x:c>
      <x:c r="K143" s="91" t="str"/>
      <x:c r="L143" s="91" t="str">
        <x:v>クラシック型 / TT・ルーラー型</x:v>
      </x:c>
      <x:c r="M143" s="88" t="n">
        <x:v>5800</x:v>
      </x:c>
      <x:c r="N143" s="85" t="n">
        <x:v>75</x:v>
      </x:c>
      <x:c r="O143" s="85" t="n">
        <x:v>70</x:v>
      </x:c>
      <x:c r="P143" s="85" t="n">
        <x:v>71</x:v>
      </x:c>
      <x:c r="Q143" s="85" t="n">
        <x:v>72</x:v>
      </x:c>
      <x:c r="R143" s="85" t="n">
        <x:v>65</x:v>
      </x:c>
      <x:c r="S143" s="85" t="n">
        <x:v>76</x:v>
      </x:c>
      <x:c r="T143" s="85" t="n">
        <x:v>80</x:v>
      </x:c>
      <x:c r="U143" s="85" t="n">
        <x:v>80</x:v>
      </x:c>
      <x:c r="V143" s="85" t="n">
        <x:v>76</x:v>
      </x:c>
      <x:c r="W143" s="85" t="n">
        <x:v>75</x:v>
      </x:c>
      <x:c r="X143" s="85" t="n">
        <x:v>71</x:v>
      </x:c>
      <x:c r="Y143" s="85" t="n">
        <x:v>67</x:v>
      </x:c>
      <x:c r="Z143" s="85" t="n">
        <x:v>73</x:v>
      </x:c>
      <x:c r="AA143" s="85" t="n">
        <x:v>67</x:v>
      </x:c>
      <x:c r="AB143" s="85" t="n">
        <x:v>74</x:v>
      </x:c>
      <x:c r="AC143" s="82" t="n">
        <x:v>0</x:v>
      </x:c>
      <x:c r="AD143" s="82" t="n">
        <x:v>0</x:v>
      </x:c>
      <x:c r="AE143" s="82" t="n">
        <x:v>0</x:v>
      </x:c>
      <x:c r="AF143" s="82" t="n">
        <x:v>0</x:v>
      </x:c>
      <x:c r="AG143" s="91" t="str">
        <x:v>要実績照合</x:v>
      </x:c>
      <x:c r="AH143" s="91" t="str">
        <x:v>現役300名補充時の脚質暫定値。パリ〜ルーベ／ロンド個人成績の追加照合が必要</x:v>
      </x:c>
      <x:c r="AI143" s="91" t="str">
        <x:v>https://www.paris-roubaix.fr/en/history</x:v>
      </x:c>
      <x:c r="AJ143" s="91" t="str">
        <x:v>能力・適性・Credit整合済</x:v>
      </x:c>
      <x:c r="AK14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3" s="91" t="str">
        <x:v>https://en.wikipedia.org/wiki/Edward_Planckaert</x:v>
      </x:c>
    </x:row>
    <x:row r="144" ht="24" customHeight="1">
      <x:c r="A144" s="82" t="n">
        <x:v>140</x:v>
      </x:c>
      <x:c r="B144" s="82" t="str">
        <x:v>Colby Simmons</x:v>
      </x:c>
      <x:c r="C144" s="143" t="str"/>
      <x:c r="D144" s="82" t="str">
        <x:v>アメリカ</x:v>
      </x:c>
      <x:c r="E144" s="82" t="str">
        <x:v>現役</x:v>
      </x:c>
      <x:c r="F144" s="82" t="str">
        <x:v>クライマー</x:v>
      </x:c>
      <x:c r="G144" s="82" t="str">
        <x:v>スプリンター</x:v>
      </x:c>
      <x:c r="H144" s="85" t="n">
        <x:v>73</x:v>
      </x:c>
      <x:c r="I144" s="85" t="n">
        <x:v>75</x:v>
      </x:c>
      <x:c r="J144" s="91" t="str">
        <x:v>ロードキャプテン / スプリントトレイン / 山岳アシスト / 山岳番手</x:v>
      </x:c>
      <x:c r="K144" s="91" t="str"/>
      <x:c r="L144" s="91" t="str">
        <x:v>クライマー / スプリンター</x:v>
      </x:c>
      <x:c r="M144" s="88" t="n">
        <x:v>5650</x:v>
      </x:c>
      <x:c r="N144" s="85" t="n">
        <x:v>63</x:v>
      </x:c>
      <x:c r="O144" s="85" t="n">
        <x:v>68</x:v>
      </x:c>
      <x:c r="P144" s="85" t="n">
        <x:v>69</x:v>
      </x:c>
      <x:c r="Q144" s="85" t="n">
        <x:v>63</x:v>
      </x:c>
      <x:c r="R144" s="85" t="n">
        <x:v>78</x:v>
      </x:c>
      <x:c r="S144" s="85" t="n">
        <x:v>76</x:v>
      </x:c>
      <x:c r="T144" s="85" t="n">
        <x:v>76</x:v>
      </x:c>
      <x:c r="U144" s="85" t="n">
        <x:v>69</x:v>
      </x:c>
      <x:c r="V144" s="85" t="n">
        <x:v>72</x:v>
      </x:c>
      <x:c r="W144" s="85" t="n">
        <x:v>58</x:v>
      </x:c>
      <x:c r="X144" s="85" t="n">
        <x:v>76</x:v>
      </x:c>
      <x:c r="Y144" s="85" t="n">
        <x:v>76</x:v>
      </x:c>
      <x:c r="Z144" s="85" t="n">
        <x:v>75</x:v>
      </x:c>
      <x:c r="AA144" s="85" t="n">
        <x:v>71</x:v>
      </x:c>
      <x:c r="AB144" s="85" t="n">
        <x:v>72</x:v>
      </x:c>
      <x:c r="AC144" s="82" t="n">
        <x:v>0</x:v>
      </x:c>
      <x:c r="AD144" s="82" t="n">
        <x:v>0</x:v>
      </x:c>
      <x:c r="AE144" s="82" t="n">
        <x:v>0</x:v>
      </x:c>
      <x:c r="AF144" s="82" t="n">
        <x:v>0</x:v>
      </x:c>
      <x:c r="AG144" s="91" t="str">
        <x:v>要実績照合</x:v>
      </x:c>
      <x:c r="AH144" s="91" t="str">
        <x:v>現役300名補充時の脚質暫定値。パリ〜ルーベ／ロンド個人成績の追加照合が必要</x:v>
      </x:c>
      <x:c r="AI144" s="91" t="str">
        <x:v>https://www.paris-roubaix.fr/en/history</x:v>
      </x:c>
      <x:c r="AJ144" s="91" t="str">
        <x:v>能力・適性・Credit整合済</x:v>
      </x:c>
      <x:c r="AK14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4" s="91" t="str">
        <x:v>https://en.wikipedia.org/wiki/Colby_Simmons</x:v>
      </x:c>
    </x:row>
    <x:row r="145" ht="24" customHeight="1">
      <x:c r="A145" s="82" t="n">
        <x:v>141</x:v>
      </x:c>
      <x:c r="B145" s="82" t="str">
        <x:v>Anton Schiffer</x:v>
      </x:c>
      <x:c r="C145" s="143" t="str"/>
      <x:c r="D145" s="82" t="str">
        <x:v>ドイツ</x:v>
      </x:c>
      <x:c r="E145" s="82" t="str">
        <x:v>現役</x:v>
      </x:c>
      <x:c r="F145" s="82" t="str">
        <x:v>クライマー</x:v>
      </x:c>
      <x:c r="G145" s="82" t="str">
        <x:v>パンチャー</x:v>
      </x:c>
      <x:c r="H145" s="85" t="n">
        <x:v>73</x:v>
      </x:c>
      <x:c r="I145" s="85" t="n">
        <x:v>73</x:v>
      </x:c>
      <x:c r="J145" s="91" t="str">
        <x:v>山岳賞ハンター / 山岳アシスト / 山岳ペースメーカー</x:v>
      </x:c>
      <x:c r="K145" s="91" t="str"/>
      <x:c r="L145" s="91" t="str">
        <x:v>クライマー / パンチャー</x:v>
      </x:c>
      <x:c r="M145" s="88" t="n">
        <x:v>5600</x:v>
      </x:c>
      <x:c r="N145" s="85" t="n">
        <x:v>59</x:v>
      </x:c>
      <x:c r="O145" s="85" t="n">
        <x:v>68</x:v>
      </x:c>
      <x:c r="P145" s="85" t="n">
        <x:v>70</x:v>
      </x:c>
      <x:c r="Q145" s="85" t="n">
        <x:v>61</x:v>
      </x:c>
      <x:c r="R145" s="85" t="n">
        <x:v>81</x:v>
      </x:c>
      <x:c r="S145" s="85" t="n">
        <x:v>72</x:v>
      </x:c>
      <x:c r="T145" s="85" t="n">
        <x:v>74</x:v>
      </x:c>
      <x:c r="U145" s="85" t="n">
        <x:v>67</x:v>
      </x:c>
      <x:c r="V145" s="85" t="n">
        <x:v>64</x:v>
      </x:c>
      <x:c r="W145" s="85" t="n">
        <x:v>56</x:v>
      </x:c>
      <x:c r="X145" s="85" t="n">
        <x:v>78</x:v>
      </x:c>
      <x:c r="Y145" s="85" t="n">
        <x:v>77</x:v>
      </x:c>
      <x:c r="Z145" s="85" t="n">
        <x:v>73</x:v>
      </x:c>
      <x:c r="AA145" s="85" t="n">
        <x:v>70</x:v>
      </x:c>
      <x:c r="AB145" s="85" t="n">
        <x:v>69</x:v>
      </x:c>
      <x:c r="AC145" s="82" t="n">
        <x:v>0</x:v>
      </x:c>
      <x:c r="AD145" s="82" t="n">
        <x:v>0</x:v>
      </x:c>
      <x:c r="AE145" s="82" t="n">
        <x:v>0</x:v>
      </x:c>
      <x:c r="AF145" s="82" t="n">
        <x:v>0</x:v>
      </x:c>
      <x:c r="AG145" s="91" t="str">
        <x:v>要実績照合</x:v>
      </x:c>
      <x:c r="AH145" s="91" t="str">
        <x:v>現役300名補充時の脚質暫定値。パリ〜ルーベ／ロンド個人成績の追加照合が必要</x:v>
      </x:c>
      <x:c r="AI145" s="91" t="str">
        <x:v>https://www.paris-roubaix.fr/en/history</x:v>
      </x:c>
      <x:c r="AJ145" s="91" t="str">
        <x:v>能力・適性・Credit整合済</x:v>
      </x:c>
      <x:c r="AK145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5" s="91" t="str">
        <x:v>https://en.wikipedia.org/wiki/Anton_Schiffer</x:v>
      </x:c>
    </x:row>
    <x:row r="146" ht="24" customHeight="1">
      <x:c r="A146" s="82" t="n">
        <x:v>142</x:v>
      </x:c>
      <x:c r="B146" s="82" t="str">
        <x:v>Javier Romo</x:v>
      </x:c>
      <x:c r="C146" s="143" t="str"/>
      <x:c r="D146" s="82" t="str">
        <x:v>スペイン</x:v>
      </x:c>
      <x:c r="E146" s="82" t="str">
        <x:v>現役</x:v>
      </x:c>
      <x:c r="F146" s="82" t="str">
        <x:v>クラシック型</x:v>
      </x:c>
      <x:c r="G146" s="82" t="str">
        <x:v>TT・ルーラー型</x:v>
      </x:c>
      <x:c r="H146" s="85" t="n">
        <x:v>73</x:v>
      </x:c>
      <x:c r="I146" s="85" t="n">
        <x:v>75</x:v>
      </x:c>
      <x:c r="J146" s="91" t="str">
        <x:v>TT牽引 / 石畳護衛 / 下り牽引 / ブレイクアウェイキラー / 横風要員 / 逃げ屋 / ブリッジャー</x:v>
      </x:c>
      <x:c r="K146" s="91" t="str"/>
      <x:c r="L146" s="91" t="str">
        <x:v>クラシック型 / TT・ルーラー型</x:v>
      </x:c>
      <x:c r="M146" s="88" t="n">
        <x:v>5550</x:v>
      </x:c>
      <x:c r="N146" s="85" t="n">
        <x:v>75</x:v>
      </x:c>
      <x:c r="O146" s="85" t="n">
        <x:v>73</x:v>
      </x:c>
      <x:c r="P146" s="85" t="n">
        <x:v>74</x:v>
      </x:c>
      <x:c r="Q146" s="85" t="n">
        <x:v>77</x:v>
      </x:c>
      <x:c r="R146" s="85" t="n">
        <x:v>68</x:v>
      </x:c>
      <x:c r="S146" s="85" t="n">
        <x:v>71</x:v>
      </x:c>
      <x:c r="T146" s="85" t="n">
        <x:v>74</x:v>
      </x:c>
      <x:c r="U146" s="85" t="n">
        <x:v>81</x:v>
      </x:c>
      <x:c r="V146" s="85" t="n">
        <x:v>77</x:v>
      </x:c>
      <x:c r="W146" s="85" t="n">
        <x:v>70</x:v>
      </x:c>
      <x:c r="X146" s="85" t="n">
        <x:v>67</x:v>
      </x:c>
      <x:c r="Y146" s="85" t="n">
        <x:v>67</x:v>
      </x:c>
      <x:c r="Z146" s="85" t="n">
        <x:v>76</x:v>
      </x:c>
      <x:c r="AA146" s="85" t="n">
        <x:v>68</x:v>
      </x:c>
      <x:c r="AB146" s="85" t="n">
        <x:v>81</x:v>
      </x:c>
      <x:c r="AC146" s="82" t="n">
        <x:v>0</x:v>
      </x:c>
      <x:c r="AD146" s="82" t="n">
        <x:v>0</x:v>
      </x:c>
      <x:c r="AE146" s="82" t="n">
        <x:v>0</x:v>
      </x:c>
      <x:c r="AF146" s="82" t="n">
        <x:v>0</x:v>
      </x:c>
      <x:c r="AG146" s="91" t="str">
        <x:v>要実績照合</x:v>
      </x:c>
      <x:c r="AH146" s="91" t="str">
        <x:v>現役300名補充時の脚質暫定値。パリ〜ルーベ／ロンド個人成績の追加照合が必要</x:v>
      </x:c>
      <x:c r="AI146" s="91" t="str">
        <x:v>https://www.paris-roubaix.fr/en/history</x:v>
      </x:c>
      <x:c r="AJ146" s="91" t="str">
        <x:v>能力・適性・Credit整合済</x:v>
      </x:c>
      <x:c r="AK14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6" s="91" t="str">
        <x:v>https://en.wikipedia.org/wiki/Javier_Romo</x:v>
      </x:c>
    </x:row>
    <x:row r="147" ht="24" customHeight="1">
      <x:c r="A147" s="82" t="n">
        <x:v>143</x:v>
      </x:c>
      <x:c r="B147" s="82" t="str">
        <x:v>Magnus Cort</x:v>
      </x:c>
      <x:c r="C147" s="143" t="str"/>
      <x:c r="D147" s="82" t="str">
        <x:v>デンマーク</x:v>
      </x:c>
      <x:c r="E147" s="82" t="str">
        <x:v>現役</x:v>
      </x:c>
      <x:c r="F147" s="82" t="str">
        <x:v>パンチャー</x:v>
      </x:c>
      <x:c r="G147" s="82" t="str">
        <x:v>スプリンター</x:v>
      </x:c>
      <x:c r="H147" s="85" t="n">
        <x:v>73</x:v>
      </x:c>
      <x:c r="I147" s="85" t="n">
        <x:v>72</x:v>
      </x:c>
      <x:c r="J147" s="91" t="str">
        <x:v>ステージハンター / スプリントトレイン / 逃げ屋 / カウンターアタッカー / ポジションキーパー</x:v>
      </x:c>
      <x:c r="K147" s="91" t="str"/>
      <x:c r="L147" s="91" t="str">
        <x:v>パンチャー / スプリンター</x:v>
      </x:c>
      <x:c r="M147" s="88" t="n">
        <x:v>5400</x:v>
      </x:c>
      <x:c r="N147" s="85" t="n">
        <x:v>75</x:v>
      </x:c>
      <x:c r="O147" s="85" t="n">
        <x:v>75</x:v>
      </x:c>
      <x:c r="P147" s="85" t="n">
        <x:v>80</x:v>
      </x:c>
      <x:c r="Q147" s="85" t="n">
        <x:v>67</x:v>
      </x:c>
      <x:c r="R147" s="85" t="n">
        <x:v>72</x:v>
      </x:c>
      <x:c r="S147" s="85" t="n">
        <x:v>69</x:v>
      </x:c>
      <x:c r="T147" s="85" t="n">
        <x:v>70</x:v>
      </x:c>
      <x:c r="U147" s="85" t="n">
        <x:v>79</x:v>
      </x:c>
      <x:c r="V147" s="85" t="n">
        <x:v>79</x:v>
      </x:c>
      <x:c r="W147" s="85" t="n">
        <x:v>60</x:v>
      </x:c>
      <x:c r="X147" s="85" t="n">
        <x:v>70</x:v>
      </x:c>
      <x:c r="Y147" s="85" t="n">
        <x:v>72</x:v>
      </x:c>
      <x:c r="Z147" s="85" t="n">
        <x:v>68</x:v>
      </x:c>
      <x:c r="AA147" s="85" t="n">
        <x:v>74</x:v>
      </x:c>
      <x:c r="AB147" s="85" t="n">
        <x:v>80</x:v>
      </x:c>
      <x:c r="AC147" s="82" t="n">
        <x:v>0</x:v>
      </x:c>
      <x:c r="AD147" s="82" t="n">
        <x:v>0</x:v>
      </x:c>
      <x:c r="AE147" s="82" t="n">
        <x:v>0</x:v>
      </x:c>
      <x:c r="AF147" s="82" t="n">
        <x:v>0</x:v>
      </x:c>
      <x:c r="AG147" s="91" t="str">
        <x:v>要実績照合</x:v>
      </x:c>
      <x:c r="AH147" s="91" t="str">
        <x:v>現役300名補充時の脚質暫定値。パリ〜ルーベ／ロンド個人成績の追加照合が必要</x:v>
      </x:c>
      <x:c r="AI147" s="91" t="str">
        <x:v>https://www.paris-roubaix.fr/en/history</x:v>
      </x:c>
      <x:c r="AJ147" s="91" t="str">
        <x:v>能力・適性・Credit整合済</x:v>
      </x:c>
      <x:c r="AK147" s="91" t="str">
        <x:v>公開プロフィール脚質「Breakaway specialist, puncheur, 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7" s="91" t="str">
        <x:v>https://en.wikipedia.org/wiki/Magnus_Cort</x:v>
      </x:c>
    </x:row>
    <x:row r="148" ht="24" customHeight="1">
      <x:c r="A148" s="82" t="n">
        <x:v>144</x:v>
      </x:c>
      <x:c r="B148" s="82" t="str">
        <x:v>Christian Scaroni</x:v>
      </x:c>
      <x:c r="C148" s="143" t="str"/>
      <x:c r="D148" s="82" t="str">
        <x:v>イタリア</x:v>
      </x:c>
      <x:c r="E148" s="82" t="str">
        <x:v>現役</x:v>
      </x:c>
      <x:c r="F148" s="82" t="str">
        <x:v>パンチャー</x:v>
      </x:c>
      <x:c r="G148" s="82" t="str">
        <x:v>クラシック型</x:v>
      </x:c>
      <x:c r="H148" s="85" t="n">
        <x:v>73</x:v>
      </x:c>
      <x:c r="I148" s="85" t="n">
        <x:v>73</x:v>
      </x:c>
      <x:c r="J148" s="91" t="str">
        <x:v>ステージハンター / 逃げ屋 / カウンターアタッカー</x:v>
      </x:c>
      <x:c r="K148" s="91" t="str"/>
      <x:c r="L148" s="91" t="str">
        <x:v>パンチャー / クラシック型</x:v>
      </x:c>
      <x:c r="M148" s="88" t="n">
        <x:v>5350</x:v>
      </x:c>
      <x:c r="N148" s="85" t="n">
        <x:v>70</x:v>
      </x:c>
      <x:c r="O148" s="85" t="n">
        <x:v>75</x:v>
      </x:c>
      <x:c r="P148" s="85" t="n">
        <x:v>79</x:v>
      </x:c>
      <x:c r="Q148" s="85" t="n">
        <x:v>68</x:v>
      </x:c>
      <x:c r="R148" s="85" t="n">
        <x:v>71</x:v>
      </x:c>
      <x:c r="S148" s="85" t="n">
        <x:v>70</x:v>
      </x:c>
      <x:c r="T148" s="85" t="n">
        <x:v>71</x:v>
      </x:c>
      <x:c r="U148" s="85" t="n">
        <x:v>75</x:v>
      </x:c>
      <x:c r="V148" s="85" t="n">
        <x:v>77</x:v>
      </x:c>
      <x:c r="W148" s="85" t="n">
        <x:v>63</x:v>
      </x:c>
      <x:c r="X148" s="85" t="n">
        <x:v>72</x:v>
      </x:c>
      <x:c r="Y148" s="85" t="n">
        <x:v>71</x:v>
      </x:c>
      <x:c r="Z148" s="85" t="n">
        <x:v>71</x:v>
      </x:c>
      <x:c r="AA148" s="85" t="n">
        <x:v>73</x:v>
      </x:c>
      <x:c r="AB148" s="85" t="n">
        <x:v>79</x:v>
      </x:c>
      <x:c r="AC148" s="82" t="n">
        <x:v>0</x:v>
      </x:c>
      <x:c r="AD148" s="82" t="n">
        <x:v>0</x:v>
      </x:c>
      <x:c r="AE148" s="82" t="n">
        <x:v>0</x:v>
      </x:c>
      <x:c r="AF148" s="82" t="n">
        <x:v>0</x:v>
      </x:c>
      <x:c r="AG148" s="91" t="str">
        <x:v>要実績照合</x:v>
      </x:c>
      <x:c r="AH148" s="91" t="str">
        <x:v>現役300名補充時の脚質暫定値。パリ〜ルーベ／ロンド個人成績の追加照合が必要</x:v>
      </x:c>
      <x:c r="AI148" s="91" t="str">
        <x:v>https://www.paris-roubaix.fr/en/history</x:v>
      </x:c>
      <x:c r="AJ148" s="91" t="str">
        <x:v>能力・適性・Credit整合済</x:v>
      </x:c>
      <x:c r="AK148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8" s="91" t="str">
        <x:v>https://en.wikipedia.org/wiki/Christian_Scaroni</x:v>
      </x:c>
    </x:row>
    <x:row r="149" ht="24" customHeight="1">
      <x:c r="A149" s="82" t="n">
        <x:v>145</x:v>
      </x:c>
      <x:c r="B149" s="82" t="str">
        <x:v>Cristián Rodríguez (cyclist)</x:v>
      </x:c>
      <x:c r="C149" s="143" t="str"/>
      <x:c r="D149" s="82" t="str">
        <x:v>スペイン</x:v>
      </x:c>
      <x:c r="E149" s="82" t="str">
        <x:v>現役</x:v>
      </x:c>
      <x:c r="F149" s="82" t="str">
        <x:v>クライマー</x:v>
      </x:c>
      <x:c r="G149" s="82" t="str">
        <x:v>TT・ルーラー型</x:v>
      </x:c>
      <x:c r="H149" s="85" t="n">
        <x:v>73</x:v>
      </x:c>
      <x:c r="I149" s="85" t="n">
        <x:v>73</x:v>
      </x:c>
      <x:c r="J149" s="91" t="str">
        <x:v>山岳賞ハンター / 山岳アシスト / 山岳番手</x:v>
      </x:c>
      <x:c r="K149" s="91" t="str"/>
      <x:c r="L149" s="91" t="str">
        <x:v>クライマー / TT・ルーラー型</x:v>
      </x:c>
      <x:c r="M149" s="88" t="n">
        <x:v>5300</x:v>
      </x:c>
      <x:c r="N149" s="85" t="n">
        <x:v>62</x:v>
      </x:c>
      <x:c r="O149" s="85" t="n">
        <x:v>68</x:v>
      </x:c>
      <x:c r="P149" s="85" t="n">
        <x:v>67</x:v>
      </x:c>
      <x:c r="Q149" s="85" t="n">
        <x:v>66</x:v>
      </x:c>
      <x:c r="R149" s="85" t="n">
        <x:v>78</x:v>
      </x:c>
      <x:c r="S149" s="85" t="n">
        <x:v>77</x:v>
      </x:c>
      <x:c r="T149" s="85" t="n">
        <x:v>70</x:v>
      </x:c>
      <x:c r="U149" s="85" t="n">
        <x:v>64</x:v>
      </x:c>
      <x:c r="V149" s="85" t="n">
        <x:v>65</x:v>
      </x:c>
      <x:c r="W149" s="85" t="n">
        <x:v>57</x:v>
      </x:c>
      <x:c r="X149" s="85" t="n">
        <x:v>77</x:v>
      </x:c>
      <x:c r="Y149" s="85" t="n">
        <x:v>76</x:v>
      </x:c>
      <x:c r="Z149" s="85" t="n">
        <x:v>71</x:v>
      </x:c>
      <x:c r="AA149" s="85" t="n">
        <x:v>68</x:v>
      </x:c>
      <x:c r="AB149" s="85" t="n">
        <x:v>69</x:v>
      </x:c>
      <x:c r="AC149" s="82" t="n">
        <x:v>0</x:v>
      </x:c>
      <x:c r="AD149" s="82" t="n">
        <x:v>0</x:v>
      </x:c>
      <x:c r="AE149" s="82" t="n">
        <x:v>0</x:v>
      </x:c>
      <x:c r="AF149" s="82" t="n">
        <x:v>0</x:v>
      </x:c>
      <x:c r="AG149" s="91" t="str">
        <x:v>要実績照合</x:v>
      </x:c>
      <x:c r="AH149" s="91" t="str">
        <x:v>現役300名補充時の脚質暫定値。パリ〜ルーベ／ロンド個人成績の追加照合が必要</x:v>
      </x:c>
      <x:c r="AI149" s="91" t="str">
        <x:v>https://www.paris-roubaix.fr/en/history</x:v>
      </x:c>
      <x:c r="AJ149" s="91" t="str">
        <x:v>能力・適性・Credit整合済</x:v>
      </x:c>
      <x:c r="AK149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49" s="91" t="str">
        <x:v>https://en.wikipedia.org/wiki/Cristi%C3%A1n_Rodr%C3%ADguez_(cyclist)</x:v>
      </x:c>
    </x:row>
    <x:row r="150" ht="24" customHeight="1">
      <x:c r="A150" s="82" t="n">
        <x:v>146</x:v>
      </x:c>
      <x:c r="B150" s="82" t="str">
        <x:v>Gianluca Pollefliet</x:v>
      </x:c>
      <x:c r="C150" s="143" t="str"/>
      <x:c r="D150" s="82" t="str">
        <x:v>ベルギー</x:v>
      </x:c>
      <x:c r="E150" s="82" t="str">
        <x:v>現役</x:v>
      </x:c>
      <x:c r="F150" s="82" t="str">
        <x:v>クラシック型</x:v>
      </x:c>
      <x:c r="G150" s="82" t="str">
        <x:v>クライマー</x:v>
      </x:c>
      <x:c r="H150" s="85" t="n">
        <x:v>73</x:v>
      </x:c>
      <x:c r="I150" s="85" t="n">
        <x:v>75</x:v>
      </x:c>
      <x:c r="J150" s="91" t="str">
        <x:v>山岳賞ハンター / 石畳護衛 / 下り牽引 / ブレイクアウェイキラー / 横風要員 / 逃げ屋 / 超ロングスパート</x:v>
      </x:c>
      <x:c r="K150" s="91" t="str"/>
      <x:c r="L150" s="91" t="str">
        <x:v>クラシック型 / クライマー</x:v>
      </x:c>
      <x:c r="M150" s="88" t="n">
        <x:v>5200</x:v>
      </x:c>
      <x:c r="N150" s="85" t="n">
        <x:v>72</x:v>
      </x:c>
      <x:c r="O150" s="85" t="n">
        <x:v>71</x:v>
      </x:c>
      <x:c r="P150" s="85" t="n">
        <x:v>72</x:v>
      </x:c>
      <x:c r="Q150" s="85" t="n">
        <x:v>75</x:v>
      </x:c>
      <x:c r="R150" s="85" t="n">
        <x:v>62</x:v>
      </x:c>
      <x:c r="S150" s="85" t="n">
        <x:v>73</x:v>
      </x:c>
      <x:c r="T150" s="85" t="n">
        <x:v>71</x:v>
      </x:c>
      <x:c r="U150" s="85" t="n">
        <x:v>78</x:v>
      </x:c>
      <x:c r="V150" s="85" t="n">
        <x:v>79</x:v>
      </x:c>
      <x:c r="W150" s="85" t="n">
        <x:v>70</x:v>
      </x:c>
      <x:c r="X150" s="85" t="n">
        <x:v>68</x:v>
      </x:c>
      <x:c r="Y150" s="85" t="n">
        <x:v>68</x:v>
      </x:c>
      <x:c r="Z150" s="85" t="n">
        <x:v>74</x:v>
      </x:c>
      <x:c r="AA150" s="85" t="n">
        <x:v>69</x:v>
      </x:c>
      <x:c r="AB150" s="85" t="n">
        <x:v>77</x:v>
      </x:c>
      <x:c r="AC150" s="82" t="n">
        <x:v>0</x:v>
      </x:c>
      <x:c r="AD150" s="82" t="n">
        <x:v>0</x:v>
      </x:c>
      <x:c r="AE150" s="82" t="n">
        <x:v>0</x:v>
      </x:c>
      <x:c r="AF150" s="82" t="n">
        <x:v>0</x:v>
      </x:c>
      <x:c r="AG150" s="91" t="str">
        <x:v>要実績照合</x:v>
      </x:c>
      <x:c r="AH150" s="91" t="str">
        <x:v>現役300名補充時の脚質暫定値。パリ〜ルーベ／ロンド個人成績の追加照合が必要</x:v>
      </x:c>
      <x:c r="AI150" s="91" t="str">
        <x:v>https://www.paris-roubaix.fr/en/history</x:v>
      </x:c>
      <x:c r="AJ150" s="91" t="str">
        <x:v>能力・適性・Credit整合済</x:v>
      </x:c>
      <x:c r="AK150" s="91" t="str">
        <x:v>公開プロフィール脚質「Classics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0" s="91" t="str">
        <x:v>https://en.wikipedia.org/wiki/Gianluca_Pollefliet</x:v>
      </x:c>
    </x:row>
    <x:row r="151" ht="24" customHeight="1">
      <x:c r="A151" s="82" t="n">
        <x:v>147</x:v>
      </x:c>
      <x:c r="B151" s="82" t="str">
        <x:v>Georg Steinhauser</x:v>
      </x:c>
      <x:c r="C151" s="143" t="str"/>
      <x:c r="D151" s="82" t="str">
        <x:v>ドイツ</x:v>
      </x:c>
      <x:c r="E151" s="82" t="str">
        <x:v>現役</x:v>
      </x:c>
      <x:c r="F151" s="82" t="str">
        <x:v>総合型</x:v>
      </x:c>
      <x:c r="G151" s="82" t="str">
        <x:v>TT・ルーラー型</x:v>
      </x:c>
      <x:c r="H151" s="85" t="n">
        <x:v>73</x:v>
      </x:c>
      <x:c r="I151" s="85" t="n">
        <x:v>73</x:v>
      </x:c>
      <x:c r="J151" s="91" t="str">
        <x:v>山岳アシスト</x:v>
      </x:c>
      <x:c r="K151" s="91" t="str"/>
      <x:c r="L151" s="91" t="str">
        <x:v>総合型 / TT・ルーラー型</x:v>
      </x:c>
      <x:c r="M151" s="88" t="n">
        <x:v>5200</x:v>
      </x:c>
      <x:c r="N151" s="85" t="n">
        <x:v>62</x:v>
      </x:c>
      <x:c r="O151" s="85" t="n">
        <x:v>65</x:v>
      </x:c>
      <x:c r="P151" s="85" t="n">
        <x:v>71</x:v>
      </x:c>
      <x:c r="Q151" s="85" t="n">
        <x:v>69</x:v>
      </x:c>
      <x:c r="R151" s="85" t="n">
        <x:v>74</x:v>
      </x:c>
      <x:c r="S151" s="85" t="n">
        <x:v>80</x:v>
      </x:c>
      <x:c r="T151" s="85" t="n">
        <x:v>77</x:v>
      </x:c>
      <x:c r="U151" s="85" t="n">
        <x:v>65</x:v>
      </x:c>
      <x:c r="V151" s="85" t="n">
        <x:v>65</x:v>
      </x:c>
      <x:c r="W151" s="85" t="n">
        <x:v>58</x:v>
      </x:c>
      <x:c r="X151" s="85" t="n">
        <x:v>79</x:v>
      </x:c>
      <x:c r="Y151" s="85" t="n">
        <x:v>79</x:v>
      </x:c>
      <x:c r="Z151" s="85" t="n">
        <x:v>64</x:v>
      </x:c>
      <x:c r="AA151" s="85" t="n">
        <x:v>71</x:v>
      </x:c>
      <x:c r="AB151" s="85" t="n">
        <x:v>68</x:v>
      </x:c>
      <x:c r="AC151" s="82" t="n">
        <x:v>0</x:v>
      </x:c>
      <x:c r="AD151" s="82" t="n">
        <x:v>0</x:v>
      </x:c>
      <x:c r="AE151" s="82" t="n">
        <x:v>0</x:v>
      </x:c>
      <x:c r="AF151" s="82" t="n">
        <x:v>0</x:v>
      </x:c>
      <x:c r="AG151" s="91" t="str">
        <x:v>要実績照合</x:v>
      </x:c>
      <x:c r="AH151" s="91" t="str">
        <x:v>現役300名補充時の脚質暫定値。パリ〜ルーベ／ロンド個人成績の追加照合が必要</x:v>
      </x:c>
      <x:c r="AI151" s="91" t="str">
        <x:v>https://www.paris-roubaix.fr/en/history</x:v>
      </x:c>
      <x:c r="AJ151" s="91" t="str">
        <x:v>能力・適性・Credit整合済</x:v>
      </x:c>
      <x:c r="AK15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1" s="91" t="str">
        <x:v>https://en.wikipedia.org/wiki/Georg_Steinhauser</x:v>
      </x:c>
    </x:row>
    <x:row r="152" ht="24" customHeight="1">
      <x:c r="A152" s="82" t="n">
        <x:v>148</x:v>
      </x:c>
      <x:c r="B152" s="82" t="str">
        <x:v>Ben Tulett</x:v>
      </x:c>
      <x:c r="C152" s="143" t="str"/>
      <x:c r="D152" s="82" t="str">
        <x:v>イギリス</x:v>
      </x:c>
      <x:c r="E152" s="82" t="str">
        <x:v>現役</x:v>
      </x:c>
      <x:c r="F152" s="82" t="str">
        <x:v>パンチャー</x:v>
      </x:c>
      <x:c r="G152" s="82" t="str">
        <x:v>総合型</x:v>
      </x:c>
      <x:c r="H152" s="85" t="n">
        <x:v>73</x:v>
      </x:c>
      <x:c r="I152" s="85" t="n">
        <x:v>70</x:v>
      </x:c>
      <x:c r="J152" s="91" t="str">
        <x:v>ステージハンター / 山岳賞ハンター / 下り牽引 / 集団コントローラー / カウンターアタッカー / 無賃乗車</x:v>
      </x:c>
      <x:c r="K152" s="91" t="str"/>
      <x:c r="L152" s="91" t="str">
        <x:v>パンチャー / 総合型</x:v>
      </x:c>
      <x:c r="M152" s="88" t="n">
        <x:v>5150</x:v>
      </x:c>
      <x:c r="N152" s="85" t="n">
        <x:v>70</x:v>
      </x:c>
      <x:c r="O152" s="85" t="n">
        <x:v>77</x:v>
      </x:c>
      <x:c r="P152" s="85" t="n">
        <x:v>80</x:v>
      </x:c>
      <x:c r="Q152" s="85" t="n">
        <x:v>68</x:v>
      </x:c>
      <x:c r="R152" s="85" t="n">
        <x:v>73</x:v>
      </x:c>
      <x:c r="S152" s="85" t="n">
        <x:v>67</x:v>
      </x:c>
      <x:c r="T152" s="85" t="n">
        <x:v>70</x:v>
      </x:c>
      <x:c r="U152" s="85" t="n">
        <x:v>74</x:v>
      </x:c>
      <x:c r="V152" s="85" t="n">
        <x:v>74</x:v>
      </x:c>
      <x:c r="W152" s="85" t="n">
        <x:v>61</x:v>
      </x:c>
      <x:c r="X152" s="85" t="n">
        <x:v>68</x:v>
      </x:c>
      <x:c r="Y152" s="85" t="n">
        <x:v>73</x:v>
      </x:c>
      <x:c r="Z152" s="85" t="n">
        <x:v>66</x:v>
      </x:c>
      <x:c r="AA152" s="85" t="n">
        <x:v>74</x:v>
      </x:c>
      <x:c r="AB152" s="85" t="n">
        <x:v>76</x:v>
      </x:c>
      <x:c r="AC152" s="82" t="n">
        <x:v>0</x:v>
      </x:c>
      <x:c r="AD152" s="82" t="n">
        <x:v>0</x:v>
      </x:c>
      <x:c r="AE152" s="82" t="n">
        <x:v>0</x:v>
      </x:c>
      <x:c r="AF152" s="82" t="n">
        <x:v>0</x:v>
      </x:c>
      <x:c r="AG152" s="91" t="str">
        <x:v>要実績照合</x:v>
      </x:c>
      <x:c r="AH152" s="91" t="str">
        <x:v>現役300名補充時の脚質暫定値。パリ〜ルーベ／ロンド個人成績の追加照合が必要</x:v>
      </x:c>
      <x:c r="AI152" s="91" t="str">
        <x:v>https://www.paris-roubaix.fr/en/history</x:v>
      </x:c>
      <x:c r="AJ152" s="91" t="str">
        <x:v>能力・適性・Credit整合済</x:v>
      </x:c>
      <x:c r="AK152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2" s="91" t="str">
        <x:v>https://en.wikipedia.org/wiki/Ben_Tulett</x:v>
      </x:c>
    </x:row>
    <x:row r="153" ht="24" customHeight="1">
      <x:c r="A153" s="82" t="n">
        <x:v>149</x:v>
      </x:c>
      <x:c r="B153" s="82" t="str">
        <x:v>Andrew August</x:v>
      </x:c>
      <x:c r="C153" s="143" t="str"/>
      <x:c r="D153" s="82" t="str">
        <x:v>アメリカ</x:v>
      </x:c>
      <x:c r="E153" s="82" t="str">
        <x:v>現役</x:v>
      </x:c>
      <x:c r="F153" s="82" t="str">
        <x:v>パンチャー</x:v>
      </x:c>
      <x:c r="G153" s="82" t="str">
        <x:v>クラシック型</x:v>
      </x:c>
      <x:c r="H153" s="85" t="n">
        <x:v>73</x:v>
      </x:c>
      <x:c r="I153" s="85" t="n">
        <x:v>70</x:v>
      </x:c>
      <x:c r="J153" s="91" t="str">
        <x:v>ステージハンター / 逃げ屋 / ブリッジャー</x:v>
      </x:c>
      <x:c r="K153" s="91" t="str"/>
      <x:c r="L153" s="91" t="str">
        <x:v>パンチャー / クラシック型</x:v>
      </x:c>
      <x:c r="M153" s="88" t="n">
        <x:v>5100</x:v>
      </x:c>
      <x:c r="N153" s="85" t="n">
        <x:v>74</x:v>
      </x:c>
      <x:c r="O153" s="85" t="n">
        <x:v>75</x:v>
      </x:c>
      <x:c r="P153" s="85" t="n">
        <x:v>79</x:v>
      </x:c>
      <x:c r="Q153" s="85" t="n">
        <x:v>70</x:v>
      </x:c>
      <x:c r="R153" s="85" t="n">
        <x:v>72</x:v>
      </x:c>
      <x:c r="S153" s="85" t="n">
        <x:v>68</x:v>
      </x:c>
      <x:c r="T153" s="85" t="n">
        <x:v>71</x:v>
      </x:c>
      <x:c r="U153" s="85" t="n">
        <x:v>71</x:v>
      </x:c>
      <x:c r="V153" s="85" t="n">
        <x:v>74</x:v>
      </x:c>
      <x:c r="W153" s="85" t="n">
        <x:v>62</x:v>
      </x:c>
      <x:c r="X153" s="85" t="n">
        <x:v>72</x:v>
      </x:c>
      <x:c r="Y153" s="85" t="n">
        <x:v>72</x:v>
      </x:c>
      <x:c r="Z153" s="85" t="n">
        <x:v>62</x:v>
      </x:c>
      <x:c r="AA153" s="85" t="n">
        <x:v>73</x:v>
      </x:c>
      <x:c r="AB153" s="85" t="n">
        <x:v>75</x:v>
      </x:c>
      <x:c r="AC153" s="82" t="n">
        <x:v>0</x:v>
      </x:c>
      <x:c r="AD153" s="82" t="n">
        <x:v>0</x:v>
      </x:c>
      <x:c r="AE153" s="82" t="n">
        <x:v>0</x:v>
      </x:c>
      <x:c r="AF153" s="82" t="n">
        <x:v>0</x:v>
      </x:c>
      <x:c r="AG153" s="91" t="str">
        <x:v>要実績照合</x:v>
      </x:c>
      <x:c r="AH153" s="91" t="str">
        <x:v>現役300名補充時の脚質暫定値。パリ〜ルーベ／ロンド個人成績の追加照合が必要</x:v>
      </x:c>
      <x:c r="AI153" s="91" t="str">
        <x:v>https://www.paris-roubaix.fr/en/history</x:v>
      </x:c>
      <x:c r="AJ153" s="91" t="str">
        <x:v>能力・適性・Credit整合済</x:v>
      </x:c>
      <x:c r="AK153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3" s="91" t="str">
        <x:v>https://en.wikipedia.org/wiki/Andrew_August</x:v>
      </x:c>
    </x:row>
    <x:row r="154" ht="24" customHeight="1">
      <x:c r="A154" s="82" t="n">
        <x:v>150</x:v>
      </x:c>
      <x:c r="B154" s="82" t="str">
        <x:v>Bram Welten</x:v>
      </x:c>
      <x:c r="C154" s="143" t="str"/>
      <x:c r="D154" s="82" t="str">
        <x:v>オランダ</x:v>
      </x:c>
      <x:c r="E154" s="82" t="str">
        <x:v>現役</x:v>
      </x:c>
      <x:c r="F154" s="82" t="str">
        <x:v>パンチャー</x:v>
      </x:c>
      <x:c r="G154" s="82" t="str">
        <x:v>クライマー</x:v>
      </x:c>
      <x:c r="H154" s="85" t="n">
        <x:v>73</x:v>
      </x:c>
      <x:c r="I154" s="85" t="n">
        <x:v>71</x:v>
      </x:c>
      <x:c r="J154" s="91" t="str">
        <x:v>ステージハンター / 山岳賞ハンター</x:v>
      </x:c>
      <x:c r="K154" s="91" t="str"/>
      <x:c r="L154" s="91" t="str">
        <x:v>パンチャー / クライマー</x:v>
      </x:c>
      <x:c r="M154" s="88" t="n">
        <x:v>5050</x:v>
      </x:c>
      <x:c r="N154" s="85" t="n">
        <x:v>69</x:v>
      </x:c>
      <x:c r="O154" s="85" t="n">
        <x:v>78</x:v>
      </x:c>
      <x:c r="P154" s="85" t="n">
        <x:v>81</x:v>
      </x:c>
      <x:c r="Q154" s="85" t="n">
        <x:v>69</x:v>
      </x:c>
      <x:c r="R154" s="85" t="n">
        <x:v>72</x:v>
      </x:c>
      <x:c r="S154" s="85" t="n">
        <x:v>68</x:v>
      </x:c>
      <x:c r="T154" s="85" t="n">
        <x:v>69</x:v>
      </x:c>
      <x:c r="U154" s="85" t="n">
        <x:v>70</x:v>
      </x:c>
      <x:c r="V154" s="85" t="n">
        <x:v>73</x:v>
      </x:c>
      <x:c r="W154" s="85" t="n">
        <x:v>58</x:v>
      </x:c>
      <x:c r="X154" s="85" t="n">
        <x:v>67</x:v>
      </x:c>
      <x:c r="Y154" s="85" t="n">
        <x:v>67</x:v>
      </x:c>
      <x:c r="Z154" s="85" t="n">
        <x:v>67</x:v>
      </x:c>
      <x:c r="AA154" s="85" t="n">
        <x:v>75</x:v>
      </x:c>
      <x:c r="AB154" s="85" t="n">
        <x:v>72</x:v>
      </x:c>
      <x:c r="AC154" s="82" t="n">
        <x:v>0</x:v>
      </x:c>
      <x:c r="AD154" s="82" t="n">
        <x:v>0</x:v>
      </x:c>
      <x:c r="AE154" s="82" t="n">
        <x:v>0</x:v>
      </x:c>
      <x:c r="AF154" s="82" t="n">
        <x:v>0</x:v>
      </x:c>
      <x:c r="AG154" s="91" t="str">
        <x:v>要実績照合</x:v>
      </x:c>
      <x:c r="AH154" s="91" t="str">
        <x:v>現役300名補充時の脚質暫定値。パリ〜ルーベ／ロンド個人成績の追加照合が必要</x:v>
      </x:c>
      <x:c r="AI154" s="91" t="str">
        <x:v>https://www.paris-roubaix.fr/en/history</x:v>
      </x:c>
      <x:c r="AJ154" s="91" t="str">
        <x:v>能力・適性・Credit整合済</x:v>
      </x:c>
      <x:c r="AK15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4" s="91" t="str">
        <x:v>https://en.wikipedia.org/wiki/Bram_Welten</x:v>
      </x:c>
    </x:row>
    <x:row r="155" ht="24" customHeight="1">
      <x:c r="A155" s="82" t="n">
        <x:v>151</x:v>
      </x:c>
      <x:c r="B155" s="82" t="str">
        <x:v>Ben O'Connor (cyclist)</x:v>
      </x:c>
      <x:c r="C155" s="143" t="str"/>
      <x:c r="D155" s="82" t="str">
        <x:v>オーストラリア</x:v>
      </x:c>
      <x:c r="E155" s="82" t="str">
        <x:v>現役</x:v>
      </x:c>
      <x:c r="F155" s="82" t="str">
        <x:v>総合型</x:v>
      </x:c>
      <x:c r="G155" s="82" t="str">
        <x:v>スプリンター</x:v>
      </x:c>
      <x:c r="H155" s="85" t="n">
        <x:v>73</x:v>
      </x:c>
      <x:c r="I155" s="85" t="n">
        <x:v>74</x:v>
      </x:c>
      <x:c r="J155" s="91" t="str">
        <x:v>スプリントトレイン / 山岳アシスト / 山岳番手</x:v>
      </x:c>
      <x:c r="K155" s="91" t="str"/>
      <x:c r="L155" s="91" t="str">
        <x:v>総合型 / スプリンター</x:v>
      </x:c>
      <x:c r="M155" s="88" t="n">
        <x:v>5000</x:v>
      </x:c>
      <x:c r="N155" s="85" t="n">
        <x:v>59</x:v>
      </x:c>
      <x:c r="O155" s="85" t="n">
        <x:v>69</x:v>
      </x:c>
      <x:c r="P155" s="85" t="n">
        <x:v>70</x:v>
      </x:c>
      <x:c r="Q155" s="85" t="n">
        <x:v>73</x:v>
      </x:c>
      <x:c r="R155" s="85" t="n">
        <x:v>74</x:v>
      </x:c>
      <x:c r="S155" s="85" t="n">
        <x:v>73</x:v>
      </x:c>
      <x:c r="T155" s="85" t="n">
        <x:v>76</x:v>
      </x:c>
      <x:c r="U155" s="85" t="n">
        <x:v>67</x:v>
      </x:c>
      <x:c r="V155" s="85" t="n">
        <x:v>67</x:v>
      </x:c>
      <x:c r="W155" s="85" t="n">
        <x:v>58</x:v>
      </x:c>
      <x:c r="X155" s="85" t="n">
        <x:v>76</x:v>
      </x:c>
      <x:c r="Y155" s="85" t="n">
        <x:v>78</x:v>
      </x:c>
      <x:c r="Z155" s="85" t="n">
        <x:v>69</x:v>
      </x:c>
      <x:c r="AA155" s="85" t="n">
        <x:v>75</x:v>
      </x:c>
      <x:c r="AB155" s="85" t="n">
        <x:v>66</x:v>
      </x:c>
      <x:c r="AC155" s="82" t="n">
        <x:v>0</x:v>
      </x:c>
      <x:c r="AD155" s="82" t="n">
        <x:v>0</x:v>
      </x:c>
      <x:c r="AE155" s="82" t="n">
        <x:v>0</x:v>
      </x:c>
      <x:c r="AF155" s="82" t="n">
        <x:v>0</x:v>
      </x:c>
      <x:c r="AG155" s="91" t="str">
        <x:v>要実績照合</x:v>
      </x:c>
      <x:c r="AH155" s="91" t="str">
        <x:v>現役300名補充時の脚質暫定値。パリ〜ルーベ／ロンド個人成績の追加照合が必要</x:v>
      </x:c>
      <x:c r="AI155" s="91" t="str">
        <x:v>https://www.paris-roubaix.fr/en/history</x:v>
      </x:c>
      <x:c r="AJ155" s="91" t="str">
        <x:v>能力・適性・Credit整合済</x:v>
      </x:c>
      <x:c r="AK155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5" s="91" t="str">
        <x:v>https://en.wikipedia.org/wiki/Ben_O'Connor_(cyclist)</x:v>
      </x:c>
    </x:row>
    <x:row r="156" ht="24" customHeight="1">
      <x:c r="A156" s="82" t="n">
        <x:v>152</x:v>
      </x:c>
      <x:c r="B156" s="82" t="str">
        <x:v>Henrik Pedersen (cyclist)</x:v>
      </x:c>
      <x:c r="C156" s="143" t="str"/>
      <x:c r="D156" s="82" t="str">
        <x:v>デンマーク</x:v>
      </x:c>
      <x:c r="E156" s="82" t="str">
        <x:v>現役</x:v>
      </x:c>
      <x:c r="F156" s="82" t="str">
        <x:v>パンチャー</x:v>
      </x:c>
      <x:c r="G156" s="82" t="str">
        <x:v>クライマー</x:v>
      </x:c>
      <x:c r="H156" s="85" t="n">
        <x:v>73</x:v>
      </x:c>
      <x:c r="I156" s="85" t="n">
        <x:v>70</x:v>
      </x:c>
      <x:c r="J156" s="91" t="str">
        <x:v>ロードキャプテン / ステージハンター / 山岳賞ハンター / カウンターアタッカー / ポジションキーパー</x:v>
      </x:c>
      <x:c r="K156" s="91" t="str"/>
      <x:c r="L156" s="91" t="str">
        <x:v>パンチャー / クライマー</x:v>
      </x:c>
      <x:c r="M156" s="88" t="n">
        <x:v>4900</x:v>
      </x:c>
      <x:c r="N156" s="85" t="n">
        <x:v>69</x:v>
      </x:c>
      <x:c r="O156" s="85" t="n">
        <x:v>77</x:v>
      </x:c>
      <x:c r="P156" s="85" t="n">
        <x:v>79</x:v>
      </x:c>
      <x:c r="Q156" s="85" t="n">
        <x:v>68</x:v>
      </x:c>
      <x:c r="R156" s="85" t="n">
        <x:v>73</x:v>
      </x:c>
      <x:c r="S156" s="85" t="n">
        <x:v>66</x:v>
      </x:c>
      <x:c r="T156" s="85" t="n">
        <x:v>66</x:v>
      </x:c>
      <x:c r="U156" s="85" t="n">
        <x:v>75</x:v>
      </x:c>
      <x:c r="V156" s="85" t="n">
        <x:v>74</x:v>
      </x:c>
      <x:c r="W156" s="85" t="n">
        <x:v>56</x:v>
      </x:c>
      <x:c r="X156" s="85" t="n">
        <x:v>71</x:v>
      </x:c>
      <x:c r="Y156" s="85" t="n">
        <x:v>66</x:v>
      </x:c>
      <x:c r="Z156" s="85" t="n">
        <x:v>68</x:v>
      </x:c>
      <x:c r="AA156" s="85" t="n">
        <x:v>72</x:v>
      </x:c>
      <x:c r="AB156" s="85" t="n">
        <x:v>75</x:v>
      </x:c>
      <x:c r="AC156" s="82" t="n">
        <x:v>0</x:v>
      </x:c>
      <x:c r="AD156" s="82" t="n">
        <x:v>0</x:v>
      </x:c>
      <x:c r="AE156" s="82" t="n">
        <x:v>0</x:v>
      </x:c>
      <x:c r="AF156" s="82" t="n">
        <x:v>0</x:v>
      </x:c>
      <x:c r="AG156" s="91" t="str">
        <x:v>要実績照合</x:v>
      </x:c>
      <x:c r="AH156" s="91" t="str">
        <x:v>現役300名補充時の脚質暫定値。パリ〜ルーベ／ロンド個人成績の追加照合が必要</x:v>
      </x:c>
      <x:c r="AI156" s="91" t="str">
        <x:v>https://www.paris-roubaix.fr/en/history</x:v>
      </x:c>
      <x:c r="AJ156" s="91" t="str">
        <x:v>能力・適性・Credit整合済</x:v>
      </x:c>
      <x:c r="AK15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6" s="91" t="str">
        <x:v>https://en.wikipedia.org/wiki/Henrik_Pedersen_(cyclist)</x:v>
      </x:c>
    </x:row>
    <x:row r="157" ht="24" customHeight="1">
      <x:c r="A157" s="82" t="n">
        <x:v>153</x:v>
      </x:c>
      <x:c r="B157" s="82" t="str">
        <x:v>Guillermo Thomas Silva</x:v>
      </x:c>
      <x:c r="C157" s="143" t="str"/>
      <x:c r="D157" s="82" t="str">
        <x:v>URU</x:v>
      </x:c>
      <x:c r="E157" s="82" t="str">
        <x:v>現役</x:v>
      </x:c>
      <x:c r="F157" s="82" t="str">
        <x:v>パンチャー</x:v>
      </x:c>
      <x:c r="G157" s="82" t="str">
        <x:v>TT・ルーラー型</x:v>
      </x:c>
      <x:c r="H157" s="85" t="n">
        <x:v>73</x:v>
      </x:c>
      <x:c r="I157" s="85" t="n">
        <x:v>71</x:v>
      </x:c>
      <x:c r="J157" s="91" t="str">
        <x:v>ステージハンター / 山岳アシスト / 逃げ屋 / カウンターアタッカー</x:v>
      </x:c>
      <x:c r="K157" s="91" t="str"/>
      <x:c r="L157" s="91" t="str">
        <x:v>パンチャー / TT・ルーラー型</x:v>
      </x:c>
      <x:c r="M157" s="88" t="n">
        <x:v>4750</x:v>
      </x:c>
      <x:c r="N157" s="85" t="n">
        <x:v>69</x:v>
      </x:c>
      <x:c r="O157" s="85" t="n">
        <x:v>74</x:v>
      </x:c>
      <x:c r="P157" s="85" t="n">
        <x:v>77</x:v>
      </x:c>
      <x:c r="Q157" s="85" t="n">
        <x:v>67</x:v>
      </x:c>
      <x:c r="R157" s="85" t="n">
        <x:v>73</x:v>
      </x:c>
      <x:c r="S157" s="85" t="n">
        <x:v>68</x:v>
      </x:c>
      <x:c r="T157" s="85" t="n">
        <x:v>65</x:v>
      </x:c>
      <x:c r="U157" s="85" t="n">
        <x:v>77</x:v>
      </x:c>
      <x:c r="V157" s="85" t="n">
        <x:v>73</x:v>
      </x:c>
      <x:c r="W157" s="85" t="n">
        <x:v>54</x:v>
      </x:c>
      <x:c r="X157" s="85" t="n">
        <x:v>67</x:v>
      </x:c>
      <x:c r="Y157" s="85" t="n">
        <x:v>72</x:v>
      </x:c>
      <x:c r="Z157" s="85" t="n">
        <x:v>68</x:v>
      </x:c>
      <x:c r="AA157" s="85" t="n">
        <x:v>79</x:v>
      </x:c>
      <x:c r="AB157" s="85" t="n">
        <x:v>78</x:v>
      </x:c>
      <x:c r="AC157" s="82" t="n">
        <x:v>0</x:v>
      </x:c>
      <x:c r="AD157" s="82" t="n">
        <x:v>0</x:v>
      </x:c>
      <x:c r="AE157" s="82" t="n">
        <x:v>0</x:v>
      </x:c>
      <x:c r="AF157" s="82" t="n">
        <x:v>0</x:v>
      </x:c>
      <x:c r="AG157" s="91" t="str">
        <x:v>要実績照合</x:v>
      </x:c>
      <x:c r="AH157" s="91" t="str">
        <x:v>現役300名補充時の脚質暫定値。パリ〜ルーベ／ロンド個人成績の追加照合が必要</x:v>
      </x:c>
      <x:c r="AI157" s="91" t="str">
        <x:v>https://www.paris-roubaix.fr/en/history</x:v>
      </x:c>
      <x:c r="AJ157" s="91" t="str">
        <x:v>能力・適性・Credit整合済</x:v>
      </x:c>
      <x:c r="AK157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7" s="91" t="str">
        <x:v>https://en.wikipedia.org/wiki/Guillermo_Thomas_Silva</x:v>
      </x:c>
    </x:row>
    <x:row r="158" ht="24" customHeight="1">
      <x:c r="A158" s="82" t="n">
        <x:v>154</x:v>
      </x:c>
      <x:c r="B158" s="82" t="str">
        <x:v>Brandon Rivera</x:v>
      </x:c>
      <x:c r="C158" s="143" t="str"/>
      <x:c r="D158" s="82" t="str">
        <x:v>コロンビア</x:v>
      </x:c>
      <x:c r="E158" s="82" t="str">
        <x:v>現役</x:v>
      </x:c>
      <x:c r="F158" s="82" t="str">
        <x:v>クライマー</x:v>
      </x:c>
      <x:c r="G158" s="82" t="str">
        <x:v>クラシック型</x:v>
      </x:c>
      <x:c r="H158" s="85" t="n">
        <x:v>73</x:v>
      </x:c>
      <x:c r="I158" s="85" t="n">
        <x:v>73</x:v>
      </x:c>
      <x:c r="J158" s="91" t="str">
        <x:v>山岳賞ハンター / 山岳アシスト / 山岳ペースメーカー</x:v>
      </x:c>
      <x:c r="K158" s="91" t="str"/>
      <x:c r="L158" s="91" t="str">
        <x:v>クライマー / クラシック型</x:v>
      </x:c>
      <x:c r="M158" s="88" t="n">
        <x:v>4550</x:v>
      </x:c>
      <x:c r="N158" s="85" t="n">
        <x:v>60</x:v>
      </x:c>
      <x:c r="O158" s="85" t="n">
        <x:v>65</x:v>
      </x:c>
      <x:c r="P158" s="85" t="n">
        <x:v>69</x:v>
      </x:c>
      <x:c r="Q158" s="85" t="n">
        <x:v>64</x:v>
      </x:c>
      <x:c r="R158" s="85" t="n">
        <x:v>74</x:v>
      </x:c>
      <x:c r="S158" s="85" t="n">
        <x:v>71</x:v>
      </x:c>
      <x:c r="T158" s="85" t="n">
        <x:v>69</x:v>
      </x:c>
      <x:c r="U158" s="85" t="n">
        <x:v>62</x:v>
      </x:c>
      <x:c r="V158" s="85" t="n">
        <x:v>62</x:v>
      </x:c>
      <x:c r="W158" s="85" t="n">
        <x:v>56</x:v>
      </x:c>
      <x:c r="X158" s="85" t="n">
        <x:v>76</x:v>
      </x:c>
      <x:c r="Y158" s="85" t="n">
        <x:v>75</x:v>
      </x:c>
      <x:c r="Z158" s="85" t="n">
        <x:v>71</x:v>
      </x:c>
      <x:c r="AA158" s="85" t="n">
        <x:v>68</x:v>
      </x:c>
      <x:c r="AB158" s="85" t="n">
        <x:v>71</x:v>
      </x:c>
      <x:c r="AC158" s="82" t="n">
        <x:v>0</x:v>
      </x:c>
      <x:c r="AD158" s="82" t="n">
        <x:v>0</x:v>
      </x:c>
      <x:c r="AE158" s="82" t="n">
        <x:v>0</x:v>
      </x:c>
      <x:c r="AF158" s="82" t="n">
        <x:v>0</x:v>
      </x:c>
      <x:c r="AG158" s="91" t="str">
        <x:v>要実績照合</x:v>
      </x:c>
      <x:c r="AH158" s="91" t="str">
        <x:v>現役300名補充時の脚質暫定値。パリ〜ルーベ／ロンド個人成績の追加照合が必要</x:v>
      </x:c>
      <x:c r="AI158" s="91" t="str">
        <x:v>https://www.paris-roubaix.fr/en/history</x:v>
      </x:c>
      <x:c r="AJ158" s="91" t="str">
        <x:v>能力・適性・Credit整合済</x:v>
      </x:c>
      <x:c r="AK158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8" s="91" t="str">
        <x:v>https://en.wikipedia.org/wiki/Brandon_Rivera</x:v>
      </x:c>
    </x:row>
    <x:row r="159" ht="24" customHeight="1">
      <x:c r="A159" s="82" t="n">
        <x:v>155</x:v>
      </x:c>
      <x:c r="B159" s="82" t="str">
        <x:v>Jacopo Mosca</x:v>
      </x:c>
      <x:c r="C159" s="143" t="str"/>
      <x:c r="D159" s="82" t="str">
        <x:v>イタリア</x:v>
      </x:c>
      <x:c r="E159" s="82" t="str">
        <x:v>現役</x:v>
      </x:c>
      <x:c r="F159" s="82" t="str">
        <x:v>総合型</x:v>
      </x:c>
      <x:c r="G159" s="82" t="str">
        <x:v>パンチャー</x:v>
      </x:c>
      <x:c r="H159" s="85" t="n">
        <x:v>73</x:v>
      </x:c>
      <x:c r="I159" s="85" t="n">
        <x:v>71</x:v>
      </x:c>
      <x:c r="J159" s="91" t="str">
        <x:v>山岳賞ハンター / 山岳アシスト / 山岳番手</x:v>
      </x:c>
      <x:c r="K159" s="91" t="str"/>
      <x:c r="L159" s="91" t="str">
        <x:v>総合型 / パンチャー</x:v>
      </x:c>
      <x:c r="M159" s="88" t="n">
        <x:v>4450</x:v>
      </x:c>
      <x:c r="N159" s="85" t="n">
        <x:v>55</x:v>
      </x:c>
      <x:c r="O159" s="85" t="n">
        <x:v>66</x:v>
      </x:c>
      <x:c r="P159" s="85" t="n">
        <x:v>71</x:v>
      </x:c>
      <x:c r="Q159" s="85" t="n">
        <x:v>70</x:v>
      </x:c>
      <x:c r="R159" s="85" t="n">
        <x:v>75</x:v>
      </x:c>
      <x:c r="S159" s="85" t="n">
        <x:v>71</x:v>
      </x:c>
      <x:c r="T159" s="85" t="n">
        <x:v>71</x:v>
      </x:c>
      <x:c r="U159" s="85" t="n">
        <x:v>63</x:v>
      </x:c>
      <x:c r="V159" s="85" t="n">
        <x:v>61</x:v>
      </x:c>
      <x:c r="W159" s="85" t="n">
        <x:v>56</x:v>
      </x:c>
      <x:c r="X159" s="85" t="n">
        <x:v>76</x:v>
      </x:c>
      <x:c r="Y159" s="85" t="n">
        <x:v>79</x:v>
      </x:c>
      <x:c r="Z159" s="85" t="n">
        <x:v>67</x:v>
      </x:c>
      <x:c r="AA159" s="85" t="n">
        <x:v>70</x:v>
      </x:c>
      <x:c r="AB159" s="85" t="n">
        <x:v>64</x:v>
      </x:c>
      <x:c r="AC159" s="82" t="n">
        <x:v>0</x:v>
      </x:c>
      <x:c r="AD159" s="82" t="n">
        <x:v>0</x:v>
      </x:c>
      <x:c r="AE159" s="82" t="n">
        <x:v>0</x:v>
      </x:c>
      <x:c r="AF159" s="82" t="n">
        <x:v>0</x:v>
      </x:c>
      <x:c r="AG159" s="91" t="str">
        <x:v>要実績照合</x:v>
      </x:c>
      <x:c r="AH159" s="91" t="str">
        <x:v>現役300名補充時の脚質暫定値。パリ〜ルーベ／ロンド個人成績の追加照合が必要</x:v>
      </x:c>
      <x:c r="AI159" s="91" t="str">
        <x:v>https://www.paris-roubaix.fr/en/history</x:v>
      </x:c>
      <x:c r="AJ159" s="91" t="str">
        <x:v>能力・適性・Credit整合済</x:v>
      </x:c>
      <x:c r="AK15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59" s="91" t="str">
        <x:v>https://en.wikipedia.org/wiki/Jacopo_Mosca</x:v>
      </x:c>
    </x:row>
    <x:row r="160" ht="24" customHeight="1">
      <x:c r="A160" s="82" t="n">
        <x:v>156</x:v>
      </x:c>
      <x:c r="B160" s="82" t="str">
        <x:v>Fabio Van den Bossche</x:v>
      </x:c>
      <x:c r="C160" s="143" t="str"/>
      <x:c r="D160" s="82" t="str">
        <x:v>ベルギー</x:v>
      </x:c>
      <x:c r="E160" s="82" t="str">
        <x:v>現役</x:v>
      </x:c>
      <x:c r="F160" s="82" t="str">
        <x:v>スプリンター</x:v>
      </x:c>
      <x:c r="G160" s="82" t="str">
        <x:v>クラシック型</x:v>
      </x:c>
      <x:c r="H160" s="85" t="n">
        <x:v>73</x:v>
      </x:c>
      <x:c r="I160" s="85" t="n">
        <x:v>67</x:v>
      </x:c>
      <x:c r="J160" s="91" t="str">
        <x:v>リードアウト / 最終発射台 / スプリントトレイン / 下り牽引</x:v>
      </x:c>
      <x:c r="K160" s="91" t="str"/>
      <x:c r="L160" s="91" t="str">
        <x:v>スプリンター / クラシック型</x:v>
      </x:c>
      <x:c r="M160" s="88" t="n">
        <x:v>4400</x:v>
      </x:c>
      <x:c r="N160" s="85" t="n">
        <x:v>78</x:v>
      </x:c>
      <x:c r="O160" s="85" t="n">
        <x:v>82</x:v>
      </x:c>
      <x:c r="P160" s="85" t="n">
        <x:v>65</x:v>
      </x:c>
      <x:c r="Q160" s="85" t="n">
        <x:v>69</x:v>
      </x:c>
      <x:c r="R160" s="85" t="n">
        <x:v>56</x:v>
      </x:c>
      <x:c r="S160" s="85" t="n">
        <x:v>63</x:v>
      </x:c>
      <x:c r="T160" s="85" t="n">
        <x:v>66</x:v>
      </x:c>
      <x:c r="U160" s="85" t="n">
        <x:v>67</x:v>
      </x:c>
      <x:c r="V160" s="85" t="n">
        <x:v>68</x:v>
      </x:c>
      <x:c r="W160" s="85" t="n">
        <x:v>57</x:v>
      </x:c>
      <x:c r="X160" s="85" t="n">
        <x:v>63</x:v>
      </x:c>
      <x:c r="Y160" s="85" t="n">
        <x:v>66</x:v>
      </x:c>
      <x:c r="Z160" s="85" t="n">
        <x:v>64</x:v>
      </x:c>
      <x:c r="AA160" s="85" t="n">
        <x:v>78</x:v>
      </x:c>
      <x:c r="AB160" s="85" t="n">
        <x:v>67</x:v>
      </x:c>
      <x:c r="AC160" s="82" t="n">
        <x:v>0</x:v>
      </x:c>
      <x:c r="AD160" s="82" t="n">
        <x:v>0</x:v>
      </x:c>
      <x:c r="AE160" s="82" t="n">
        <x:v>0</x:v>
      </x:c>
      <x:c r="AF160" s="82" t="n">
        <x:v>0</x:v>
      </x:c>
      <x:c r="AG160" s="91" t="str">
        <x:v>要実績照合</x:v>
      </x:c>
      <x:c r="AH160" s="91" t="str">
        <x:v>現役300名補充時の脚質暫定値。パリ〜ルーベ／ロンド個人成績の追加照合が必要</x:v>
      </x:c>
      <x:c r="AI160" s="91" t="str">
        <x:v>https://www.paris-roubaix.fr/en/history</x:v>
      </x:c>
      <x:c r="AJ160" s="91" t="str">
        <x:v>能力・適性・Credit整合済</x:v>
      </x:c>
      <x:c r="AK16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0" s="91" t="str">
        <x:v>https://en.wikipedia.org/wiki/Fabio_Van_den_Bossche</x:v>
      </x:c>
    </x:row>
    <x:row r="161" ht="24" customHeight="1">
      <x:c r="A161" s="82" t="n">
        <x:v>157</x:v>
      </x:c>
      <x:c r="B161" s="82" t="str">
        <x:v>Jonas Rickaert</x:v>
      </x:c>
      <x:c r="C161" s="143" t="str"/>
      <x:c r="D161" s="82" t="str">
        <x:v>ベルギー</x:v>
      </x:c>
      <x:c r="E161" s="82" t="str">
        <x:v>現役</x:v>
      </x:c>
      <x:c r="F161" s="82" t="str">
        <x:v>スプリンター</x:v>
      </x:c>
      <x:c r="G161" s="82" t="str">
        <x:v>クライマー</x:v>
      </x:c>
      <x:c r="H161" s="85" t="n">
        <x:v>73</x:v>
      </x:c>
      <x:c r="I161" s="85" t="n">
        <x:v>69</x:v>
      </x:c>
      <x:c r="J161" s="91" t="str">
        <x:v>ロードキャプテン / 山岳賞ハンター / リードアウト / 最終発射台 / スプリントトレイン</x:v>
      </x:c>
      <x:c r="K161" s="91" t="str"/>
      <x:c r="L161" s="91" t="str">
        <x:v>スプリンター / クライマー</x:v>
      </x:c>
      <x:c r="M161" s="88" t="n">
        <x:v>4350</x:v>
      </x:c>
      <x:c r="N161" s="85" t="n">
        <x:v>78</x:v>
      </x:c>
      <x:c r="O161" s="85" t="n">
        <x:v>80</x:v>
      </x:c>
      <x:c r="P161" s="85" t="n">
        <x:v>67</x:v>
      </x:c>
      <x:c r="Q161" s="85" t="n">
        <x:v>72</x:v>
      </x:c>
      <x:c r="R161" s="85" t="n">
        <x:v>58</x:v>
      </x:c>
      <x:c r="S161" s="85" t="n">
        <x:v>62</x:v>
      </x:c>
      <x:c r="T161" s="85" t="n">
        <x:v>62</x:v>
      </x:c>
      <x:c r="U161" s="85" t="n">
        <x:v>67</x:v>
      </x:c>
      <x:c r="V161" s="85" t="n">
        <x:v>70</x:v>
      </x:c>
      <x:c r="W161" s="85" t="n">
        <x:v>51</x:v>
      </x:c>
      <x:c r="X161" s="85" t="n">
        <x:v>69</x:v>
      </x:c>
      <x:c r="Y161" s="85" t="n">
        <x:v>61</x:v>
      </x:c>
      <x:c r="Z161" s="85" t="n">
        <x:v>69</x:v>
      </x:c>
      <x:c r="AA161" s="85" t="n">
        <x:v>74</x:v>
      </x:c>
      <x:c r="AB161" s="85" t="n">
        <x:v>63</x:v>
      </x:c>
      <x:c r="AC161" s="82" t="n">
        <x:v>0</x:v>
      </x:c>
      <x:c r="AD161" s="82" t="n">
        <x:v>0</x:v>
      </x:c>
      <x:c r="AE161" s="82" t="n">
        <x:v>0</x:v>
      </x:c>
      <x:c r="AF161" s="82" t="n">
        <x:v>0</x:v>
      </x:c>
      <x:c r="AG161" s="91" t="str">
        <x:v>要実績照合</x:v>
      </x:c>
      <x:c r="AH161" s="91" t="str">
        <x:v>現役300名補充時の脚質暫定値。パリ〜ルーベ／ロンド個人成績の追加照合が必要</x:v>
      </x:c>
      <x:c r="AI161" s="91" t="str">
        <x:v>https://www.paris-roubaix.fr/en/history</x:v>
      </x:c>
      <x:c r="AJ161" s="91" t="str">
        <x:v>能力・適性・Credit整合済</x:v>
      </x:c>
      <x:c r="AK16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1" s="91" t="str">
        <x:v>https://en.wikipedia.org/wiki/Jonas_Rickaert</x:v>
      </x:c>
    </x:row>
    <x:row r="162" ht="24" customHeight="1">
      <x:c r="A162" s="82" t="n">
        <x:v>158</x:v>
      </x:c>
      <x:c r="B162" s="82" t="str">
        <x:v>Carlos Canal</x:v>
      </x:c>
      <x:c r="C162" s="143" t="str"/>
      <x:c r="D162" s="82" t="str">
        <x:v>スペイン</x:v>
      </x:c>
      <x:c r="E162" s="82" t="str">
        <x:v>現役</x:v>
      </x:c>
      <x:c r="F162" s="82" t="str">
        <x:v>パンチャー</x:v>
      </x:c>
      <x:c r="G162" s="82" t="str">
        <x:v>スプリンター</x:v>
      </x:c>
      <x:c r="H162" s="85" t="n">
        <x:v>73</x:v>
      </x:c>
      <x:c r="I162" s="85" t="n">
        <x:v>68</x:v>
      </x:c>
      <x:c r="J162" s="91" t="str">
        <x:v>ステージハンター / 山岳賞ハンター / スプリントトレイン / カウンターアタッカー</x:v>
      </x:c>
      <x:c r="K162" s="91" t="str"/>
      <x:c r="L162" s="91" t="str">
        <x:v>パンチャー / スプリンター</x:v>
      </x:c>
      <x:c r="M162" s="88" t="n">
        <x:v>4300</x:v>
      </x:c>
      <x:c r="N162" s="85" t="n">
        <x:v>66</x:v>
      </x:c>
      <x:c r="O162" s="85" t="n">
        <x:v>76</x:v>
      </x:c>
      <x:c r="P162" s="85" t="n">
        <x:v>76</x:v>
      </x:c>
      <x:c r="Q162" s="85" t="n">
        <x:v>66</x:v>
      </x:c>
      <x:c r="R162" s="85" t="n">
        <x:v>72</x:v>
      </x:c>
      <x:c r="S162" s="85" t="n">
        <x:v>67</x:v>
      </x:c>
      <x:c r="T162" s="85" t="n">
        <x:v>64</x:v>
      </x:c>
      <x:c r="U162" s="85" t="n">
        <x:v>71</x:v>
      </x:c>
      <x:c r="V162" s="85" t="n">
        <x:v>70</x:v>
      </x:c>
      <x:c r="W162" s="85" t="n">
        <x:v>58</x:v>
      </x:c>
      <x:c r="X162" s="85" t="n">
        <x:v>69</x:v>
      </x:c>
      <x:c r="Y162" s="85" t="n">
        <x:v>67</x:v>
      </x:c>
      <x:c r="Z162" s="85" t="n">
        <x:v>62</x:v>
      </x:c>
      <x:c r="AA162" s="85" t="n">
        <x:v>76</x:v>
      </x:c>
      <x:c r="AB162" s="85" t="n">
        <x:v>74</x:v>
      </x:c>
      <x:c r="AC162" s="82" t="n">
        <x:v>0</x:v>
      </x:c>
      <x:c r="AD162" s="82" t="n">
        <x:v>0</x:v>
      </x:c>
      <x:c r="AE162" s="82" t="n">
        <x:v>0</x:v>
      </x:c>
      <x:c r="AF162" s="82" t="n">
        <x:v>0</x:v>
      </x:c>
      <x:c r="AG162" s="91" t="str">
        <x:v>要実績照合</x:v>
      </x:c>
      <x:c r="AH162" s="91" t="str">
        <x:v>現役300名補充時の脚質暫定値。パリ〜ルーベ／ロンド個人成績の追加照合が必要</x:v>
      </x:c>
      <x:c r="AI162" s="91" t="str">
        <x:v>https://www.paris-roubaix.fr/en/history</x:v>
      </x:c>
      <x:c r="AJ162" s="91" t="str">
        <x:v>能力・適性・Credit整合済</x:v>
      </x:c>
      <x:c r="AK16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2" s="91" t="str">
        <x:v>https://en.wikipedia.org/wiki/Carlos_Canal</x:v>
      </x:c>
    </x:row>
    <x:row r="163" ht="24" customHeight="1">
      <x:c r="A163" s="82" t="n">
        <x:v>159</x:v>
      </x:c>
      <x:c r="B163" s="82" t="str">
        <x:v>Antoine L'Hote</x:v>
      </x:c>
      <x:c r="C163" s="143" t="str"/>
      <x:c r="D163" s="82" t="str">
        <x:v>フランス</x:v>
      </x:c>
      <x:c r="E163" s="82" t="str">
        <x:v>現役</x:v>
      </x:c>
      <x:c r="F163" s="82" t="str">
        <x:v>パンチャー</x:v>
      </x:c>
      <x:c r="G163" s="82" t="str">
        <x:v>クラシック型</x:v>
      </x:c>
      <x:c r="H163" s="85" t="n">
        <x:v>73</x:v>
      </x:c>
      <x:c r="I163" s="85" t="n">
        <x:v>69</x:v>
      </x:c>
      <x:c r="J163" s="91" t="str">
        <x:v>ステージハンター / 山岳賞ハンター</x:v>
      </x:c>
      <x:c r="K163" s="91" t="str"/>
      <x:c r="L163" s="91" t="str">
        <x:v>パンチャー / クラシック型</x:v>
      </x:c>
      <x:c r="M163" s="88" t="n">
        <x:v>4300</x:v>
      </x:c>
      <x:c r="N163" s="85" t="n">
        <x:v>65</x:v>
      </x:c>
      <x:c r="O163" s="85" t="n">
        <x:v>73</x:v>
      </x:c>
      <x:c r="P163" s="85" t="n">
        <x:v>80</x:v>
      </x:c>
      <x:c r="Q163" s="85" t="n">
        <x:v>65</x:v>
      </x:c>
      <x:c r="R163" s="85" t="n">
        <x:v>71</x:v>
      </x:c>
      <x:c r="S163" s="85" t="n">
        <x:v>65</x:v>
      </x:c>
      <x:c r="T163" s="85" t="n">
        <x:v>65</x:v>
      </x:c>
      <x:c r="U163" s="85" t="n">
        <x:v>67</x:v>
      </x:c>
      <x:c r="V163" s="85" t="n">
        <x:v>73</x:v>
      </x:c>
      <x:c r="W163" s="85" t="n">
        <x:v>57</x:v>
      </x:c>
      <x:c r="X163" s="85" t="n">
        <x:v>65</x:v>
      </x:c>
      <x:c r="Y163" s="85" t="n">
        <x:v>66</x:v>
      </x:c>
      <x:c r="Z163" s="85" t="n">
        <x:v>67</x:v>
      </x:c>
      <x:c r="AA163" s="85" t="n">
        <x:v>71</x:v>
      </x:c>
      <x:c r="AB163" s="85" t="n">
        <x:v>73</x:v>
      </x:c>
      <x:c r="AC163" s="82" t="n">
        <x:v>0</x:v>
      </x:c>
      <x:c r="AD163" s="82" t="n">
        <x:v>0</x:v>
      </x:c>
      <x:c r="AE163" s="82" t="n">
        <x:v>0</x:v>
      </x:c>
      <x:c r="AF163" s="82" t="n">
        <x:v>0</x:v>
      </x:c>
      <x:c r="AG163" s="91" t="str">
        <x:v>要実績照合</x:v>
      </x:c>
      <x:c r="AH163" s="91" t="str">
        <x:v>現役300名補充時の脚質暫定値。パリ〜ルーベ／ロンド個人成績の追加照合が必要</x:v>
      </x:c>
      <x:c r="AI163" s="91" t="str">
        <x:v>https://www.paris-roubaix.fr/en/history</x:v>
      </x:c>
      <x:c r="AJ163" s="91" t="str">
        <x:v>能力・適性・Credit整合済</x:v>
      </x:c>
      <x:c r="AK163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3" s="91" t="str">
        <x:v>https://en.wikipedia.org/wiki/Antoine_L'Hote</x:v>
      </x:c>
    </x:row>
    <x:row r="164" ht="24" customHeight="1">
      <x:c r="A164" s="82" t="n">
        <x:v>160</x:v>
      </x:c>
      <x:c r="B164" s="82" t="str">
        <x:v>Daan Hoole</x:v>
      </x:c>
      <x:c r="C164" s="143" t="str"/>
      <x:c r="D164" s="82" t="str">
        <x:v>オランダ</x:v>
      </x:c>
      <x:c r="E164" s="82" t="str">
        <x:v>現役</x:v>
      </x:c>
      <x:c r="F164" s="82" t="str">
        <x:v>TT・ルーラー型</x:v>
      </x:c>
      <x:c r="G164" s="82" t="str">
        <x:v>パンチャー</x:v>
      </x:c>
      <x:c r="H164" s="85" t="n">
        <x:v>72</x:v>
      </x:c>
      <x:c r="I164" s="85" t="n">
        <x:v>79</x:v>
      </x:c>
      <x:c r="J164" s="91" t="str">
        <x:v>TTスペシャリスト / 平坦アシスト / 平坦ペースメーカー / 集団コントローラー / ブレイクアウェイキラー / 横風要員 / 逃げ屋</x:v>
      </x:c>
      <x:c r="K164" s="91" t="str"/>
      <x:c r="L164" s="91" t="str">
        <x:v>TT・ルーラー型 / パンチャー</x:v>
      </x:c>
      <x:c r="M164" s="88" t="n">
        <x:v>6250</x:v>
      </x:c>
      <x:c r="N164" s="85" t="n">
        <x:v>66</x:v>
      </x:c>
      <x:c r="O164" s="85" t="n">
        <x:v>67</x:v>
      </x:c>
      <x:c r="P164" s="85" t="n">
        <x:v>67</x:v>
      </x:c>
      <x:c r="Q164" s="85" t="n">
        <x:v>84</x:v>
      </x:c>
      <x:c r="R164" s="85" t="n">
        <x:v>71</x:v>
      </x:c>
      <x:c r="S164" s="85" t="n">
        <x:v>77</x:v>
      </x:c>
      <x:c r="T164" s="85" t="n">
        <x:v>73</x:v>
      </x:c>
      <x:c r="U164" s="85" t="n">
        <x:v>81</x:v>
      </x:c>
      <x:c r="V164" s="85" t="n">
        <x:v>71</x:v>
      </x:c>
      <x:c r="W164" s="85" t="n">
        <x:v>58</x:v>
      </x:c>
      <x:c r="X164" s="85" t="n">
        <x:v>72</x:v>
      </x:c>
      <x:c r="Y164" s="85" t="n">
        <x:v>72</x:v>
      </x:c>
      <x:c r="Z164" s="85" t="n">
        <x:v>81</x:v>
      </x:c>
      <x:c r="AA164" s="85" t="n">
        <x:v>66</x:v>
      </x:c>
      <x:c r="AB164" s="85" t="n">
        <x:v>67</x:v>
      </x:c>
      <x:c r="AC164" s="82" t="n">
        <x:v>0</x:v>
      </x:c>
      <x:c r="AD164" s="82" t="n">
        <x:v>0</x:v>
      </x:c>
      <x:c r="AE164" s="82" t="n">
        <x:v>0</x:v>
      </x:c>
      <x:c r="AF164" s="82" t="n">
        <x:v>0</x:v>
      </x:c>
      <x:c r="AG164" s="91" t="str">
        <x:v>要実績照合</x:v>
      </x:c>
      <x:c r="AH164" s="91" t="str">
        <x:v>現役300名補充時の脚質暫定値。パリ〜ルーベ／ロンド個人成績の追加照合が必要</x:v>
      </x:c>
      <x:c r="AI164" s="91" t="str">
        <x:v>https://www.paris-roubaix.fr/en/history</x:v>
      </x:c>
      <x:c r="AJ164" s="91" t="str">
        <x:v>能力・適性・Credit整合済</x:v>
      </x:c>
      <x:c r="AK164" s="91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4" s="91" t="str">
        <x:v>https://en.wikipedia.org/wiki/Daan_Hoole</x:v>
      </x:c>
    </x:row>
    <x:row r="165" ht="24" customHeight="1">
      <x:c r="A165" s="82" t="n">
        <x:v>161</x:v>
      </x:c>
      <x:c r="B165" s="82" t="str">
        <x:v>Ben Turner (cyclist)</x:v>
      </x:c>
      <x:c r="C165" s="143" t="str"/>
      <x:c r="D165" s="82" t="str">
        <x:v>イギリス</x:v>
      </x:c>
      <x:c r="E165" s="82" t="str">
        <x:v>現役</x:v>
      </x:c>
      <x:c r="F165" s="82" t="str">
        <x:v>TT・ルーラー型</x:v>
      </x:c>
      <x:c r="G165" s="82" t="str">
        <x:v>パンチャー</x:v>
      </x:c>
      <x:c r="H165" s="85" t="n">
        <x:v>72</x:v>
      </x:c>
      <x:c r="I165" s="85" t="n">
        <x:v>80</x:v>
      </x:c>
      <x:c r="J165" s="91" t="str">
        <x:v>TTスペシャリスト / 平坦アシスト / 集団コントローラー / ブレイクアウェイキラー / トラブル復帰牽引</x:v>
      </x:c>
      <x:c r="K165" s="91" t="str"/>
      <x:c r="L165" s="91" t="str">
        <x:v>TT・ルーラー型 / パンチャー</x:v>
      </x:c>
      <x:c r="M165" s="88" t="n">
        <x:v>6050</x:v>
      </x:c>
      <x:c r="N165" s="85" t="n">
        <x:v>68</x:v>
      </x:c>
      <x:c r="O165" s="85" t="n">
        <x:v>64</x:v>
      </x:c>
      <x:c r="P165" s="85" t="n">
        <x:v>67</x:v>
      </x:c>
      <x:c r="Q165" s="85" t="n">
        <x:v>82</x:v>
      </x:c>
      <x:c r="R165" s="85" t="n">
        <x:v>68</x:v>
      </x:c>
      <x:c r="S165" s="85" t="n">
        <x:v>79</x:v>
      </x:c>
      <x:c r="T165" s="85" t="n">
        <x:v>78</x:v>
      </x:c>
      <x:c r="U165" s="85" t="n">
        <x:v>74</x:v>
      </x:c>
      <x:c r="V165" s="85" t="n">
        <x:v>72</x:v>
      </x:c>
      <x:c r="W165" s="85" t="n">
        <x:v>58</x:v>
      </x:c>
      <x:c r="X165" s="85" t="n">
        <x:v>71</x:v>
      </x:c>
      <x:c r="Y165" s="85" t="n">
        <x:v>73</x:v>
      </x:c>
      <x:c r="Z165" s="85" t="n">
        <x:v>80</x:v>
      </x:c>
      <x:c r="AA165" s="85" t="n">
        <x:v>66</x:v>
      </x:c>
      <x:c r="AB165" s="85" t="n">
        <x:v>65</x:v>
      </x:c>
      <x:c r="AC165" s="82" t="n">
        <x:v>0</x:v>
      </x:c>
      <x:c r="AD165" s="82" t="n">
        <x:v>0</x:v>
      </x:c>
      <x:c r="AE165" s="82" t="n">
        <x:v>0</x:v>
      </x:c>
      <x:c r="AF165" s="82" t="n">
        <x:v>0</x:v>
      </x:c>
      <x:c r="AG165" s="91" t="str">
        <x:v>要実績照合</x:v>
      </x:c>
      <x:c r="AH165" s="91" t="str">
        <x:v>現役300名補充時の脚質暫定値。パリ〜ルーベ／ロンド個人成績の追加照合が必要</x:v>
      </x:c>
      <x:c r="AI165" s="91" t="str">
        <x:v>https://www.paris-roubaix.fr/en/history</x:v>
      </x:c>
      <x:c r="AJ165" s="91" t="str">
        <x:v>能力・適性・Credit整合済</x:v>
      </x:c>
      <x:c r="AK165" s="91" t="str">
        <x:v>公開プロフィール脚質「Rouleur &lt;br/&gt;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5" s="91" t="str">
        <x:v>https://en.wikipedia.org/wiki/Ben_Turner_(cyclist)</x:v>
      </x:c>
    </x:row>
    <x:row r="166" ht="24" customHeight="1">
      <x:c r="A166" s="82" t="n">
        <x:v>162</x:v>
      </x:c>
      <x:c r="B166" s="82" t="str">
        <x:v>Dries De Bondt</x:v>
      </x:c>
      <x:c r="C166" s="143" t="str"/>
      <x:c r="D166" s="82" t="str">
        <x:v>ベルギー</x:v>
      </x:c>
      <x:c r="E166" s="82" t="str">
        <x:v>現役</x:v>
      </x:c>
      <x:c r="F166" s="82" t="str">
        <x:v>TT・ルーラー型</x:v>
      </x:c>
      <x:c r="G166" s="82" t="str">
        <x:v>クラシック型</x:v>
      </x:c>
      <x:c r="H166" s="85" t="n">
        <x:v>72</x:v>
      </x:c>
      <x:c r="I166" s="85" t="n">
        <x:v>79</x:v>
      </x:c>
      <x:c r="J166" s="91" t="str">
        <x:v>TTスペシャリスト / 平坦アシスト / 集団コントローラー / ブレイクアウェイキラー / 横風要員 / 逃げ屋 / ポジションキーパー</x:v>
      </x:c>
      <x:c r="K166" s="91" t="str"/>
      <x:c r="L166" s="91" t="str">
        <x:v>TT・ルーラー型 / クラシック型</x:v>
      </x:c>
      <x:c r="M166" s="88" t="n">
        <x:v>6000</x:v>
      </x:c>
      <x:c r="N166" s="85" t="n">
        <x:v>69</x:v>
      </x:c>
      <x:c r="O166" s="85" t="n">
        <x:v>68</x:v>
      </x:c>
      <x:c r="P166" s="85" t="n">
        <x:v>63</x:v>
      </x:c>
      <x:c r="Q166" s="85" t="n">
        <x:v>82</x:v>
      </x:c>
      <x:c r="R166" s="85" t="n">
        <x:v>65</x:v>
      </x:c>
      <x:c r="S166" s="85" t="n">
        <x:v>77</x:v>
      </x:c>
      <x:c r="T166" s="85" t="n">
        <x:v>72</x:v>
      </x:c>
      <x:c r="U166" s="85" t="n">
        <x:v>80</x:v>
      </x:c>
      <x:c r="V166" s="85" t="n">
        <x:v>68</x:v>
      </x:c>
      <x:c r="W166" s="85" t="n">
        <x:v>57</x:v>
      </x:c>
      <x:c r="X166" s="85" t="n">
        <x:v>72</x:v>
      </x:c>
      <x:c r="Y166" s="85" t="n">
        <x:v>69</x:v>
      </x:c>
      <x:c r="Z166" s="85" t="n">
        <x:v>84</x:v>
      </x:c>
      <x:c r="AA166" s="85" t="n">
        <x:v>65</x:v>
      </x:c>
      <x:c r="AB166" s="85" t="n">
        <x:v>67</x:v>
      </x:c>
      <x:c r="AC166" s="82" t="n">
        <x:v>0</x:v>
      </x:c>
      <x:c r="AD166" s="82" t="n">
        <x:v>0</x:v>
      </x:c>
      <x:c r="AE166" s="82" t="n">
        <x:v>0</x:v>
      </x:c>
      <x:c r="AF166" s="82" t="n">
        <x:v>0</x:v>
      </x:c>
      <x:c r="AG166" s="91" t="str">
        <x:v>要実績照合</x:v>
      </x:c>
      <x:c r="AH166" s="91" t="str">
        <x:v>現役300名補充時の脚質暫定値。パリ〜ルーベ／ロンド個人成績の追加照合が必要</x:v>
      </x:c>
      <x:c r="AI166" s="91" t="str">
        <x:v>https://www.paris-roubaix.fr/en/history</x:v>
      </x:c>
      <x:c r="AJ166" s="91" t="str">
        <x:v>能力・適性・Credit整合済</x:v>
      </x:c>
      <x:c r="AK166" s="91" t="str">
        <x:v>公開プロフィール脚質「Rouleur, Breakaway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6" s="91" t="str">
        <x:v>https://en.wikipedia.org/wiki/Dries_De_Bondt</x:v>
      </x:c>
    </x:row>
    <x:row r="167" ht="24" customHeight="1">
      <x:c r="A167" s="82" t="n">
        <x:v>163</x:v>
      </x:c>
      <x:c r="B167" s="82" t="str">
        <x:v>Bruno Armirail</x:v>
      </x:c>
      <x:c r="C167" s="143" t="str"/>
      <x:c r="D167" s="82" t="str">
        <x:v>フランス</x:v>
      </x:c>
      <x:c r="E167" s="82" t="str">
        <x:v>現役</x:v>
      </x:c>
      <x:c r="F167" s="82" t="str">
        <x:v>TT・ルーラー型</x:v>
      </x:c>
      <x:c r="G167" s="82" t="str">
        <x:v>スプリンター</x:v>
      </x:c>
      <x:c r="H167" s="85" t="n">
        <x:v>72</x:v>
      </x:c>
      <x:c r="I167" s="85" t="n">
        <x:v>79</x:v>
      </x:c>
      <x:c r="J167" s="91" t="str">
        <x:v>TTスペシャリスト / スプリントトレイン / 平坦アシスト / 集団コントローラー / ブレイクアウェイキラー</x:v>
      </x:c>
      <x:c r="K167" s="91" t="str"/>
      <x:c r="L167" s="91" t="str">
        <x:v>TT・ルーラー型 / スプリンター</x:v>
      </x:c>
      <x:c r="M167" s="88" t="n">
        <x:v>5950</x:v>
      </x:c>
      <x:c r="N167" s="85" t="n">
        <x:v>63</x:v>
      </x:c>
      <x:c r="O167" s="85" t="n">
        <x:v>63</x:v>
      </x:c>
      <x:c r="P167" s="85" t="n">
        <x:v>68</x:v>
      </x:c>
      <x:c r="Q167" s="85" t="n">
        <x:v>83</x:v>
      </x:c>
      <x:c r="R167" s="85" t="n">
        <x:v>69</x:v>
      </x:c>
      <x:c r="S167" s="85" t="n">
        <x:v>78</x:v>
      </x:c>
      <x:c r="T167" s="85" t="n">
        <x:v>75</x:v>
      </x:c>
      <x:c r="U167" s="85" t="n">
        <x:v>76</x:v>
      </x:c>
      <x:c r="V167" s="85" t="n">
        <x:v>68</x:v>
      </x:c>
      <x:c r="W167" s="85" t="n">
        <x:v>58</x:v>
      </x:c>
      <x:c r="X167" s="85" t="n">
        <x:v>67</x:v>
      </x:c>
      <x:c r="Y167" s="85" t="n">
        <x:v>73</x:v>
      </x:c>
      <x:c r="Z167" s="85" t="n">
        <x:v>83</x:v>
      </x:c>
      <x:c r="AA167" s="85" t="n">
        <x:v>67</x:v>
      </x:c>
      <x:c r="AB167" s="85" t="n">
        <x:v>66</x:v>
      </x:c>
      <x:c r="AC167" s="82" t="n">
        <x:v>0</x:v>
      </x:c>
      <x:c r="AD167" s="82" t="n">
        <x:v>0</x:v>
      </x:c>
      <x:c r="AE167" s="82" t="n">
        <x:v>0</x:v>
      </x:c>
      <x:c r="AF167" s="82" t="n">
        <x:v>0</x:v>
      </x:c>
      <x:c r="AG167" s="91" t="str">
        <x:v>要実績照合</x:v>
      </x:c>
      <x:c r="AH167" s="91" t="str">
        <x:v>現役300名補充時の脚質暫定値。パリ〜ルーベ／ロンド個人成績の追加照合が必要</x:v>
      </x:c>
      <x:c r="AI167" s="91" t="str">
        <x:v>https://www.paris-roubaix.fr/en/history</x:v>
      </x:c>
      <x:c r="AJ167" s="91" t="str">
        <x:v>能力・適性・Credit整合済</x:v>
      </x:c>
      <x:c r="AK16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7" s="91" t="str">
        <x:v>https://en.wikipedia.org/wiki/Bruno_Armirail</x:v>
      </x:c>
    </x:row>
    <x:row r="168" ht="24" customHeight="1">
      <x:c r="A168" s="82" t="n">
        <x:v>164</x:v>
      </x:c>
      <x:c r="B168" s="82" t="str">
        <x:v>Gleb Syritsa</x:v>
      </x:c>
      <x:c r="C168" s="143" t="str"/>
      <x:c r="D168" s="82" t="str">
        <x:v>RUS</x:v>
      </x:c>
      <x:c r="E168" s="82" t="str">
        <x:v>現役</x:v>
      </x:c>
      <x:c r="F168" s="82" t="str">
        <x:v>クラシック型</x:v>
      </x:c>
      <x:c r="G168" s="82" t="str">
        <x:v>クライマー</x:v>
      </x:c>
      <x:c r="H168" s="85" t="n">
        <x:v>72</x:v>
      </x:c>
      <x:c r="I168" s="85" t="n">
        <x:v>77</x:v>
      </x:c>
      <x:c r="J168" s="91" t="str">
        <x:v>山岳賞ハンター / 平坦アシスト / 石畳護衛 / ブレイクアウェイキラー / 横風要員 / 逃げ屋 / 横風分断</x:v>
      </x:c>
      <x:c r="K168" s="91" t="str"/>
      <x:c r="L168" s="91" t="str">
        <x:v>クラシック型 / クライマー</x:v>
      </x:c>
      <x:c r="M168" s="88" t="n">
        <x:v>5650</x:v>
      </x:c>
      <x:c r="N168" s="85" t="n">
        <x:v>75</x:v>
      </x:c>
      <x:c r="O168" s="85" t="n">
        <x:v>70</x:v>
      </x:c>
      <x:c r="P168" s="85" t="n">
        <x:v>73</x:v>
      </x:c>
      <x:c r="Q168" s="85" t="n">
        <x:v>75</x:v>
      </x:c>
      <x:c r="R168" s="85" t="n">
        <x:v>68</x:v>
      </x:c>
      <x:c r="S168" s="85" t="n">
        <x:v>72</x:v>
      </x:c>
      <x:c r="T168" s="85" t="n">
        <x:v>80</x:v>
      </x:c>
      <x:c r="U168" s="85" t="n">
        <x:v>76</x:v>
      </x:c>
      <x:c r="V168" s="85" t="n">
        <x:v>78</x:v>
      </x:c>
      <x:c r="W168" s="85" t="n">
        <x:v>73</x:v>
      </x:c>
      <x:c r="X168" s="85" t="n">
        <x:v>68</x:v>
      </x:c>
      <x:c r="Y168" s="85" t="n">
        <x:v>73</x:v>
      </x:c>
      <x:c r="Z168" s="85" t="n">
        <x:v>75</x:v>
      </x:c>
      <x:c r="AA168" s="85" t="n">
        <x:v>72</x:v>
      </x:c>
      <x:c r="AB168" s="85" t="n">
        <x:v>80</x:v>
      </x:c>
      <x:c r="AC168" s="82" t="n">
        <x:v>0</x:v>
      </x:c>
      <x:c r="AD168" s="82" t="n">
        <x:v>0</x:v>
      </x:c>
      <x:c r="AE168" s="82" t="n">
        <x:v>0</x:v>
      </x:c>
      <x:c r="AF168" s="82" t="n">
        <x:v>0</x:v>
      </x:c>
      <x:c r="AG168" s="91" t="str">
        <x:v>要実績照合</x:v>
      </x:c>
      <x:c r="AH168" s="91" t="str">
        <x:v>現役300名補充時の脚質暫定値。パリ〜ルーベ／ロンド個人成績の追加照合が必要</x:v>
      </x:c>
      <x:c r="AI168" s="91" t="str">
        <x:v>https://www.paris-roubaix.fr/en/history</x:v>
      </x:c>
      <x:c r="AJ168" s="91" t="str">
        <x:v>能力・適性・Credit整合済</x:v>
      </x:c>
      <x:c r="AK16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8" s="91" t="str">
        <x:v>https://en.wikipedia.org/wiki/Gleb_Syritsa</x:v>
      </x:c>
    </x:row>
    <x:row r="169" ht="24" customHeight="1">
      <x:c r="A169" s="82" t="n">
        <x:v>165</x:v>
      </x:c>
      <x:c r="B169" s="82" t="str">
        <x:v>Jarno Widar</x:v>
      </x:c>
      <x:c r="C169" s="143" t="str"/>
      <x:c r="D169" s="82" t="str">
        <x:v>ベルギー</x:v>
      </x:c>
      <x:c r="E169" s="82" t="str">
        <x:v>現役</x:v>
      </x:c>
      <x:c r="F169" s="82" t="str">
        <x:v>クライマー</x:v>
      </x:c>
      <x:c r="G169" s="82" t="str">
        <x:v>スプリンター</x:v>
      </x:c>
      <x:c r="H169" s="85" t="n">
        <x:v>72</x:v>
      </x:c>
      <x:c r="I169" s="85" t="n">
        <x:v>74</x:v>
      </x:c>
      <x:c r="J169" s="91" t="str">
        <x:v>山岳賞ハンター / スプリントトレイン / 山岳アシスト / 山岳番手</x:v>
      </x:c>
      <x:c r="K169" s="91" t="str"/>
      <x:c r="L169" s="91" t="str">
        <x:v>クライマー / スプリンター</x:v>
      </x:c>
      <x:c r="M169" s="88" t="n">
        <x:v>5500</x:v>
      </x:c>
      <x:c r="N169" s="85" t="n">
        <x:v>59</x:v>
      </x:c>
      <x:c r="O169" s="85" t="n">
        <x:v>65</x:v>
      </x:c>
      <x:c r="P169" s="85" t="n">
        <x:v>71</x:v>
      </x:c>
      <x:c r="Q169" s="85" t="n">
        <x:v>62</x:v>
      </x:c>
      <x:c r="R169" s="85" t="n">
        <x:v>79</x:v>
      </x:c>
      <x:c r="S169" s="85" t="n">
        <x:v>80</x:v>
      </x:c>
      <x:c r="T169" s="85" t="n">
        <x:v>71</x:v>
      </x:c>
      <x:c r="U169" s="85" t="n">
        <x:v>68</x:v>
      </x:c>
      <x:c r="V169" s="85" t="n">
        <x:v>71</x:v>
      </x:c>
      <x:c r="W169" s="85" t="n">
        <x:v>52</x:v>
      </x:c>
      <x:c r="X169" s="85" t="n">
        <x:v>76</x:v>
      </x:c>
      <x:c r="Y169" s="85" t="n">
        <x:v>75</x:v>
      </x:c>
      <x:c r="Z169" s="85" t="n">
        <x:v>72</x:v>
      </x:c>
      <x:c r="AA169" s="85" t="n">
        <x:v>71</x:v>
      </x:c>
      <x:c r="AB169" s="85" t="n">
        <x:v>72</x:v>
      </x:c>
      <x:c r="AC169" s="82" t="n">
        <x:v>0</x:v>
      </x:c>
      <x:c r="AD169" s="82" t="n">
        <x:v>0</x:v>
      </x:c>
      <x:c r="AE169" s="82" t="n">
        <x:v>0</x:v>
      </x:c>
      <x:c r="AF169" s="82" t="n">
        <x:v>0</x:v>
      </x:c>
      <x:c r="AG169" s="91" t="str">
        <x:v>要実績照合</x:v>
      </x:c>
      <x:c r="AH169" s="91" t="str">
        <x:v>現役300名補充時の脚質暫定値。パリ〜ルーベ／ロンド個人成績の追加照合が必要</x:v>
      </x:c>
      <x:c r="AI169" s="91" t="str">
        <x:v>https://www.paris-roubaix.fr/en/history</x:v>
      </x:c>
      <x:c r="AJ169" s="91" t="str">
        <x:v>能力・適性・Credit整合済</x:v>
      </x:c>
      <x:c r="AK169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69" s="91" t="str">
        <x:v>https://en.wikipedia.org/wiki/Jarno_Widar</x:v>
      </x:c>
    </x:row>
    <x:row r="170" ht="24" customHeight="1">
      <x:c r="A170" s="82" t="n">
        <x:v>166</x:v>
      </x:c>
      <x:c r="B170" s="82" t="str">
        <x:v>Dries De Pooter</x:v>
      </x:c>
      <x:c r="C170" s="143" t="str"/>
      <x:c r="D170" s="82" t="str">
        <x:v>ベルギー</x:v>
      </x:c>
      <x:c r="E170" s="82" t="str">
        <x:v>現役</x:v>
      </x:c>
      <x:c r="F170" s="82" t="str">
        <x:v>クラシック型</x:v>
      </x:c>
      <x:c r="G170" s="82" t="str">
        <x:v>スプリンター</x:v>
      </x:c>
      <x:c r="H170" s="85" t="n">
        <x:v>72</x:v>
      </x:c>
      <x:c r="I170" s="85" t="n">
        <x:v>76</x:v>
      </x:c>
      <x:c r="J170" s="91" t="str">
        <x:v>スプリントトレイン / 石畳護衛 / ポジションキーパー</x:v>
      </x:c>
      <x:c r="K170" s="91" t="str"/>
      <x:c r="L170" s="91" t="str">
        <x:v>クラシック型 / スプリンター</x:v>
      </x:c>
      <x:c r="M170" s="88" t="n">
        <x:v>5300</x:v>
      </x:c>
      <x:c r="N170" s="85" t="n">
        <x:v>74</x:v>
      </x:c>
      <x:c r="O170" s="85" t="n">
        <x:v>70</x:v>
      </x:c>
      <x:c r="P170" s="85" t="n">
        <x:v>71</x:v>
      </x:c>
      <x:c r="Q170" s="85" t="n">
        <x:v>72</x:v>
      </x:c>
      <x:c r="R170" s="85" t="n">
        <x:v>65</x:v>
      </x:c>
      <x:c r="S170" s="85" t="n">
        <x:v>74</x:v>
      </x:c>
      <x:c r="T170" s="85" t="n">
        <x:v>79</x:v>
      </x:c>
      <x:c r="U170" s="85" t="n">
        <x:v>78</x:v>
      </x:c>
      <x:c r="V170" s="85" t="n">
        <x:v>78</x:v>
      </x:c>
      <x:c r="W170" s="85" t="n">
        <x:v>71</x:v>
      </x:c>
      <x:c r="X170" s="85" t="n">
        <x:v>72</x:v>
      </x:c>
      <x:c r="Y170" s="85" t="n">
        <x:v>68</x:v>
      </x:c>
      <x:c r="Z170" s="85" t="n">
        <x:v>73</x:v>
      </x:c>
      <x:c r="AA170" s="85" t="n">
        <x:v>68</x:v>
      </x:c>
      <x:c r="AB170" s="85" t="n">
        <x:v>73</x:v>
      </x:c>
      <x:c r="AC170" s="82" t="n">
        <x:v>0</x:v>
      </x:c>
      <x:c r="AD170" s="82" t="n">
        <x:v>0</x:v>
      </x:c>
      <x:c r="AE170" s="82" t="n">
        <x:v>0</x:v>
      </x:c>
      <x:c r="AF170" s="82" t="n">
        <x:v>0</x:v>
      </x:c>
      <x:c r="AG170" s="91" t="str">
        <x:v>要実績照合</x:v>
      </x:c>
      <x:c r="AH170" s="91" t="str">
        <x:v>現役300名補充時の脚質暫定値。パリ〜ルーベ／ロンド個人成績の追加照合が必要</x:v>
      </x:c>
      <x:c r="AI170" s="91" t="str">
        <x:v>https://www.paris-roubaix.fr/en/history</x:v>
      </x:c>
      <x:c r="AJ170" s="91" t="str">
        <x:v>能力・適性・Credit整合済</x:v>
      </x:c>
      <x:c r="AK17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0" s="91" t="str">
        <x:v>https://en.wikipedia.org/wiki/Dries_De_Pooter</x:v>
      </x:c>
    </x:row>
    <x:row r="171" ht="24" customHeight="1">
      <x:c r="A171" s="82" t="n">
        <x:v>167</x:v>
      </x:c>
      <x:c r="B171" s="82" t="str">
        <x:v>Markus Hoelgaard</x:v>
      </x:c>
      <x:c r="C171" s="143" t="str"/>
      <x:c r="D171" s="82" t="str">
        <x:v>ノルウェー</x:v>
      </x:c>
      <x:c r="E171" s="82" t="str">
        <x:v>現役</x:v>
      </x:c>
      <x:c r="F171" s="82" t="str">
        <x:v>クラシック型</x:v>
      </x:c>
      <x:c r="G171" s="82" t="str">
        <x:v>総合型</x:v>
      </x:c>
      <x:c r="H171" s="85" t="n">
        <x:v>72</x:v>
      </x:c>
      <x:c r="I171" s="85" t="n">
        <x:v>75</x:v>
      </x:c>
      <x:c r="J171" s="91" t="str">
        <x:v>石畳護衛 / 集団コントローラー</x:v>
      </x:c>
      <x:c r="K171" s="91" t="str"/>
      <x:c r="L171" s="91" t="str">
        <x:v>クラシック型 / 総合型</x:v>
      </x:c>
      <x:c r="M171" s="88" t="n">
        <x:v>5050</x:v>
      </x:c>
      <x:c r="N171" s="85" t="n">
        <x:v>74</x:v>
      </x:c>
      <x:c r="O171" s="85" t="n">
        <x:v>69</x:v>
      </x:c>
      <x:c r="P171" s="85" t="n">
        <x:v>70</x:v>
      </x:c>
      <x:c r="Q171" s="85" t="n">
        <x:v>72</x:v>
      </x:c>
      <x:c r="R171" s="85" t="n">
        <x:v>60</x:v>
      </x:c>
      <x:c r="S171" s="85" t="n">
        <x:v>75</x:v>
      </x:c>
      <x:c r="T171" s="85" t="n">
        <x:v>74</x:v>
      </x:c>
      <x:c r="U171" s="85" t="n">
        <x:v>72</x:v>
      </x:c>
      <x:c r="V171" s="85" t="n">
        <x:v>79</x:v>
      </x:c>
      <x:c r="W171" s="85" t="n">
        <x:v>74</x:v>
      </x:c>
      <x:c r="X171" s="85" t="n">
        <x:v>68</x:v>
      </x:c>
      <x:c r="Y171" s="85" t="n">
        <x:v>69</x:v>
      </x:c>
      <x:c r="Z171" s="85" t="n">
        <x:v>74</x:v>
      </x:c>
      <x:c r="AA171" s="85" t="n">
        <x:v>67</x:v>
      </x:c>
      <x:c r="AB171" s="85" t="n">
        <x:v>74</x:v>
      </x:c>
      <x:c r="AC171" s="82" t="n">
        <x:v>0</x:v>
      </x:c>
      <x:c r="AD171" s="82" t="n">
        <x:v>0</x:v>
      </x:c>
      <x:c r="AE171" s="82" t="n">
        <x:v>0</x:v>
      </x:c>
      <x:c r="AF171" s="82" t="n">
        <x:v>0</x:v>
      </x:c>
      <x:c r="AG171" s="91" t="str">
        <x:v>要実績照合</x:v>
      </x:c>
      <x:c r="AH171" s="91" t="str">
        <x:v>現役300名補充時の脚質暫定値。パリ〜ルーベ／ロンド個人成績の追加照合が必要</x:v>
      </x:c>
      <x:c r="AI171" s="91" t="str">
        <x:v>https://www.paris-roubaix.fr/en/history</x:v>
      </x:c>
      <x:c r="AJ171" s="91" t="str">
        <x:v>能力・適性・Credit整合済</x:v>
      </x:c>
      <x:c r="AK17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1" s="91" t="str">
        <x:v>https://en.wikipedia.org/wiki/Markus_Hoelgaard</x:v>
      </x:c>
    </x:row>
    <x:row r="172" ht="24" customHeight="1">
      <x:c r="A172" s="82" t="n">
        <x:v>168</x:v>
      </x:c>
      <x:c r="B172" s="82" t="str">
        <x:v>Afonso Eulálio</x:v>
      </x:c>
      <x:c r="C172" s="143" t="str"/>
      <x:c r="D172" s="82" t="str">
        <x:v>ポルトガル</x:v>
      </x:c>
      <x:c r="E172" s="82" t="str">
        <x:v>現役</x:v>
      </x:c>
      <x:c r="F172" s="82" t="str">
        <x:v>クライマー</x:v>
      </x:c>
      <x:c r="G172" s="82" t="str">
        <x:v>総合型</x:v>
      </x:c>
      <x:c r="H172" s="85" t="n">
        <x:v>72</x:v>
      </x:c>
      <x:c r="I172" s="85" t="n">
        <x:v>74</x:v>
      </x:c>
      <x:c r="J172" s="91" t="str">
        <x:v>山岳賞ハンター / 山岳アシスト / 山岳ペースメーカー / 集団コントローラー</x:v>
      </x:c>
      <x:c r="K172" s="91" t="str"/>
      <x:c r="L172" s="91" t="str">
        <x:v>クライマー / 総合型</x:v>
      </x:c>
      <x:c r="M172" s="88" t="n">
        <x:v>5050</x:v>
      </x:c>
      <x:c r="N172" s="85" t="n">
        <x:v>57</x:v>
      </x:c>
      <x:c r="O172" s="85" t="n">
        <x:v>63</x:v>
      </x:c>
      <x:c r="P172" s="85" t="n">
        <x:v>68</x:v>
      </x:c>
      <x:c r="Q172" s="85" t="n">
        <x:v>65</x:v>
      </x:c>
      <x:c r="R172" s="85" t="n">
        <x:v>81</x:v>
      </x:c>
      <x:c r="S172" s="85" t="n">
        <x:v>73</x:v>
      </x:c>
      <x:c r="T172" s="85" t="n">
        <x:v>72</x:v>
      </x:c>
      <x:c r="U172" s="85" t="n">
        <x:v>63</x:v>
      </x:c>
      <x:c r="V172" s="85" t="n">
        <x:v>69</x:v>
      </x:c>
      <x:c r="W172" s="85" t="n">
        <x:v>56</x:v>
      </x:c>
      <x:c r="X172" s="85" t="n">
        <x:v>74</x:v>
      </x:c>
      <x:c r="Y172" s="85" t="n">
        <x:v>73</x:v>
      </x:c>
      <x:c r="Z172" s="85" t="n">
        <x:v>74</x:v>
      </x:c>
      <x:c r="AA172" s="85" t="n">
        <x:v>68</x:v>
      </x:c>
      <x:c r="AB172" s="85" t="n">
        <x:v>72</x:v>
      </x:c>
      <x:c r="AC172" s="82" t="n">
        <x:v>0</x:v>
      </x:c>
      <x:c r="AD172" s="82" t="n">
        <x:v>0</x:v>
      </x:c>
      <x:c r="AE172" s="82" t="n">
        <x:v>0</x:v>
      </x:c>
      <x:c r="AF172" s="82" t="n">
        <x:v>0</x:v>
      </x:c>
      <x:c r="AG172" s="91" t="str">
        <x:v>要実績照合</x:v>
      </x:c>
      <x:c r="AH172" s="91" t="str">
        <x:v>現役300名補充時の脚質暫定値。パリ〜ルーベ／ロンド個人成績の追加照合が必要</x:v>
      </x:c>
      <x:c r="AI172" s="91" t="str">
        <x:v>https://www.paris-roubaix.fr/en/history</x:v>
      </x:c>
      <x:c r="AJ172" s="91" t="str">
        <x:v>能力・適性・Credit整合済</x:v>
      </x:c>
      <x:c r="AK172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2" s="91" t="str">
        <x:v>https://en.wikipedia.org/wiki/Afonso_Eul%C3%A1lio</x:v>
      </x:c>
    </x:row>
    <x:row r="173" ht="24" customHeight="1">
      <x:c r="A173" s="82" t="n">
        <x:v>169</x:v>
      </x:c>
      <x:c r="B173" s="82" t="str">
        <x:v>Chris Hamilton (cyclist)</x:v>
      </x:c>
      <x:c r="C173" s="143" t="str"/>
      <x:c r="D173" s="82" t="str">
        <x:v>オーストラリア</x:v>
      </x:c>
      <x:c r="E173" s="82" t="str">
        <x:v>現役</x:v>
      </x:c>
      <x:c r="F173" s="82" t="str">
        <x:v>クライマー</x:v>
      </x:c>
      <x:c r="G173" s="82" t="str">
        <x:v>総合型</x:v>
      </x:c>
      <x:c r="H173" s="85" t="n">
        <x:v>72</x:v>
      </x:c>
      <x:c r="I173" s="85" t="n">
        <x:v>76</x:v>
      </x:c>
      <x:c r="J173" s="91" t="str">
        <x:v>ロードキャプテン / 山岳アシスト / 山岳ペースメーカー / 集団コントローラー / サテライトライダー</x:v>
      </x:c>
      <x:c r="K173" s="91" t="str"/>
      <x:c r="L173" s="91" t="str">
        <x:v>クライマー / 総合型</x:v>
      </x:c>
      <x:c r="M173" s="88" t="n">
        <x:v>5000</x:v>
      </x:c>
      <x:c r="N173" s="85" t="n">
        <x:v>57</x:v>
      </x:c>
      <x:c r="O173" s="85" t="n">
        <x:v>65</x:v>
      </x:c>
      <x:c r="P173" s="85" t="n">
        <x:v>68</x:v>
      </x:c>
      <x:c r="Q173" s="85" t="n">
        <x:v>66</x:v>
      </x:c>
      <x:c r="R173" s="85" t="n">
        <x:v>77</x:v>
      </x:c>
      <x:c r="S173" s="85" t="n">
        <x:v>72</x:v>
      </x:c>
      <x:c r="T173" s="85" t="n">
        <x:v>71</x:v>
      </x:c>
      <x:c r="U173" s="85" t="n">
        <x:v>66</x:v>
      </x:c>
      <x:c r="V173" s="85" t="n">
        <x:v>70</x:v>
      </x:c>
      <x:c r="W173" s="85" t="n">
        <x:v>57</x:v>
      </x:c>
      <x:c r="X173" s="85" t="n">
        <x:v>76</x:v>
      </x:c>
      <x:c r="Y173" s="85" t="n">
        <x:v>76</x:v>
      </x:c>
      <x:c r="Z173" s="85" t="n">
        <x:v>75</x:v>
      </x:c>
      <x:c r="AA173" s="85" t="n">
        <x:v>69</x:v>
      </x:c>
      <x:c r="AB173" s="85" t="n">
        <x:v>71</x:v>
      </x:c>
      <x:c r="AC173" s="82" t="n">
        <x:v>0</x:v>
      </x:c>
      <x:c r="AD173" s="82" t="n">
        <x:v>0</x:v>
      </x:c>
      <x:c r="AE173" s="82" t="n">
        <x:v>0</x:v>
      </x:c>
      <x:c r="AF173" s="82" t="n">
        <x:v>0</x:v>
      </x:c>
      <x:c r="AG173" s="91" t="str">
        <x:v>要実績照合</x:v>
      </x:c>
      <x:c r="AH173" s="91" t="str">
        <x:v>現役300名補充時の脚質暫定値。パリ〜ルーベ／ロンド個人成績の追加照合が必要</x:v>
      </x:c>
      <x:c r="AI173" s="91" t="str">
        <x:v>https://www.paris-roubaix.fr/en/history</x:v>
      </x:c>
      <x:c r="AJ173" s="91" t="str">
        <x:v>能力・適性・Credit整合済</x:v>
      </x:c>
      <x:c r="AK173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3" s="91" t="str">
        <x:v>https://en.wikipedia.org/wiki/Chris_Hamilton_(cyclist)</x:v>
      </x:c>
    </x:row>
    <x:row r="174" ht="24" customHeight="1">
      <x:c r="A174" s="82" t="n">
        <x:v>170</x:v>
      </x:c>
      <x:c r="B174" s="82" t="str">
        <x:v>Jonas Geens</x:v>
      </x:c>
      <x:c r="C174" s="143" t="str"/>
      <x:c r="D174" s="82" t="str">
        <x:v>ベルギー</x:v>
      </x:c>
      <x:c r="E174" s="82" t="str">
        <x:v>現役</x:v>
      </x:c>
      <x:c r="F174" s="82" t="str">
        <x:v>クライマー</x:v>
      </x:c>
      <x:c r="G174" s="82" t="str">
        <x:v>スプリンター</x:v>
      </x:c>
      <x:c r="H174" s="85" t="n">
        <x:v>72</x:v>
      </x:c>
      <x:c r="I174" s="85" t="n">
        <x:v>75</x:v>
      </x:c>
      <x:c r="J174" s="91" t="str">
        <x:v>山岳賞ハンター / スプリントトレイン / 山岳アシスト / 山岳番手</x:v>
      </x:c>
      <x:c r="K174" s="91" t="str"/>
      <x:c r="L174" s="91" t="str">
        <x:v>クライマー / スプリンター</x:v>
      </x:c>
      <x:c r="M174" s="88" t="n">
        <x:v>4750</x:v>
      </x:c>
      <x:c r="N174" s="85" t="n">
        <x:v>56</x:v>
      </x:c>
      <x:c r="O174" s="85" t="n">
        <x:v>66</x:v>
      </x:c>
      <x:c r="P174" s="85" t="n">
        <x:v>67</x:v>
      </x:c>
      <x:c r="Q174" s="85" t="n">
        <x:v>64</x:v>
      </x:c>
      <x:c r="R174" s="85" t="n">
        <x:v>76</x:v>
      </x:c>
      <x:c r="S174" s="85" t="n">
        <x:v>75</x:v>
      </x:c>
      <x:c r="T174" s="85" t="n">
        <x:v>73</x:v>
      </x:c>
      <x:c r="U174" s="85" t="n">
        <x:v>61</x:v>
      </x:c>
      <x:c r="V174" s="85" t="n">
        <x:v>68</x:v>
      </x:c>
      <x:c r="W174" s="85" t="n">
        <x:v>52</x:v>
      </x:c>
      <x:c r="X174" s="85" t="n">
        <x:v>75</x:v>
      </x:c>
      <x:c r="Y174" s="85" t="n">
        <x:v>73</x:v>
      </x:c>
      <x:c r="Z174" s="85" t="n">
        <x:v>73</x:v>
      </x:c>
      <x:c r="AA174" s="85" t="n">
        <x:v>68</x:v>
      </x:c>
      <x:c r="AB174" s="85" t="n">
        <x:v>70</x:v>
      </x:c>
      <x:c r="AC174" s="82" t="n">
        <x:v>0</x:v>
      </x:c>
      <x:c r="AD174" s="82" t="n">
        <x:v>0</x:v>
      </x:c>
      <x:c r="AE174" s="82" t="n">
        <x:v>0</x:v>
      </x:c>
      <x:c r="AF174" s="82" t="n">
        <x:v>0</x:v>
      </x:c>
      <x:c r="AG174" s="91" t="str">
        <x:v>要実績照合</x:v>
      </x:c>
      <x:c r="AH174" s="91" t="str">
        <x:v>現役300名補充時の脚質暫定値。パリ〜ルーベ／ロンド個人成績の追加照合が必要</x:v>
      </x:c>
      <x:c r="AI174" s="91" t="str">
        <x:v>https://www.paris-roubaix.fr/en/history</x:v>
      </x:c>
      <x:c r="AJ174" s="91" t="str">
        <x:v>能力・適性・Credit整合済</x:v>
      </x:c>
      <x:c r="AK17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4" s="91" t="str">
        <x:v>https://en.wikipedia.org/wiki/Jonas_Geens</x:v>
      </x:c>
    </x:row>
    <x:row r="175" ht="24" customHeight="1">
      <x:c r="A175" s="82" t="n">
        <x:v>171</x:v>
      </x:c>
      <x:c r="B175" s="82" t="str">
        <x:v>Adrià Pericas</x:v>
      </x:c>
      <x:c r="C175" s="143" t="str"/>
      <x:c r="D175" s="82" t="str">
        <x:v>スペイン</x:v>
      </x:c>
      <x:c r="E175" s="82" t="str">
        <x:v>現役</x:v>
      </x:c>
      <x:c r="F175" s="82" t="str">
        <x:v>クラシック型</x:v>
      </x:c>
      <x:c r="G175" s="82" t="str">
        <x:v>パンチャー</x:v>
      </x:c>
      <x:c r="H175" s="85" t="n">
        <x:v>72</x:v>
      </x:c>
      <x:c r="I175" s="85" t="n">
        <x:v>74</x:v>
      </x:c>
      <x:c r="J175" s="91" t="str">
        <x:v>石畳護衛 / ブリッジャー</x:v>
      </x:c>
      <x:c r="K175" s="91" t="str"/>
      <x:c r="L175" s="91" t="str">
        <x:v>クラシック型 / パンチャー</x:v>
      </x:c>
      <x:c r="M175" s="88" t="n">
        <x:v>4600</x:v>
      </x:c>
      <x:c r="N175" s="85" t="n">
        <x:v>69</x:v>
      </x:c>
      <x:c r="O175" s="85" t="n">
        <x:v>72</x:v>
      </x:c>
      <x:c r="P175" s="85" t="n">
        <x:v>72</x:v>
      </x:c>
      <x:c r="Q175" s="85" t="n">
        <x:v>73</x:v>
      </x:c>
      <x:c r="R175" s="85" t="n">
        <x:v>62</x:v>
      </x:c>
      <x:c r="S175" s="85" t="n">
        <x:v>74</x:v>
      </x:c>
      <x:c r="T175" s="85" t="n">
        <x:v>72</x:v>
      </x:c>
      <x:c r="U175" s="85" t="n">
        <x:v>73</x:v>
      </x:c>
      <x:c r="V175" s="85" t="n">
        <x:v>77</x:v>
      </x:c>
      <x:c r="W175" s="85" t="n">
        <x:v>69</x:v>
      </x:c>
      <x:c r="X175" s="85" t="n">
        <x:v>65</x:v>
      </x:c>
      <x:c r="Y175" s="85" t="n">
        <x:v>68</x:v>
      </x:c>
      <x:c r="Z175" s="85" t="n">
        <x:v>70</x:v>
      </x:c>
      <x:c r="AA175" s="85" t="n">
        <x:v>68</x:v>
      </x:c>
      <x:c r="AB175" s="85" t="n">
        <x:v>71</x:v>
      </x:c>
      <x:c r="AC175" s="82" t="n">
        <x:v>0</x:v>
      </x:c>
      <x:c r="AD175" s="82" t="n">
        <x:v>0</x:v>
      </x:c>
      <x:c r="AE175" s="82" t="n">
        <x:v>0</x:v>
      </x:c>
      <x:c r="AF175" s="82" t="n">
        <x:v>0</x:v>
      </x:c>
      <x:c r="AG175" s="91" t="str">
        <x:v>要実績照合</x:v>
      </x:c>
      <x:c r="AH175" s="91" t="str">
        <x:v>現役300名補充時の脚質暫定値。パリ〜ルーベ／ロンド個人成績の追加照合が必要</x:v>
      </x:c>
      <x:c r="AI175" s="91" t="str">
        <x:v>https://www.paris-roubaix.fr/en/history</x:v>
      </x:c>
      <x:c r="AJ175" s="91" t="str">
        <x:v>能力・適性・Credit整合済</x:v>
      </x:c>
      <x:c r="AK17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5" s="91" t="str">
        <x:v>https://en.wikipedia.org/wiki/Adri%C3%A0_Pericas</x:v>
      </x:c>
    </x:row>
    <x:row r="176" ht="24" customHeight="1">
      <x:c r="A176" s="82" t="n">
        <x:v>172</x:v>
      </x:c>
      <x:c r="B176" s="82" t="str">
        <x:v>Gerben Thijssen</x:v>
      </x:c>
      <x:c r="C176" s="143" t="str"/>
      <x:c r="D176" s="82" t="str">
        <x:v>ベルギー</x:v>
      </x:c>
      <x:c r="E176" s="82" t="str">
        <x:v>現役</x:v>
      </x:c>
      <x:c r="F176" s="82" t="str">
        <x:v>スプリンター</x:v>
      </x:c>
      <x:c r="G176" s="82" t="str">
        <x:v>クラシック型</x:v>
      </x:c>
      <x:c r="H176" s="85" t="n">
        <x:v>72</x:v>
      </x:c>
      <x:c r="I176" s="85" t="n">
        <x:v>71</x:v>
      </x:c>
      <x:c r="J176" s="91" t="str">
        <x:v>ロードキャプテン / ステージハンター / リードアウト / 最終発射台</x:v>
      </x:c>
      <x:c r="K176" s="91" t="str"/>
      <x:c r="L176" s="91" t="str">
        <x:v>スプリンター / クラシック型</x:v>
      </x:c>
      <x:c r="M176" s="88" t="n">
        <x:v>4450</x:v>
      </x:c>
      <x:c r="N176" s="85" t="n">
        <x:v>80</x:v>
      </x:c>
      <x:c r="O176" s="85" t="n">
        <x:v>75</x:v>
      </x:c>
      <x:c r="P176" s="85" t="n">
        <x:v>68</x:v>
      </x:c>
      <x:c r="Q176" s="85" t="n">
        <x:v>70</x:v>
      </x:c>
      <x:c r="R176" s="85" t="n">
        <x:v>61</x:v>
      </x:c>
      <x:c r="S176" s="85" t="n">
        <x:v>68</x:v>
      </x:c>
      <x:c r="T176" s="85" t="n">
        <x:v>64</x:v>
      </x:c>
      <x:c r="U176" s="85" t="n">
        <x:v>67</x:v>
      </x:c>
      <x:c r="V176" s="85" t="n">
        <x:v>69</x:v>
      </x:c>
      <x:c r="W176" s="85" t="n">
        <x:v>54</x:v>
      </x:c>
      <x:c r="X176" s="85" t="n">
        <x:v>66</x:v>
      </x:c>
      <x:c r="Y176" s="85" t="n">
        <x:v>69</x:v>
      </x:c>
      <x:c r="Z176" s="85" t="n">
        <x:v>71</x:v>
      </x:c>
      <x:c r="AA176" s="85" t="n">
        <x:v>76</x:v>
      </x:c>
      <x:c r="AB176" s="85" t="n">
        <x:v>70</x:v>
      </x:c>
      <x:c r="AC176" s="82" t="n">
        <x:v>0</x:v>
      </x:c>
      <x:c r="AD176" s="82" t="n">
        <x:v>0</x:v>
      </x:c>
      <x:c r="AE176" s="82" t="n">
        <x:v>0</x:v>
      </x:c>
      <x:c r="AF176" s="82" t="n">
        <x:v>0</x:v>
      </x:c>
      <x:c r="AG176" s="91" t="str">
        <x:v>要実績照合</x:v>
      </x:c>
      <x:c r="AH176" s="91" t="str">
        <x:v>現役300名補充時の脚質暫定値。パリ〜ルーベ／ロンド個人成績の追加照合が必要</x:v>
      </x:c>
      <x:c r="AI176" s="91" t="str">
        <x:v>https://www.paris-roubaix.fr/en/history</x:v>
      </x:c>
      <x:c r="AJ176" s="91" t="str">
        <x:v>能力・適性・Credit整合済</x:v>
      </x:c>
      <x:c r="AK176" s="91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6" s="91" t="str">
        <x:v>https://en.wikipedia.org/wiki/Gerben_Thijssen</x:v>
      </x:c>
    </x:row>
    <x:row r="177" ht="24" customHeight="1">
      <x:c r="A177" s="82" t="n">
        <x:v>173</x:v>
      </x:c>
      <x:c r="B177" s="82" t="str">
        <x:v>Anders Foldager</x:v>
      </x:c>
      <x:c r="C177" s="143" t="str"/>
      <x:c r="D177" s="82" t="str">
        <x:v>デンマーク</x:v>
      </x:c>
      <x:c r="E177" s="82" t="str">
        <x:v>現役</x:v>
      </x:c>
      <x:c r="F177" s="82" t="str">
        <x:v>パンチャー</x:v>
      </x:c>
      <x:c r="G177" s="82" t="str">
        <x:v>クライマー</x:v>
      </x:c>
      <x:c r="H177" s="85" t="n">
        <x:v>72</x:v>
      </x:c>
      <x:c r="I177" s="85" t="n">
        <x:v>69</x:v>
      </x:c>
      <x:c r="J177" s="91" t="str">
        <x:v>ステージハンター / 山岳賞ハンター</x:v>
      </x:c>
      <x:c r="K177" s="91" t="str"/>
      <x:c r="L177" s="91" t="str">
        <x:v>パンチャー / クライマー</x:v>
      </x:c>
      <x:c r="M177" s="88" t="n">
        <x:v>4350</x:v>
      </x:c>
      <x:c r="N177" s="85" t="n">
        <x:v>69</x:v>
      </x:c>
      <x:c r="O177" s="85" t="n">
        <x:v>75</x:v>
      </x:c>
      <x:c r="P177" s="85" t="n">
        <x:v>78</x:v>
      </x:c>
      <x:c r="Q177" s="85" t="n">
        <x:v>68</x:v>
      </x:c>
      <x:c r="R177" s="85" t="n">
        <x:v>72</x:v>
      </x:c>
      <x:c r="S177" s="85" t="n">
        <x:v>68</x:v>
      </x:c>
      <x:c r="T177" s="85" t="n">
        <x:v>67</x:v>
      </x:c>
      <x:c r="U177" s="85" t="n">
        <x:v>69</x:v>
      </x:c>
      <x:c r="V177" s="85" t="n">
        <x:v>70</x:v>
      </x:c>
      <x:c r="W177" s="85" t="n">
        <x:v>54</x:v>
      </x:c>
      <x:c r="X177" s="85" t="n">
        <x:v>68</x:v>
      </x:c>
      <x:c r="Y177" s="85" t="n">
        <x:v>69</x:v>
      </x:c>
      <x:c r="Z177" s="85" t="n">
        <x:v>67</x:v>
      </x:c>
      <x:c r="AA177" s="85" t="n">
        <x:v>74</x:v>
      </x:c>
      <x:c r="AB177" s="85" t="n">
        <x:v>74</x:v>
      </x:c>
      <x:c r="AC177" s="82" t="n">
        <x:v>0</x:v>
      </x:c>
      <x:c r="AD177" s="82" t="n">
        <x:v>0</x:v>
      </x:c>
      <x:c r="AE177" s="82" t="n">
        <x:v>0</x:v>
      </x:c>
      <x:c r="AF177" s="82" t="n">
        <x:v>0</x:v>
      </x:c>
      <x:c r="AG177" s="91" t="str">
        <x:v>要実績照合</x:v>
      </x:c>
      <x:c r="AH177" s="91" t="str">
        <x:v>現役300名補充時の脚質暫定値。パリ〜ルーベ／ロンド個人成績の追加照合が必要</x:v>
      </x:c>
      <x:c r="AI177" s="91" t="str">
        <x:v>https://www.paris-roubaix.fr/en/history</x:v>
      </x:c>
      <x:c r="AJ177" s="91" t="str">
        <x:v>能力・適性・Credit整合済</x:v>
      </x:c>
      <x:c r="AK17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7" s="91" t="str">
        <x:v>https://en.wikipedia.org/wiki/Anders_Foldager</x:v>
      </x:c>
    </x:row>
    <x:row r="178" ht="24" customHeight="1">
      <x:c r="A178" s="82" t="n">
        <x:v>174</x:v>
      </x:c>
      <x:c r="B178" s="82" t="str">
        <x:v>Alberto Bruttomesso</x:v>
      </x:c>
      <x:c r="C178" s="143" t="str"/>
      <x:c r="D178" s="82" t="str">
        <x:v>イタリア</x:v>
      </x:c>
      <x:c r="E178" s="82" t="str">
        <x:v>現役</x:v>
      </x:c>
      <x:c r="F178" s="82" t="str">
        <x:v>クラシック型</x:v>
      </x:c>
      <x:c r="G178" s="82" t="str">
        <x:v>TT・ルーラー型</x:v>
      </x:c>
      <x:c r="H178" s="85" t="n">
        <x:v>72</x:v>
      </x:c>
      <x:c r="I178" s="85" t="n">
        <x:v>73</x:v>
      </x:c>
      <x:c r="J178" s="91" t="str">
        <x:v>石畳護衛 / 横風分断</x:v>
      </x:c>
      <x:c r="K178" s="91" t="str"/>
      <x:c r="L178" s="91" t="str">
        <x:v>クラシック型 / TT・ルーラー型</x:v>
      </x:c>
      <x:c r="M178" s="88" t="n">
        <x:v>4250</x:v>
      </x:c>
      <x:c r="N178" s="85" t="n">
        <x:v>71</x:v>
      </x:c>
      <x:c r="O178" s="85" t="n">
        <x:v>71</x:v>
      </x:c>
      <x:c r="P178" s="85" t="n">
        <x:v>72</x:v>
      </x:c>
      <x:c r="Q178" s="85" t="n">
        <x:v>74</x:v>
      </x:c>
      <x:c r="R178" s="85" t="n">
        <x:v>62</x:v>
      </x:c>
      <x:c r="S178" s="85" t="n">
        <x:v>69</x:v>
      </x:c>
      <x:c r="T178" s="85" t="n">
        <x:v>71</x:v>
      </x:c>
      <x:c r="U178" s="85" t="n">
        <x:v>77</x:v>
      </x:c>
      <x:c r="V178" s="85" t="n">
        <x:v>75</x:v>
      </x:c>
      <x:c r="W178" s="85" t="n">
        <x:v>67</x:v>
      </x:c>
      <x:c r="X178" s="85" t="n">
        <x:v>66</x:v>
      </x:c>
      <x:c r="Y178" s="85" t="n">
        <x:v>62</x:v>
      </x:c>
      <x:c r="Z178" s="85" t="n">
        <x:v>71</x:v>
      </x:c>
      <x:c r="AA178" s="85" t="n">
        <x:v>67</x:v>
      </x:c>
      <x:c r="AB178" s="85" t="n">
        <x:v>71</x:v>
      </x:c>
      <x:c r="AC178" s="82" t="n">
        <x:v>0</x:v>
      </x:c>
      <x:c r="AD178" s="82" t="n">
        <x:v>0</x:v>
      </x:c>
      <x:c r="AE178" s="82" t="n">
        <x:v>0</x:v>
      </x:c>
      <x:c r="AF178" s="82" t="n">
        <x:v>0</x:v>
      </x:c>
      <x:c r="AG178" s="91" t="str">
        <x:v>要実績照合</x:v>
      </x:c>
      <x:c r="AH178" s="91" t="str">
        <x:v>現役300名補充時の脚質暫定値。パリ〜ルーベ／ロンド個人成績の追加照合が必要</x:v>
      </x:c>
      <x:c r="AI178" s="91" t="str">
        <x:v>https://www.paris-roubaix.fr/en/history</x:v>
      </x:c>
      <x:c r="AJ178" s="91" t="str">
        <x:v>能力・適性・Credit整合済</x:v>
      </x:c>
      <x:c r="AK17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8" s="91" t="str">
        <x:v>https://en.wikipedia.org/wiki/Alberto_Bruttomesso</x:v>
      </x:c>
    </x:row>
    <x:row r="179" ht="24" customHeight="1">
      <x:c r="A179" s="82" t="n">
        <x:v>175</x:v>
      </x:c>
      <x:c r="B179" s="82" t="str">
        <x:v>Emiel Verstrynge</x:v>
      </x:c>
      <x:c r="C179" s="143" t="str"/>
      <x:c r="D179" s="82" t="str">
        <x:v>ベルギー</x:v>
      </x:c>
      <x:c r="E179" s="82" t="str">
        <x:v>現役</x:v>
      </x:c>
      <x:c r="F179" s="82" t="str">
        <x:v>パンチャー</x:v>
      </x:c>
      <x:c r="G179" s="82" t="str">
        <x:v>スプリンター</x:v>
      </x:c>
      <x:c r="H179" s="85" t="n">
        <x:v>72</x:v>
      </x:c>
      <x:c r="I179" s="85" t="n">
        <x:v>71</x:v>
      </x:c>
      <x:c r="J179" s="91" t="str">
        <x:v>ステージハンター / スプリントトレイン / 下り牽引</x:v>
      </x:c>
      <x:c r="K179" s="91" t="str"/>
      <x:c r="L179" s="91" t="str">
        <x:v>パンチャー / スプリンター</x:v>
      </x:c>
      <x:c r="M179" s="88" t="n">
        <x:v>4250</x:v>
      </x:c>
      <x:c r="N179" s="85" t="n">
        <x:v>70</x:v>
      </x:c>
      <x:c r="O179" s="85" t="n">
        <x:v>73</x:v>
      </x:c>
      <x:c r="P179" s="85" t="n">
        <x:v>76</x:v>
      </x:c>
      <x:c r="Q179" s="85" t="n">
        <x:v>67</x:v>
      </x:c>
      <x:c r="R179" s="85" t="n">
        <x:v>71</x:v>
      </x:c>
      <x:c r="S179" s="85" t="n">
        <x:v>64</x:v>
      </x:c>
      <x:c r="T179" s="85" t="n">
        <x:v>68</x:v>
      </x:c>
      <x:c r="U179" s="85" t="n">
        <x:v>69</x:v>
      </x:c>
      <x:c r="V179" s="85" t="n">
        <x:v>73</x:v>
      </x:c>
      <x:c r="W179" s="85" t="n">
        <x:v>55</x:v>
      </x:c>
      <x:c r="X179" s="85" t="n">
        <x:v>70</x:v>
      </x:c>
      <x:c r="Y179" s="85" t="n">
        <x:v>70</x:v>
      </x:c>
      <x:c r="Z179" s="85" t="n">
        <x:v>69</x:v>
      </x:c>
      <x:c r="AA179" s="85" t="n">
        <x:v>73</x:v>
      </x:c>
      <x:c r="AB179" s="85" t="n">
        <x:v>75</x:v>
      </x:c>
      <x:c r="AC179" s="82" t="n">
        <x:v>0</x:v>
      </x:c>
      <x:c r="AD179" s="82" t="n">
        <x:v>0</x:v>
      </x:c>
      <x:c r="AE179" s="82" t="n">
        <x:v>0</x:v>
      </x:c>
      <x:c r="AF179" s="82" t="n">
        <x:v>0</x:v>
      </x:c>
      <x:c r="AG179" s="91" t="str">
        <x:v>要実績照合</x:v>
      </x:c>
      <x:c r="AH179" s="91" t="str">
        <x:v>現役300名補充時の脚質暫定値。パリ〜ルーベ／ロンド個人成績の追加照合が必要</x:v>
      </x:c>
      <x:c r="AI179" s="91" t="str">
        <x:v>https://www.paris-roubaix.fr/en/history</x:v>
      </x:c>
      <x:c r="AJ179" s="91" t="str">
        <x:v>能力・適性・Credit整合済</x:v>
      </x:c>
      <x:c r="AK17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79" s="91" t="str">
        <x:v>https://en.wikipedia.org/wiki/Emiel_Verstrynge</x:v>
      </x:c>
    </x:row>
    <x:row r="180" ht="24" customHeight="1">
      <x:c r="A180" s="82" t="n">
        <x:v>176</x:v>
      </x:c>
      <x:c r="B180" s="82" t="str">
        <x:v>Davide Toneatti</x:v>
      </x:c>
      <x:c r="C180" s="143" t="str"/>
      <x:c r="D180" s="82" t="str">
        <x:v>イタリア</x:v>
      </x:c>
      <x:c r="E180" s="82" t="str">
        <x:v>現役</x:v>
      </x:c>
      <x:c r="F180" s="82" t="str">
        <x:v>クラシック型</x:v>
      </x:c>
      <x:c r="G180" s="82" t="str">
        <x:v>クライマー</x:v>
      </x:c>
      <x:c r="H180" s="85" t="n">
        <x:v>72</x:v>
      </x:c>
      <x:c r="I180" s="85" t="n">
        <x:v>73</x:v>
      </x:c>
      <x:c r="J180" s="91" t="str">
        <x:v>ステージハンター / 山岳賞ハンター / 石畳護衛</x:v>
      </x:c>
      <x:c r="K180" s="91" t="str"/>
      <x:c r="L180" s="91" t="str">
        <x:v>クラシック型 / クライマー</x:v>
      </x:c>
      <x:c r="M180" s="88" t="n">
        <x:v>4200</x:v>
      </x:c>
      <x:c r="N180" s="85" t="n">
        <x:v>74</x:v>
      </x:c>
      <x:c r="O180" s="85" t="n">
        <x:v>70</x:v>
      </x:c>
      <x:c r="P180" s="85" t="n">
        <x:v>73</x:v>
      </x:c>
      <x:c r="Q180" s="85" t="n">
        <x:v>74</x:v>
      </x:c>
      <x:c r="R180" s="85" t="n">
        <x:v>60</x:v>
      </x:c>
      <x:c r="S180" s="85" t="n">
        <x:v>71</x:v>
      </x:c>
      <x:c r="T180" s="85" t="n">
        <x:v>71</x:v>
      </x:c>
      <x:c r="U180" s="85" t="n">
        <x:v>71</x:v>
      </x:c>
      <x:c r="V180" s="85" t="n">
        <x:v>75</x:v>
      </x:c>
      <x:c r="W180" s="85" t="n">
        <x:v>66</x:v>
      </x:c>
      <x:c r="X180" s="85" t="n">
        <x:v>63</x:v>
      </x:c>
      <x:c r="Y180" s="85" t="n">
        <x:v>62</x:v>
      </x:c>
      <x:c r="Z180" s="85" t="n">
        <x:v>73</x:v>
      </x:c>
      <x:c r="AA180" s="85" t="n">
        <x:v>69</x:v>
      </x:c>
      <x:c r="AB180" s="85" t="n">
        <x:v>76</x:v>
      </x:c>
      <x:c r="AC180" s="82" t="n">
        <x:v>0</x:v>
      </x:c>
      <x:c r="AD180" s="82" t="n">
        <x:v>0</x:v>
      </x:c>
      <x:c r="AE180" s="82" t="n">
        <x:v>0</x:v>
      </x:c>
      <x:c r="AF180" s="82" t="n">
        <x:v>0</x:v>
      </x:c>
      <x:c r="AG180" s="91" t="str">
        <x:v>要実績照合</x:v>
      </x:c>
      <x:c r="AH180" s="91" t="str">
        <x:v>現役300名補充時の脚質暫定値。パリ〜ルーベ／ロンド個人成績の追加照合が必要</x:v>
      </x:c>
      <x:c r="AI180" s="91" t="str">
        <x:v>https://www.paris-roubaix.fr/en/history</x:v>
      </x:c>
      <x:c r="AJ180" s="91" t="str">
        <x:v>能力・適性・Credit整合済</x:v>
      </x:c>
      <x:c r="AK18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0" s="91" t="str">
        <x:v>https://en.wikipedia.org/wiki/Davide_Toneatti</x:v>
      </x:c>
    </x:row>
    <x:row r="181" ht="24" customHeight="1">
      <x:c r="A181" s="82" t="n">
        <x:v>177</x:v>
      </x:c>
      <x:c r="B181" s="82" t="str">
        <x:v>Arne Marit</x:v>
      </x:c>
      <x:c r="C181" s="143" t="str"/>
      <x:c r="D181" s="82" t="str">
        <x:v>ベルギー</x:v>
      </x:c>
      <x:c r="E181" s="82" t="str">
        <x:v>現役</x:v>
      </x:c>
      <x:c r="F181" s="82" t="str">
        <x:v>スプリンター</x:v>
      </x:c>
      <x:c r="G181" s="82" t="str">
        <x:v>総合型</x:v>
      </x:c>
      <x:c r="H181" s="85" t="n">
        <x:v>72</x:v>
      </x:c>
      <x:c r="I181" s="85" t="n">
        <x:v>68</x:v>
      </x:c>
      <x:c r="J181" s="91" t="str">
        <x:v>リードアウト / 最終発射台 / スプリントトレイン / 集団コントローラー</x:v>
      </x:c>
      <x:c r="K181" s="91" t="str"/>
      <x:c r="L181" s="91" t="str">
        <x:v>スプリンター / 総合型</x:v>
      </x:c>
      <x:c r="M181" s="88" t="n">
        <x:v>4100</x:v>
      </x:c>
      <x:c r="N181" s="85" t="n">
        <x:v>81</x:v>
      </x:c>
      <x:c r="O181" s="85" t="n">
        <x:v>74</x:v>
      </x:c>
      <x:c r="P181" s="85" t="n">
        <x:v>66</x:v>
      </x:c>
      <x:c r="Q181" s="85" t="n">
        <x:v>68</x:v>
      </x:c>
      <x:c r="R181" s="85" t="n">
        <x:v>58</x:v>
      </x:c>
      <x:c r="S181" s="85" t="n">
        <x:v>66</x:v>
      </x:c>
      <x:c r="T181" s="85" t="n">
        <x:v>66</x:v>
      </x:c>
      <x:c r="U181" s="85" t="n">
        <x:v>66</x:v>
      </x:c>
      <x:c r="V181" s="85" t="n">
        <x:v>70</x:v>
      </x:c>
      <x:c r="W181" s="85" t="n">
        <x:v>55</x:v>
      </x:c>
      <x:c r="X181" s="85" t="n">
        <x:v>62</x:v>
      </x:c>
      <x:c r="Y181" s="85" t="n">
        <x:v>61</x:v>
      </x:c>
      <x:c r="Z181" s="85" t="n">
        <x:v>67</x:v>
      </x:c>
      <x:c r="AA181" s="85" t="n">
        <x:v>76</x:v>
      </x:c>
      <x:c r="AB181" s="85" t="n">
        <x:v>66</x:v>
      </x:c>
      <x:c r="AC181" s="82" t="n">
        <x:v>0</x:v>
      </x:c>
      <x:c r="AD181" s="82" t="n">
        <x:v>0</x:v>
      </x:c>
      <x:c r="AE181" s="82" t="n">
        <x:v>0</x:v>
      </x:c>
      <x:c r="AF181" s="82" t="n">
        <x:v>0</x:v>
      </x:c>
      <x:c r="AG181" s="91" t="str">
        <x:v>要実績照合</x:v>
      </x:c>
      <x:c r="AH181" s="91" t="str">
        <x:v>現役300名補充時の脚質暫定値。パリ〜ルーベ／ロンド個人成績の追加照合が必要</x:v>
      </x:c>
      <x:c r="AI181" s="91" t="str">
        <x:v>https://www.paris-roubaix.fr/en/history</x:v>
      </x:c>
      <x:c r="AJ181" s="91" t="str">
        <x:v>能力・適性・Credit整合済</x:v>
      </x:c>
      <x:c r="AK18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1" s="91" t="str">
        <x:v>https://en.wikipedia.org/wiki/Arne_Marit</x:v>
      </x:c>
    </x:row>
    <x:row r="182" ht="24" customHeight="1">
      <x:c r="A182" s="82" t="n">
        <x:v>178</x:v>
      </x:c>
      <x:c r="B182" s="82" t="str">
        <x:v>Brady Gilmore</x:v>
      </x:c>
      <x:c r="C182" s="143" t="str"/>
      <x:c r="D182" s="82" t="str">
        <x:v>オーストラリア</x:v>
      </x:c>
      <x:c r="E182" s="82" t="str">
        <x:v>現役</x:v>
      </x:c>
      <x:c r="F182" s="82" t="str">
        <x:v>パンチャー</x:v>
      </x:c>
      <x:c r="G182" s="82" t="str">
        <x:v>総合型</x:v>
      </x:c>
      <x:c r="H182" s="85" t="n">
        <x:v>72</x:v>
      </x:c>
      <x:c r="I182" s="85" t="n">
        <x:v>68</x:v>
      </x:c>
      <x:c r="J182" s="91" t="str">
        <x:v>ステージハンター / 山岳賞ハンター / 集団コントローラー / 無賃乗車</x:v>
      </x:c>
      <x:c r="K182" s="91" t="str"/>
      <x:c r="L182" s="91" t="str">
        <x:v>パンチャー / 総合型</x:v>
      </x:c>
      <x:c r="M182" s="88" t="n">
        <x:v>3950</x:v>
      </x:c>
      <x:c r="N182" s="85" t="n">
        <x:v>68</x:v>
      </x:c>
      <x:c r="O182" s="85" t="n">
        <x:v>71</x:v>
      </x:c>
      <x:c r="P182" s="85" t="n">
        <x:v>78</x:v>
      </x:c>
      <x:c r="Q182" s="85" t="n">
        <x:v>67</x:v>
      </x:c>
      <x:c r="R182" s="85" t="n">
        <x:v>72</x:v>
      </x:c>
      <x:c r="S182" s="85" t="n">
        <x:v>64</x:v>
      </x:c>
      <x:c r="T182" s="85" t="n">
        <x:v>64</x:v>
      </x:c>
      <x:c r="U182" s="85" t="n">
        <x:v>73</x:v>
      </x:c>
      <x:c r="V182" s="85" t="n">
        <x:v>74</x:v>
      </x:c>
      <x:c r="W182" s="85" t="n">
        <x:v>58</x:v>
      </x:c>
      <x:c r="X182" s="85" t="n">
        <x:v>68</x:v>
      </x:c>
      <x:c r="Y182" s="85" t="n">
        <x:v>69</x:v>
      </x:c>
      <x:c r="Z182" s="85" t="n">
        <x:v>64</x:v>
      </x:c>
      <x:c r="AA182" s="85" t="n">
        <x:v>69</x:v>
      </x:c>
      <x:c r="AB182" s="85" t="n">
        <x:v>69</x:v>
      </x:c>
      <x:c r="AC182" s="82" t="n">
        <x:v>0</x:v>
      </x:c>
      <x:c r="AD182" s="82" t="n">
        <x:v>0</x:v>
      </x:c>
      <x:c r="AE182" s="82" t="n">
        <x:v>0</x:v>
      </x:c>
      <x:c r="AF182" s="82" t="n">
        <x:v>0</x:v>
      </x:c>
      <x:c r="AG182" s="91" t="str">
        <x:v>要実績照合</x:v>
      </x:c>
      <x:c r="AH182" s="91" t="str">
        <x:v>現役300名補充時の脚質暫定値。パリ〜ルーベ／ロンド個人成績の追加照合が必要</x:v>
      </x:c>
      <x:c r="AI182" s="91" t="str">
        <x:v>https://www.paris-roubaix.fr/en/history</x:v>
      </x:c>
      <x:c r="AJ182" s="91" t="str">
        <x:v>能力・適性・Credit整合済</x:v>
      </x:c>
      <x:c r="AK18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2" s="91" t="str">
        <x:v>https://en.wikipedia.org/wiki/Brady_Gilmore</x:v>
      </x:c>
    </x:row>
    <x:row r="183" ht="24" customHeight="1">
      <x:c r="A183" s="82" t="n">
        <x:v>179</x:v>
      </x:c>
      <x:c r="B183" s="82" t="str">
        <x:v>Johannes Staune-Mittet</x:v>
      </x:c>
      <x:c r="C183" s="143" t="str"/>
      <x:c r="D183" s="82" t="str">
        <x:v>ノルウェー</x:v>
      </x:c>
      <x:c r="E183" s="82" t="str">
        <x:v>現役</x:v>
      </x:c>
      <x:c r="F183" s="82" t="str">
        <x:v>パンチャー</x:v>
      </x:c>
      <x:c r="G183" s="82" t="str">
        <x:v>TT・ルーラー型</x:v>
      </x:c>
      <x:c r="H183" s="85" t="n">
        <x:v>72</x:v>
      </x:c>
      <x:c r="I183" s="85" t="n">
        <x:v>69</x:v>
      </x:c>
      <x:c r="J183" s="91" t="str">
        <x:v>ステージハンター</x:v>
      </x:c>
      <x:c r="K183" s="91" t="str"/>
      <x:c r="L183" s="91" t="str">
        <x:v>パンチャー / TT・ルーラー型</x:v>
      </x:c>
      <x:c r="M183" s="88" t="n">
        <x:v>3800</x:v>
      </x:c>
      <x:c r="N183" s="85" t="n">
        <x:v>65</x:v>
      </x:c>
      <x:c r="O183" s="85" t="n">
        <x:v>71</x:v>
      </x:c>
      <x:c r="P183" s="85" t="n">
        <x:v>74</x:v>
      </x:c>
      <x:c r="Q183" s="85" t="n">
        <x:v>66</x:v>
      </x:c>
      <x:c r="R183" s="85" t="n">
        <x:v>71</x:v>
      </x:c>
      <x:c r="S183" s="85" t="n">
        <x:v>67</x:v>
      </x:c>
      <x:c r="T183" s="85" t="n">
        <x:v>64</x:v>
      </x:c>
      <x:c r="U183" s="85" t="n">
        <x:v>69</x:v>
      </x:c>
      <x:c r="V183" s="85" t="n">
        <x:v>72</x:v>
      </x:c>
      <x:c r="W183" s="85" t="n">
        <x:v>56</x:v>
      </x:c>
      <x:c r="X183" s="85" t="n">
        <x:v>66</x:v>
      </x:c>
      <x:c r="Y183" s="85" t="n">
        <x:v>70</x:v>
      </x:c>
      <x:c r="Z183" s="85" t="n">
        <x:v>61</x:v>
      </x:c>
      <x:c r="AA183" s="85" t="n">
        <x:v>70</x:v>
      </x:c>
      <x:c r="AB183" s="85" t="n">
        <x:v>70</x:v>
      </x:c>
      <x:c r="AC183" s="82" t="n">
        <x:v>0</x:v>
      </x:c>
      <x:c r="AD183" s="82" t="n">
        <x:v>0</x:v>
      </x:c>
      <x:c r="AE183" s="82" t="n">
        <x:v>0</x:v>
      </x:c>
      <x:c r="AF183" s="82" t="n">
        <x:v>0</x:v>
      </x:c>
      <x:c r="AG183" s="91" t="str">
        <x:v>要実績照合</x:v>
      </x:c>
      <x:c r="AH183" s="91" t="str">
        <x:v>現役300名補充時の脚質暫定値。パリ〜ルーベ／ロンド個人成績の追加照合が必要</x:v>
      </x:c>
      <x:c r="AI183" s="91" t="str">
        <x:v>https://www.paris-roubaix.fr/en/history</x:v>
      </x:c>
      <x:c r="AJ183" s="91" t="str">
        <x:v>能力・適性・Credit整合済</x:v>
      </x:c>
      <x:c r="AK18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3" s="91" t="str">
        <x:v>https://en.wikipedia.org/wiki/Johannes_Staune-Mittet</x:v>
      </x:c>
    </x:row>
    <x:row r="184" ht="24" customHeight="1">
      <x:c r="A184" s="82" t="n">
        <x:v>180</x:v>
      </x:c>
      <x:c r="B184" s="82" t="str">
        <x:v>Ayco Bastiaens</x:v>
      </x:c>
      <x:c r="C184" s="143" t="str"/>
      <x:c r="D184" s="82" t="str">
        <x:v>ベルギー</x:v>
      </x:c>
      <x:c r="E184" s="82" t="str">
        <x:v>現役</x:v>
      </x:c>
      <x:c r="F184" s="82" t="str">
        <x:v>スプリンター</x:v>
      </x:c>
      <x:c r="G184" s="82" t="str">
        <x:v>クラシック型</x:v>
      </x:c>
      <x:c r="H184" s="85" t="n">
        <x:v>72</x:v>
      </x:c>
      <x:c r="I184" s="85" t="n">
        <x:v>66</x:v>
      </x:c>
      <x:c r="J184" s="91" t="str">
        <x:v>リードアウト / 最終発射台 / スプリントトレイン / 下り牽引 / 無賃乗車</x:v>
      </x:c>
      <x:c r="K184" s="91" t="str"/>
      <x:c r="L184" s="91" t="str">
        <x:v>スプリンター / クラシック型</x:v>
      </x:c>
      <x:c r="M184" s="88" t="n">
        <x:v>3550</x:v>
      </x:c>
      <x:c r="N184" s="85" t="n">
        <x:v>77</x:v>
      </x:c>
      <x:c r="O184" s="85" t="n">
        <x:v>75</x:v>
      </x:c>
      <x:c r="P184" s="85" t="n">
        <x:v>60</x:v>
      </x:c>
      <x:c r="Q184" s="85" t="n">
        <x:v>68</x:v>
      </x:c>
      <x:c r="R184" s="85" t="n">
        <x:v>51</x:v>
      </x:c>
      <x:c r="S184" s="85" t="n">
        <x:v>60</x:v>
      </x:c>
      <x:c r="T184" s="85" t="n">
        <x:v>63</x:v>
      </x:c>
      <x:c r="U184" s="85" t="n">
        <x:v>68</x:v>
      </x:c>
      <x:c r="V184" s="85" t="n">
        <x:v>67</x:v>
      </x:c>
      <x:c r="W184" s="85" t="n">
        <x:v>50</x:v>
      </x:c>
      <x:c r="X184" s="85" t="n">
        <x:v>57</x:v>
      </x:c>
      <x:c r="Y184" s="85" t="n">
        <x:v>60</x:v>
      </x:c>
      <x:c r="Z184" s="85" t="n">
        <x:v>63</x:v>
      </x:c>
      <x:c r="AA184" s="85" t="n">
        <x:v>71</x:v>
      </x:c>
      <x:c r="AB184" s="85" t="n">
        <x:v>65</x:v>
      </x:c>
      <x:c r="AC184" s="82" t="n">
        <x:v>0</x:v>
      </x:c>
      <x:c r="AD184" s="82" t="n">
        <x:v>0</x:v>
      </x:c>
      <x:c r="AE184" s="82" t="n">
        <x:v>0</x:v>
      </x:c>
      <x:c r="AF184" s="82" t="n">
        <x:v>0</x:v>
      </x:c>
      <x:c r="AG184" s="91" t="str">
        <x:v>要実績照合</x:v>
      </x:c>
      <x:c r="AH184" s="91" t="str">
        <x:v>現役300名補充時の脚質暫定値。パリ〜ルーベ／ロンド個人成績の追加照合が必要</x:v>
      </x:c>
      <x:c r="AI184" s="91" t="str">
        <x:v>https://www.paris-roubaix.fr/en/history</x:v>
      </x:c>
      <x:c r="AJ184" s="91" t="str">
        <x:v>能力・適性・Credit整合済</x:v>
      </x:c>
      <x:c r="AK18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4" s="91" t="str">
        <x:v>https://en.wikipedia.org/wiki/Ayco_Bastiaens</x:v>
      </x:c>
    </x:row>
    <x:row r="185" ht="24" customHeight="1">
      <x:c r="A185" s="82" t="n">
        <x:v>181</x:v>
      </x:c>
      <x:c r="B185" s="82" t="str">
        <x:v>Jensen Plowright</x:v>
      </x:c>
      <x:c r="C185" s="143" t="str"/>
      <x:c r="D185" s="82" t="str">
        <x:v>オーストラリア</x:v>
      </x:c>
      <x:c r="E185" s="82" t="str">
        <x:v>現役</x:v>
      </x:c>
      <x:c r="F185" s="82" t="str">
        <x:v>スプリンター</x:v>
      </x:c>
      <x:c r="G185" s="82" t="str">
        <x:v>総合型</x:v>
      </x:c>
      <x:c r="H185" s="85" t="n">
        <x:v>72</x:v>
      </x:c>
      <x:c r="I185" s="85" t="n">
        <x:v>64</x:v>
      </x:c>
      <x:c r="J185" s="91" t="str">
        <x:v>リードアウト / 集団コントローラー</x:v>
      </x:c>
      <x:c r="K185" s="91" t="str"/>
      <x:c r="L185" s="91" t="str">
        <x:v>スプリンター / 総合型</x:v>
      </x:c>
      <x:c r="M185" s="88" t="n">
        <x:v>3450</x:v>
      </x:c>
      <x:c r="N185" s="85" t="n">
        <x:v>77</x:v>
      </x:c>
      <x:c r="O185" s="85" t="n">
        <x:v>73</x:v>
      </x:c>
      <x:c r="P185" s="85" t="n">
        <x:v>62</x:v>
      </x:c>
      <x:c r="Q185" s="85" t="n">
        <x:v>68</x:v>
      </x:c>
      <x:c r="R185" s="85" t="n">
        <x:v>56</x:v>
      </x:c>
      <x:c r="S185" s="85" t="n">
        <x:v>63</x:v>
      </x:c>
      <x:c r="T185" s="85" t="n">
        <x:v>61</x:v>
      </x:c>
      <x:c r="U185" s="85" t="n">
        <x:v>67</x:v>
      </x:c>
      <x:c r="V185" s="85" t="n">
        <x:v>62</x:v>
      </x:c>
      <x:c r="W185" s="85" t="n">
        <x:v>50</x:v>
      </x:c>
      <x:c r="X185" s="85" t="n">
        <x:v>61</x:v>
      </x:c>
      <x:c r="Y185" s="85" t="n">
        <x:v>63</x:v>
      </x:c>
      <x:c r="Z185" s="85" t="n">
        <x:v>57</x:v>
      </x:c>
      <x:c r="AA185" s="85" t="n">
        <x:v>72</x:v>
      </x:c>
      <x:c r="AB185" s="85" t="n">
        <x:v>64</x:v>
      </x:c>
      <x:c r="AC185" s="82" t="n">
        <x:v>0</x:v>
      </x:c>
      <x:c r="AD185" s="82" t="n">
        <x:v>0</x:v>
      </x:c>
      <x:c r="AE185" s="82" t="n">
        <x:v>0</x:v>
      </x:c>
      <x:c r="AF185" s="82" t="n">
        <x:v>0</x:v>
      </x:c>
      <x:c r="AG185" s="91" t="str">
        <x:v>要実績照合</x:v>
      </x:c>
      <x:c r="AH185" s="91" t="str">
        <x:v>現役300名補充時の脚質暫定値。パリ〜ルーベ／ロンド個人成績の追加照合が必要</x:v>
      </x:c>
      <x:c r="AI185" s="91" t="str">
        <x:v>https://www.paris-roubaix.fr/en/history</x:v>
      </x:c>
      <x:c r="AJ185" s="91" t="str">
        <x:v>能力・適性・Credit整合済</x:v>
      </x:c>
      <x:c r="AK185" s="91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5" s="91" t="str">
        <x:v>https://en.wikipedia.org/wiki/Jensen_Plowright</x:v>
      </x:c>
    </x:row>
    <x:row r="186" ht="24" customHeight="1">
      <x:c r="A186" s="82" t="n">
        <x:v>182</x:v>
      </x:c>
      <x:c r="B186" s="82" t="str">
        <x:v>Ethan Hayter</x:v>
      </x:c>
      <x:c r="C186" s="143" t="str"/>
      <x:c r="D186" s="82" t="str">
        <x:v>イギリス</x:v>
      </x:c>
      <x:c r="E186" s="82" t="str">
        <x:v>現役</x:v>
      </x:c>
      <x:c r="F186" s="82" t="str">
        <x:v>TT・ルーラー型</x:v>
      </x:c>
      <x:c r="G186" s="82" t="str">
        <x:v>クラシック型</x:v>
      </x:c>
      <x:c r="H186" s="85" t="n">
        <x:v>71</x:v>
      </x:c>
      <x:c r="I186" s="85" t="n">
        <x:v>80</x:v>
      </x:c>
      <x:c r="J186" s="91" t="str">
        <x:v>TTスペシャリスト / 平坦アシスト / 平坦ペースメーカー / ブレイクアウェイキラー / 横風要員 / 逃げ屋 / ポジションキーパー</x:v>
      </x:c>
      <x:c r="K186" s="91" t="str"/>
      <x:c r="L186" s="91" t="str">
        <x:v>TT・ルーラー型 / クラシック型</x:v>
      </x:c>
      <x:c r="M186" s="88" t="n">
        <x:v>6100</x:v>
      </x:c>
      <x:c r="N186" s="85" t="n">
        <x:v>67</x:v>
      </x:c>
      <x:c r="O186" s="85" t="n">
        <x:v>67</x:v>
      </x:c>
      <x:c r="P186" s="85" t="n">
        <x:v>69</x:v>
      </x:c>
      <x:c r="Q186" s="85" t="n">
        <x:v>83</x:v>
      </x:c>
      <x:c r="R186" s="85" t="n">
        <x:v>70</x:v>
      </x:c>
      <x:c r="S186" s="85" t="n">
        <x:v>74</x:v>
      </x:c>
      <x:c r="T186" s="85" t="n">
        <x:v>78</x:v>
      </x:c>
      <x:c r="U186" s="85" t="n">
        <x:v>81</x:v>
      </x:c>
      <x:c r="V186" s="85" t="n">
        <x:v>70</x:v>
      </x:c>
      <x:c r="W186" s="85" t="n">
        <x:v>65</x:v>
      </x:c>
      <x:c r="X186" s="85" t="n">
        <x:v>71</x:v>
      </x:c>
      <x:c r="Y186" s="85" t="n">
        <x:v>70</x:v>
      </x:c>
      <x:c r="Z186" s="85" t="n">
        <x:v>84</x:v>
      </x:c>
      <x:c r="AA186" s="85" t="n">
        <x:v>65</x:v>
      </x:c>
      <x:c r="AB186" s="85" t="n">
        <x:v>68</x:v>
      </x:c>
      <x:c r="AC186" s="82" t="n">
        <x:v>0</x:v>
      </x:c>
      <x:c r="AD186" s="82" t="n">
        <x:v>0</x:v>
      </x:c>
      <x:c r="AE186" s="82" t="n">
        <x:v>0</x:v>
      </x:c>
      <x:c r="AF186" s="82" t="n">
        <x:v>0</x:v>
      </x:c>
      <x:c r="AG186" s="91" t="str">
        <x:v>要実績照合</x:v>
      </x:c>
      <x:c r="AH186" s="91" t="str">
        <x:v>現役300名補充時の脚質暫定値。パリ〜ルーベ／ロンド個人成績の追加照合が必要</x:v>
      </x:c>
      <x:c r="AI186" s="91" t="str">
        <x:v>https://www.paris-roubaix.fr/en/history</x:v>
      </x:c>
      <x:c r="AJ186" s="91" t="str">
        <x:v>能力・適性・Credit整合済</x:v>
      </x:c>
      <x:c r="AK186" s="91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6" s="91" t="str">
        <x:v>https://en.wikipedia.org/wiki/Ethan_Hayter</x:v>
      </x:c>
    </x:row>
    <x:row r="187" ht="24" customHeight="1">
      <x:c r="A187" s="82" t="n">
        <x:v>183</x:v>
      </x:c>
      <x:c r="B187" s="82" t="str">
        <x:v>Johan Price-Pejtersen</x:v>
      </x:c>
      <x:c r="C187" s="143" t="str"/>
      <x:c r="D187" s="82" t="str">
        <x:v>デンマーク</x:v>
      </x:c>
      <x:c r="E187" s="82" t="str">
        <x:v>現役</x:v>
      </x:c>
      <x:c r="F187" s="82" t="str">
        <x:v>TT・ルーラー型</x:v>
      </x:c>
      <x:c r="G187" s="82" t="str">
        <x:v>総合型</x:v>
      </x:c>
      <x:c r="H187" s="85" t="n">
        <x:v>71</x:v>
      </x:c>
      <x:c r="I187" s="85" t="n">
        <x:v>81</x:v>
      </x:c>
      <x:c r="J187" s="91" t="str">
        <x:v>TTスペシャリスト / 平坦アシスト / 集団コントローラー / ブレイクアウェイキラー / 横風要員 / 超ロングスパート / ポジションキーパー</x:v>
      </x:c>
      <x:c r="K187" s="91" t="str"/>
      <x:c r="L187" s="91" t="str">
        <x:v>TT・ルーラー型 / 総合型</x:v>
      </x:c>
      <x:c r="M187" s="88" t="n">
        <x:v>6050</x:v>
      </x:c>
      <x:c r="N187" s="85" t="n">
        <x:v>67</x:v>
      </x:c>
      <x:c r="O187" s="85" t="n">
        <x:v>66</x:v>
      </x:c>
      <x:c r="P187" s="85" t="n">
        <x:v>64</x:v>
      </x:c>
      <x:c r="Q187" s="85" t="n">
        <x:v>84</x:v>
      </x:c>
      <x:c r="R187" s="85" t="n">
        <x:v>67</x:v>
      </x:c>
      <x:c r="S187" s="85" t="n">
        <x:v>76</x:v>
      </x:c>
      <x:c r="T187" s="85" t="n">
        <x:v>72</x:v>
      </x:c>
      <x:c r="U187" s="85" t="n">
        <x:v>79</x:v>
      </x:c>
      <x:c r="V187" s="85" t="n">
        <x:v>71</x:v>
      </x:c>
      <x:c r="W187" s="85" t="n">
        <x:v>64</x:v>
      </x:c>
      <x:c r="X187" s="85" t="n">
        <x:v>73</x:v>
      </x:c>
      <x:c r="Y187" s="85" t="n">
        <x:v>70</x:v>
      </x:c>
      <x:c r="Z187" s="85" t="n">
        <x:v>84</x:v>
      </x:c>
      <x:c r="AA187" s="85" t="n">
        <x:v>67</x:v>
      </x:c>
      <x:c r="AB187" s="85" t="n">
        <x:v>68</x:v>
      </x:c>
      <x:c r="AC187" s="82" t="n">
        <x:v>0</x:v>
      </x:c>
      <x:c r="AD187" s="82" t="n">
        <x:v>0</x:v>
      </x:c>
      <x:c r="AE187" s="82" t="n">
        <x:v>0</x:v>
      </x:c>
      <x:c r="AF187" s="82" t="n">
        <x:v>0</x:v>
      </x:c>
      <x:c r="AG187" s="91" t="str">
        <x:v>要実績照合</x:v>
      </x:c>
      <x:c r="AH187" s="91" t="str">
        <x:v>現役300名補充時の脚質暫定値。パリ〜ルーベ／ロンド個人成績の追加照合が必要</x:v>
      </x:c>
      <x:c r="AI187" s="91" t="str">
        <x:v>https://www.paris-roubaix.fr/en/history</x:v>
      </x:c>
      <x:c r="AJ187" s="91" t="str">
        <x:v>能力・適性・Credit整合済</x:v>
      </x:c>
      <x:c r="AK187" s="91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7" s="91" t="str">
        <x:v>https://en.wikipedia.org/wiki/Johan_Price-Pejtersen</x:v>
      </x:c>
    </x:row>
    <x:row r="188" ht="24" customHeight="1">
      <x:c r="A188" s="82" t="n">
        <x:v>184</x:v>
      </x:c>
      <x:c r="B188" s="82" t="str">
        <x:v>Callum Thornley</x:v>
      </x:c>
      <x:c r="C188" s="143" t="str"/>
      <x:c r="D188" s="82" t="str">
        <x:v>イギリス</x:v>
      </x:c>
      <x:c r="E188" s="82" t="str">
        <x:v>現役</x:v>
      </x:c>
      <x:c r="F188" s="82" t="str">
        <x:v>TT・ルーラー型</x:v>
      </x:c>
      <x:c r="G188" s="82" t="str">
        <x:v>クラシック型</x:v>
      </x:c>
      <x:c r="H188" s="85" t="n">
        <x:v>71</x:v>
      </x:c>
      <x:c r="I188" s="85" t="n">
        <x:v>79</x:v>
      </x:c>
      <x:c r="J188" s="91" t="str">
        <x:v>ロードキャプテン / TTスペシャリスト / 平坦アシスト / ブレイクアウェイキラー / 横風要員 / 逃げ屋 / 超ロングスパート</x:v>
      </x:c>
      <x:c r="K188" s="91" t="str"/>
      <x:c r="L188" s="91" t="str">
        <x:v>TT・ルーラー型 / クラシック型</x:v>
      </x:c>
      <x:c r="M188" s="88" t="n">
        <x:v>5750</x:v>
      </x:c>
      <x:c r="N188" s="85" t="n">
        <x:v>65</x:v>
      </x:c>
      <x:c r="O188" s="85" t="n">
        <x:v>67</x:v>
      </x:c>
      <x:c r="P188" s="85" t="n">
        <x:v>67</x:v>
      </x:c>
      <x:c r="Q188" s="85" t="n">
        <x:v>80</x:v>
      </x:c>
      <x:c r="R188" s="85" t="n">
        <x:v>69</x:v>
      </x:c>
      <x:c r="S188" s="85" t="n">
        <x:v>75</x:v>
      </x:c>
      <x:c r="T188" s="85" t="n">
        <x:v>75</x:v>
      </x:c>
      <x:c r="U188" s="85" t="n">
        <x:v>80</x:v>
      </x:c>
      <x:c r="V188" s="85" t="n">
        <x:v>69</x:v>
      </x:c>
      <x:c r="W188" s="85" t="n">
        <x:v>64</x:v>
      </x:c>
      <x:c r="X188" s="85" t="n">
        <x:v>72</x:v>
      </x:c>
      <x:c r="Y188" s="85" t="n">
        <x:v>68</x:v>
      </x:c>
      <x:c r="Z188" s="85" t="n">
        <x:v>84</x:v>
      </x:c>
      <x:c r="AA188" s="85" t="n">
        <x:v>70</x:v>
      </x:c>
      <x:c r="AB188" s="85" t="n">
        <x:v>70</x:v>
      </x:c>
      <x:c r="AC188" s="82" t="n">
        <x:v>0</x:v>
      </x:c>
      <x:c r="AD188" s="82" t="n">
        <x:v>0</x:v>
      </x:c>
      <x:c r="AE188" s="82" t="n">
        <x:v>0</x:v>
      </x:c>
      <x:c r="AF188" s="82" t="n">
        <x:v>0</x:v>
      </x:c>
      <x:c r="AG188" s="91" t="str">
        <x:v>要実績照合</x:v>
      </x:c>
      <x:c r="AH188" s="91" t="str">
        <x:v>現役300名補充時の脚質暫定値。パリ〜ルーベ／ロンド個人成績の追加照合が必要</x:v>
      </x:c>
      <x:c r="AI188" s="91" t="str">
        <x:v>https://www.paris-roubaix.fr/en/history</x:v>
      </x:c>
      <x:c r="AJ188" s="91" t="str">
        <x:v>能力・適性・Credit整合済</x:v>
      </x:c>
      <x:c r="AK18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8" s="91" t="str">
        <x:v>https://en.wikipedia.org/wiki/Callum_Thornley</x:v>
      </x:c>
    </x:row>
    <x:row r="189" ht="24" customHeight="1">
      <x:c r="A189" s="82" t="n">
        <x:v>185</x:v>
      </x:c>
      <x:c r="B189" s="82" t="str">
        <x:v>Alec Segaert</x:v>
      </x:c>
      <x:c r="C189" s="143" t="str"/>
      <x:c r="D189" s="82" t="str">
        <x:v>ベルギー</x:v>
      </x:c>
      <x:c r="E189" s="82" t="str">
        <x:v>現役</x:v>
      </x:c>
      <x:c r="F189" s="82" t="str">
        <x:v>TT・ルーラー型</x:v>
      </x:c>
      <x:c r="G189" s="82" t="str">
        <x:v>スプリンター</x:v>
      </x:c>
      <x:c r="H189" s="85" t="n">
        <x:v>71</x:v>
      </x:c>
      <x:c r="I189" s="85" t="n">
        <x:v>79</x:v>
      </x:c>
      <x:c r="J189" s="91" t="str">
        <x:v>TTスペシャリスト / スプリントトレイン / 平坦アシスト / ブレイクアウェイキラー / 超ロングスパート / 横風分断</x:v>
      </x:c>
      <x:c r="K189" s="91" t="str"/>
      <x:c r="L189" s="91" t="str">
        <x:v>TT・ルーラー型 / スプリンター</x:v>
      </x:c>
      <x:c r="M189" s="88" t="n">
        <x:v>5650</x:v>
      </x:c>
      <x:c r="N189" s="85" t="n">
        <x:v>65</x:v>
      </x:c>
      <x:c r="O189" s="85" t="n">
        <x:v>65</x:v>
      </x:c>
      <x:c r="P189" s="85" t="n">
        <x:v>68</x:v>
      </x:c>
      <x:c r="Q189" s="85" t="n">
        <x:v>82</x:v>
      </x:c>
      <x:c r="R189" s="85" t="n">
        <x:v>66</x:v>
      </x:c>
      <x:c r="S189" s="85" t="n">
        <x:v>77</x:v>
      </x:c>
      <x:c r="T189" s="85" t="n">
        <x:v>76</x:v>
      </x:c>
      <x:c r="U189" s="85" t="n">
        <x:v>75</x:v>
      </x:c>
      <x:c r="V189" s="85" t="n">
        <x:v>72</x:v>
      </x:c>
      <x:c r="W189" s="85" t="n">
        <x:v>62</x:v>
      </x:c>
      <x:c r="X189" s="85" t="n">
        <x:v>70</x:v>
      </x:c>
      <x:c r="Y189" s="85" t="n">
        <x:v>71</x:v>
      </x:c>
      <x:c r="Z189" s="85" t="n">
        <x:v>76</x:v>
      </x:c>
      <x:c r="AA189" s="85" t="n">
        <x:v>68</x:v>
      </x:c>
      <x:c r="AB189" s="85" t="n">
        <x:v>69</x:v>
      </x:c>
      <x:c r="AC189" s="82" t="n">
        <x:v>0</x:v>
      </x:c>
      <x:c r="AD189" s="82" t="n">
        <x:v>0</x:v>
      </x:c>
      <x:c r="AE189" s="82" t="n">
        <x:v>0</x:v>
      </x:c>
      <x:c r="AF189" s="82" t="n">
        <x:v>0</x:v>
      </x:c>
      <x:c r="AG189" s="91" t="str">
        <x:v>要実績照合</x:v>
      </x:c>
      <x:c r="AH189" s="91" t="str">
        <x:v>現役300名補充時の脚質暫定値。パリ〜ルーベ／ロンド個人成績の追加照合が必要</x:v>
      </x:c>
      <x:c r="AI189" s="91" t="str">
        <x:v>https://www.paris-roubaix.fr/en/history</x:v>
      </x:c>
      <x:c r="AJ189" s="91" t="str">
        <x:v>能力・適性・Credit整合済</x:v>
      </x:c>
      <x:c r="AK189" s="91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89" s="91" t="str">
        <x:v>https://en.wikipedia.org/wiki/Alec_Segaert</x:v>
      </x:c>
    </x:row>
    <x:row r="190" ht="24" customHeight="1">
      <x:c r="A190" s="82" t="n">
        <x:v>186</x:v>
      </x:c>
      <x:c r="B190" s="82" t="str">
        <x:v>Edoardo Zambanini</x:v>
      </x:c>
      <x:c r="C190" s="143" t="str"/>
      <x:c r="D190" s="82" t="str">
        <x:v>イタリア</x:v>
      </x:c>
      <x:c r="E190" s="82" t="str">
        <x:v>現役</x:v>
      </x:c>
      <x:c r="F190" s="82" t="str">
        <x:v>クライマー</x:v>
      </x:c>
      <x:c r="G190" s="82" t="str">
        <x:v>TT・ルーラー型</x:v>
      </x:c>
      <x:c r="H190" s="85" t="n">
        <x:v>71</x:v>
      </x:c>
      <x:c r="I190" s="85" t="n">
        <x:v>76</x:v>
      </x:c>
      <x:c r="J190" s="91" t="str">
        <x:v>山岳アシスト / 山岳ペースメーカー</x:v>
      </x:c>
      <x:c r="K190" s="91" t="str"/>
      <x:c r="L190" s="91" t="str">
        <x:v>クライマー / TT・ルーラー型</x:v>
      </x:c>
      <x:c r="M190" s="88" t="n">
        <x:v>5250</x:v>
      </x:c>
      <x:c r="N190" s="85" t="n">
        <x:v>61</x:v>
      </x:c>
      <x:c r="O190" s="85" t="n">
        <x:v>67</x:v>
      </x:c>
      <x:c r="P190" s="85" t="n">
        <x:v>70</x:v>
      </x:c>
      <x:c r="Q190" s="85" t="n">
        <x:v>66</x:v>
      </x:c>
      <x:c r="R190" s="85" t="n">
        <x:v>75</x:v>
      </x:c>
      <x:c r="S190" s="85" t="n">
        <x:v>79</x:v>
      </x:c>
      <x:c r="T190" s="85" t="n">
        <x:v>76</x:v>
      </x:c>
      <x:c r="U190" s="85" t="n">
        <x:v>64</x:v>
      </x:c>
      <x:c r="V190" s="85" t="n">
        <x:v>68</x:v>
      </x:c>
      <x:c r="W190" s="85" t="n">
        <x:v>57</x:v>
      </x:c>
      <x:c r="X190" s="85" t="n">
        <x:v>77</x:v>
      </x:c>
      <x:c r="Y190" s="85" t="n">
        <x:v>76</x:v>
      </x:c>
      <x:c r="Z190" s="85" t="n">
        <x:v>75</x:v>
      </x:c>
      <x:c r="AA190" s="85" t="n">
        <x:v>68</x:v>
      </x:c>
      <x:c r="AB190" s="85" t="n">
        <x:v>76</x:v>
      </x:c>
      <x:c r="AC190" s="82" t="n">
        <x:v>0</x:v>
      </x:c>
      <x:c r="AD190" s="82" t="n">
        <x:v>0</x:v>
      </x:c>
      <x:c r="AE190" s="82" t="n">
        <x:v>0</x:v>
      </x:c>
      <x:c r="AF190" s="82" t="n">
        <x:v>0</x:v>
      </x:c>
      <x:c r="AG190" s="91" t="str">
        <x:v>要実績照合</x:v>
      </x:c>
      <x:c r="AH190" s="91" t="str">
        <x:v>現役300名補充時の脚質暫定値。パリ〜ルーベ／ロンド個人成績の追加照合が必要</x:v>
      </x:c>
      <x:c r="AI190" s="91" t="str">
        <x:v>https://www.paris-roubaix.fr/en/history</x:v>
      </x:c>
      <x:c r="AJ190" s="91" t="str">
        <x:v>能力・適性・Credit整合済</x:v>
      </x:c>
      <x:c r="AK190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0" s="91" t="str">
        <x:v>https://en.wikipedia.org/wiki/Edoardo_Zambanini</x:v>
      </x:c>
    </x:row>
    <x:row r="191" ht="24" customHeight="1">
      <x:c r="A191" s="82" t="n">
        <x:v>187</x:v>
      </x:c>
      <x:c r="B191" s="82" t="str">
        <x:v>Emil Herzog</x:v>
      </x:c>
      <x:c r="C191" s="143" t="str"/>
      <x:c r="D191" s="82" t="str">
        <x:v>ドイツ</x:v>
      </x:c>
      <x:c r="E191" s="82" t="str">
        <x:v>現役</x:v>
      </x:c>
      <x:c r="F191" s="82" t="str">
        <x:v>クライマー</x:v>
      </x:c>
      <x:c r="G191" s="82" t="str">
        <x:v>スプリンター</x:v>
      </x:c>
      <x:c r="H191" s="85" t="n">
        <x:v>71</x:v>
      </x:c>
      <x:c r="I191" s="85" t="n">
        <x:v>73</x:v>
      </x:c>
      <x:c r="J191" s="91" t="str">
        <x:v>山岳賞ハンター / スプリントトレイン / 山岳アシスト</x:v>
      </x:c>
      <x:c r="K191" s="91" t="str"/>
      <x:c r="L191" s="91" t="str">
        <x:v>クライマー / スプリンター</x:v>
      </x:c>
      <x:c r="M191" s="88" t="n">
        <x:v>4950</x:v>
      </x:c>
      <x:c r="N191" s="85" t="n">
        <x:v>54</x:v>
      </x:c>
      <x:c r="O191" s="85" t="n">
        <x:v>68</x:v>
      </x:c>
      <x:c r="P191" s="85" t="n">
        <x:v>69</x:v>
      </x:c>
      <x:c r="Q191" s="85" t="n">
        <x:v>63</x:v>
      </x:c>
      <x:c r="R191" s="85" t="n">
        <x:v>76</x:v>
      </x:c>
      <x:c r="S191" s="85" t="n">
        <x:v>78</x:v>
      </x:c>
      <x:c r="T191" s="85" t="n">
        <x:v>71</x:v>
      </x:c>
      <x:c r="U191" s="85" t="n">
        <x:v>61</x:v>
      </x:c>
      <x:c r="V191" s="85" t="n">
        <x:v>69</x:v>
      </x:c>
      <x:c r="W191" s="85" t="n">
        <x:v>56</x:v>
      </x:c>
      <x:c r="X191" s="85" t="n">
        <x:v>76</x:v>
      </x:c>
      <x:c r="Y191" s="85" t="n">
        <x:v>78</x:v>
      </x:c>
      <x:c r="Z191" s="85" t="n">
        <x:v>70</x:v>
      </x:c>
      <x:c r="AA191" s="85" t="n">
        <x:v>66</x:v>
      </x:c>
      <x:c r="AB191" s="85" t="n">
        <x:v>75</x:v>
      </x:c>
      <x:c r="AC191" s="82" t="n">
        <x:v>0</x:v>
      </x:c>
      <x:c r="AD191" s="82" t="n">
        <x:v>0</x:v>
      </x:c>
      <x:c r="AE191" s="82" t="n">
        <x:v>0</x:v>
      </x:c>
      <x:c r="AF191" s="82" t="n">
        <x:v>0</x:v>
      </x:c>
      <x:c r="AG191" s="91" t="str">
        <x:v>要実績照合</x:v>
      </x:c>
      <x:c r="AH191" s="91" t="str">
        <x:v>現役300名補充時の脚質暫定値。パリ〜ルーベ／ロンド個人成績の追加照合が必要</x:v>
      </x:c>
      <x:c r="AI191" s="91" t="str">
        <x:v>https://www.paris-roubaix.fr/en/history</x:v>
      </x:c>
      <x:c r="AJ191" s="91" t="str">
        <x:v>能力・適性・Credit整合済</x:v>
      </x:c>
      <x:c r="AK19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1" s="91" t="str">
        <x:v>https://en.wikipedia.org/wiki/Emil_Herzog</x:v>
      </x:c>
    </x:row>
    <x:row r="192" ht="24" customHeight="1">
      <x:c r="A192" s="82" t="n">
        <x:v>188</x:v>
      </x:c>
      <x:c r="B192" s="82" t="str">
        <x:v>Joseph Blackmore</x:v>
      </x:c>
      <x:c r="C192" s="143" t="str"/>
      <x:c r="D192" s="82" t="str">
        <x:v>イギリス</x:v>
      </x:c>
      <x:c r="E192" s="82" t="str">
        <x:v>現役</x:v>
      </x:c>
      <x:c r="F192" s="82" t="str">
        <x:v>クラシック型</x:v>
      </x:c>
      <x:c r="G192" s="82" t="str">
        <x:v>クライマー</x:v>
      </x:c>
      <x:c r="H192" s="85" t="n">
        <x:v>71</x:v>
      </x:c>
      <x:c r="I192" s="85" t="n">
        <x:v>74</x:v>
      </x:c>
      <x:c r="J192" s="91" t="str">
        <x:v>山岳賞ハンター / 石畳護衛</x:v>
      </x:c>
      <x:c r="K192" s="91" t="str"/>
      <x:c r="L192" s="91" t="str">
        <x:v>クラシック型 / クライマー</x:v>
      </x:c>
      <x:c r="M192" s="88" t="n">
        <x:v>4900</x:v>
      </x:c>
      <x:c r="N192" s="85" t="n">
        <x:v>74</x:v>
      </x:c>
      <x:c r="O192" s="85" t="n">
        <x:v>72</x:v>
      </x:c>
      <x:c r="P192" s="85" t="n">
        <x:v>73</x:v>
      </x:c>
      <x:c r="Q192" s="85" t="n">
        <x:v>74</x:v>
      </x:c>
      <x:c r="R192" s="85" t="n">
        <x:v>68</x:v>
      </x:c>
      <x:c r="S192" s="85" t="n">
        <x:v>70</x:v>
      </x:c>
      <x:c r="T192" s="85" t="n">
        <x:v>79</x:v>
      </x:c>
      <x:c r="U192" s="85" t="n">
        <x:v>77</x:v>
      </x:c>
      <x:c r="V192" s="85" t="n">
        <x:v>76</x:v>
      </x:c>
      <x:c r="W192" s="85" t="n">
        <x:v>69</x:v>
      </x:c>
      <x:c r="X192" s="85" t="n">
        <x:v>71</x:v>
      </x:c>
      <x:c r="Y192" s="85" t="n">
        <x:v>68</x:v>
      </x:c>
      <x:c r="Z192" s="85" t="n">
        <x:v>74</x:v>
      </x:c>
      <x:c r="AA192" s="85" t="n">
        <x:v>70</x:v>
      </x:c>
      <x:c r="AB192" s="85" t="n">
        <x:v>72</x:v>
      </x:c>
      <x:c r="AC192" s="82" t="n">
        <x:v>0</x:v>
      </x:c>
      <x:c r="AD192" s="82" t="n">
        <x:v>0</x:v>
      </x:c>
      <x:c r="AE192" s="82" t="n">
        <x:v>0</x:v>
      </x:c>
      <x:c r="AF192" s="82" t="n">
        <x:v>0</x:v>
      </x:c>
      <x:c r="AG192" s="91" t="str">
        <x:v>要実績照合</x:v>
      </x:c>
      <x:c r="AH192" s="91" t="str">
        <x:v>現役300名補充時の脚質暫定値。パリ〜ルーベ／ロンド個人成績の追加照合が必要</x:v>
      </x:c>
      <x:c r="AI192" s="91" t="str">
        <x:v>https://www.paris-roubaix.fr/en/history</x:v>
      </x:c>
      <x:c r="AJ192" s="91" t="str">
        <x:v>能力・適性・Credit整合済</x:v>
      </x:c>
      <x:c r="AK19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2" s="91" t="str">
        <x:v>https://en.wikipedia.org/wiki/Joseph_Blackmore</x:v>
      </x:c>
    </x:row>
    <x:row r="193" ht="24" customHeight="1">
      <x:c r="A193" s="82" t="n">
        <x:v>189</x:v>
      </x:c>
      <x:c r="B193" s="82" t="str">
        <x:v>Georg Zimmermann</x:v>
      </x:c>
      <x:c r="C193" s="143" t="str"/>
      <x:c r="D193" s="82" t="str">
        <x:v>ドイツ</x:v>
      </x:c>
      <x:c r="E193" s="82" t="str">
        <x:v>現役</x:v>
      </x:c>
      <x:c r="F193" s="82" t="str">
        <x:v>クライマー</x:v>
      </x:c>
      <x:c r="G193" s="82" t="str">
        <x:v>クラシック型</x:v>
      </x:c>
      <x:c r="H193" s="85" t="n">
        <x:v>71</x:v>
      </x:c>
      <x:c r="I193" s="85" t="n">
        <x:v>73</x:v>
      </x:c>
      <x:c r="J193" s="91" t="str">
        <x:v>山岳賞ハンター / 山岳アシスト / 山岳番手</x:v>
      </x:c>
      <x:c r="K193" s="91" t="str"/>
      <x:c r="L193" s="91" t="str">
        <x:v>クライマー / クラシック型</x:v>
      </x:c>
      <x:c r="M193" s="88" t="n">
        <x:v>4850</x:v>
      </x:c>
      <x:c r="N193" s="85" t="n">
        <x:v>55</x:v>
      </x:c>
      <x:c r="O193" s="85" t="n">
        <x:v>64</x:v>
      </x:c>
      <x:c r="P193" s="85" t="n">
        <x:v>68</x:v>
      </x:c>
      <x:c r="Q193" s="85" t="n">
        <x:v>63</x:v>
      </x:c>
      <x:c r="R193" s="85" t="n">
        <x:v>75</x:v>
      </x:c>
      <x:c r="S193" s="85" t="n">
        <x:v>76</x:v>
      </x:c>
      <x:c r="T193" s="85" t="n">
        <x:v>71</x:v>
      </x:c>
      <x:c r="U193" s="85" t="n">
        <x:v>66</x:v>
      </x:c>
      <x:c r="V193" s="85" t="n">
        <x:v>70</x:v>
      </x:c>
      <x:c r="W193" s="85" t="n">
        <x:v>54</x:v>
      </x:c>
      <x:c r="X193" s="85" t="n">
        <x:v>78</x:v>
      </x:c>
      <x:c r="Y193" s="85" t="n">
        <x:v>77</x:v>
      </x:c>
      <x:c r="Z193" s="85" t="n">
        <x:v>68</x:v>
      </x:c>
      <x:c r="AA193" s="85" t="n">
        <x:v>67</x:v>
      </x:c>
      <x:c r="AB193" s="85" t="n">
        <x:v>73</x:v>
      </x:c>
      <x:c r="AC193" s="82" t="n">
        <x:v>0</x:v>
      </x:c>
      <x:c r="AD193" s="82" t="n">
        <x:v>0</x:v>
      </x:c>
      <x:c r="AE193" s="82" t="n">
        <x:v>0</x:v>
      </x:c>
      <x:c r="AF193" s="82" t="n">
        <x:v>0</x:v>
      </x:c>
      <x:c r="AG193" s="91" t="str">
        <x:v>要実績照合</x:v>
      </x:c>
      <x:c r="AH193" s="91" t="str">
        <x:v>現役300名補充時の脚質暫定値。パリ〜ルーベ／ロンド個人成績の追加照合が必要</x:v>
      </x:c>
      <x:c r="AI193" s="91" t="str">
        <x:v>https://www.paris-roubaix.fr/en/history</x:v>
      </x:c>
      <x:c r="AJ193" s="91" t="str">
        <x:v>能力・適性・Credit整合済</x:v>
      </x:c>
      <x:c r="AK193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3" s="91" t="str">
        <x:v>https://en.wikipedia.org/wiki/Georg_Zimmermann</x:v>
      </x:c>
    </x:row>
    <x:row r="194" ht="24" customHeight="1">
      <x:c r="A194" s="82" t="n">
        <x:v>190</x:v>
      </x:c>
      <x:c r="B194" s="82" t="str">
        <x:v>Lionel Taminiaux</x:v>
      </x:c>
      <x:c r="C194" s="143" t="str"/>
      <x:c r="D194" s="82" t="str">
        <x:v>ベルギー</x:v>
      </x:c>
      <x:c r="E194" s="82" t="str">
        <x:v>現役</x:v>
      </x:c>
      <x:c r="F194" s="82" t="str">
        <x:v>クライマー</x:v>
      </x:c>
      <x:c r="G194" s="82" t="str">
        <x:v>スプリンター</x:v>
      </x:c>
      <x:c r="H194" s="85" t="n">
        <x:v>71</x:v>
      </x:c>
      <x:c r="I194" s="85" t="n">
        <x:v>73</x:v>
      </x:c>
      <x:c r="J194" s="91" t="str">
        <x:v>山岳賞ハンター / スプリントトレイン / 山岳アシスト</x:v>
      </x:c>
      <x:c r="K194" s="91" t="str"/>
      <x:c r="L194" s="91" t="str">
        <x:v>クライマー / スプリンター</x:v>
      </x:c>
      <x:c r="M194" s="88" t="n">
        <x:v>4700</x:v>
      </x:c>
      <x:c r="N194" s="85" t="n">
        <x:v>63</x:v>
      </x:c>
      <x:c r="O194" s="85" t="n">
        <x:v>67</x:v>
      </x:c>
      <x:c r="P194" s="85" t="n">
        <x:v>71</x:v>
      </x:c>
      <x:c r="Q194" s="85" t="n">
        <x:v>65</x:v>
      </x:c>
      <x:c r="R194" s="85" t="n">
        <x:v>76</x:v>
      </x:c>
      <x:c r="S194" s="85" t="n">
        <x:v>71</x:v>
      </x:c>
      <x:c r="T194" s="85" t="n">
        <x:v>76</x:v>
      </x:c>
      <x:c r="U194" s="85" t="n">
        <x:v>66</x:v>
      </x:c>
      <x:c r="V194" s="85" t="n">
        <x:v>68</x:v>
      </x:c>
      <x:c r="W194" s="85" t="n">
        <x:v>51</x:v>
      </x:c>
      <x:c r="X194" s="85" t="n">
        <x:v>76</x:v>
      </x:c>
      <x:c r="Y194" s="85" t="n">
        <x:v>74</x:v>
      </x:c>
      <x:c r="Z194" s="85" t="n">
        <x:v>69</x:v>
      </x:c>
      <x:c r="AA194" s="85" t="n">
        <x:v>68</x:v>
      </x:c>
      <x:c r="AB194" s="85" t="n">
        <x:v>72</x:v>
      </x:c>
      <x:c r="AC194" s="82" t="n">
        <x:v>0</x:v>
      </x:c>
      <x:c r="AD194" s="82" t="n">
        <x:v>0</x:v>
      </x:c>
      <x:c r="AE194" s="82" t="n">
        <x:v>0</x:v>
      </x:c>
      <x:c r="AF194" s="82" t="n">
        <x:v>0</x:v>
      </x:c>
      <x:c r="AG194" s="91" t="str">
        <x:v>要実績照合</x:v>
      </x:c>
      <x:c r="AH194" s="91" t="str">
        <x:v>現役300名補充時の脚質暫定値。パリ〜ルーベ／ロンド個人成績の追加照合が必要</x:v>
      </x:c>
      <x:c r="AI194" s="91" t="str">
        <x:v>https://www.paris-roubaix.fr/en/history</x:v>
      </x:c>
      <x:c r="AJ194" s="91" t="str">
        <x:v>能力・適性・Credit整合済</x:v>
      </x:c>
      <x:c r="AK19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4" s="91" t="str">
        <x:v>https://en.wikipedia.org/wiki/Lionel_Taminiaux</x:v>
      </x:c>
    </x:row>
    <x:row r="195" ht="24" customHeight="1">
      <x:c r="A195" s="82" t="n">
        <x:v>191</x:v>
      </x:c>
      <x:c r="B195" s="82" t="str">
        <x:v>Gal Glivar</x:v>
      </x:c>
      <x:c r="C195" s="143" t="str"/>
      <x:c r="D195" s="82" t="str">
        <x:v>スロベニア</x:v>
      </x:c>
      <x:c r="E195" s="82" t="str">
        <x:v>現役</x:v>
      </x:c>
      <x:c r="F195" s="82" t="str">
        <x:v>クラシック型</x:v>
      </x:c>
      <x:c r="G195" s="82" t="str">
        <x:v>スプリンター</x:v>
      </x:c>
      <x:c r="H195" s="85" t="n">
        <x:v>71</x:v>
      </x:c>
      <x:c r="I195" s="85" t="n">
        <x:v>73</x:v>
      </x:c>
      <x:c r="J195" s="91" t="str">
        <x:v>スプリントトレイン / 石畳護衛</x:v>
      </x:c>
      <x:c r="K195" s="91" t="str"/>
      <x:c r="L195" s="91" t="str">
        <x:v>クラシック型 / スプリンター</x:v>
      </x:c>
      <x:c r="M195" s="88" t="n">
        <x:v>4650</x:v>
      </x:c>
      <x:c r="N195" s="85" t="n">
        <x:v>70</x:v>
      </x:c>
      <x:c r="O195" s="85" t="n">
        <x:v>72</x:v>
      </x:c>
      <x:c r="P195" s="85" t="n">
        <x:v>72</x:v>
      </x:c>
      <x:c r="Q195" s="85" t="n">
        <x:v>75</x:v>
      </x:c>
      <x:c r="R195" s="85" t="n">
        <x:v>66</x:v>
      </x:c>
      <x:c r="S195" s="85" t="n">
        <x:v>70</x:v>
      </x:c>
      <x:c r="T195" s="85" t="n">
        <x:v>77</x:v>
      </x:c>
      <x:c r="U195" s="85" t="n">
        <x:v>71</x:v>
      </x:c>
      <x:c r="V195" s="85" t="n">
        <x:v>75</x:v>
      </x:c>
      <x:c r="W195" s="85" t="n">
        <x:v>73</x:v>
      </x:c>
      <x:c r="X195" s="85" t="n">
        <x:v>67</x:v>
      </x:c>
      <x:c r="Y195" s="85" t="n">
        <x:v>65</x:v>
      </x:c>
      <x:c r="Z195" s="85" t="n">
        <x:v>71</x:v>
      </x:c>
      <x:c r="AA195" s="85" t="n">
        <x:v>69</x:v>
      </x:c>
      <x:c r="AB195" s="85" t="n">
        <x:v>72</x:v>
      </x:c>
      <x:c r="AC195" s="82" t="n">
        <x:v>0</x:v>
      </x:c>
      <x:c r="AD195" s="82" t="n">
        <x:v>0</x:v>
      </x:c>
      <x:c r="AE195" s="82" t="n">
        <x:v>0</x:v>
      </x:c>
      <x:c r="AF195" s="82" t="n">
        <x:v>0</x:v>
      </x:c>
      <x:c r="AG195" s="91" t="str">
        <x:v>要実績照合</x:v>
      </x:c>
      <x:c r="AH195" s="91" t="str">
        <x:v>現役300名補充時の脚質暫定値。パリ〜ルーベ／ロンド個人成績の追加照合が必要</x:v>
      </x:c>
      <x:c r="AI195" s="91" t="str">
        <x:v>https://www.paris-roubaix.fr/en/history</x:v>
      </x:c>
      <x:c r="AJ195" s="91" t="str">
        <x:v>能力・適性・Credit整合済</x:v>
      </x:c>
      <x:c r="AK19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5" s="91" t="str">
        <x:v>https://en.wikipedia.org/wiki/Gal_Glivar</x:v>
      </x:c>
    </x:row>
    <x:row r="196" ht="24" customHeight="1">
      <x:c r="A196" s="82" t="n">
        <x:v>192</x:v>
      </x:c>
      <x:c r="B196" s="82" t="str">
        <x:v>Jonas Rutsch</x:v>
      </x:c>
      <x:c r="C196" s="143" t="str"/>
      <x:c r="D196" s="82" t="str">
        <x:v>ドイツ</x:v>
      </x:c>
      <x:c r="E196" s="82" t="str">
        <x:v>現役</x:v>
      </x:c>
      <x:c r="F196" s="82" t="str">
        <x:v>クラシック型</x:v>
      </x:c>
      <x:c r="G196" s="82" t="str">
        <x:v>総合型</x:v>
      </x:c>
      <x:c r="H196" s="85" t="n">
        <x:v>71</x:v>
      </x:c>
      <x:c r="I196" s="85" t="n">
        <x:v>74</x:v>
      </x:c>
      <x:c r="J196" s="91" t="str">
        <x:v>石畳護衛 / 集団コントローラー / 横風分断</x:v>
      </x:c>
      <x:c r="K196" s="91" t="str"/>
      <x:c r="L196" s="91" t="str">
        <x:v>クラシック型 / 総合型</x:v>
      </x:c>
      <x:c r="M196" s="88" t="n">
        <x:v>4650</x:v>
      </x:c>
      <x:c r="N196" s="85" t="n">
        <x:v>71</x:v>
      </x:c>
      <x:c r="O196" s="85" t="n">
        <x:v>68</x:v>
      </x:c>
      <x:c r="P196" s="85" t="n">
        <x:v>70</x:v>
      </x:c>
      <x:c r="Q196" s="85" t="n">
        <x:v>72</x:v>
      </x:c>
      <x:c r="R196" s="85" t="n">
        <x:v>58</x:v>
      </x:c>
      <x:c r="S196" s="85" t="n">
        <x:v>73</x:v>
      </x:c>
      <x:c r="T196" s="85" t="n">
        <x:v>77</x:v>
      </x:c>
      <x:c r="U196" s="85" t="n">
        <x:v>71</x:v>
      </x:c>
      <x:c r="V196" s="85" t="n">
        <x:v>75</x:v>
      </x:c>
      <x:c r="W196" s="85" t="n">
        <x:v>73</x:v>
      </x:c>
      <x:c r="X196" s="85" t="n">
        <x:v>66</x:v>
      </x:c>
      <x:c r="Y196" s="85" t="n">
        <x:v>67</x:v>
      </x:c>
      <x:c r="Z196" s="85" t="n">
        <x:v>69</x:v>
      </x:c>
      <x:c r="AA196" s="85" t="n">
        <x:v>68</x:v>
      </x:c>
      <x:c r="AB196" s="85" t="n">
        <x:v>76</x:v>
      </x:c>
      <x:c r="AC196" s="82" t="n">
        <x:v>0</x:v>
      </x:c>
      <x:c r="AD196" s="82" t="n">
        <x:v>0</x:v>
      </x:c>
      <x:c r="AE196" s="82" t="n">
        <x:v>0</x:v>
      </x:c>
      <x:c r="AF196" s="82" t="n">
        <x:v>0</x:v>
      </x:c>
      <x:c r="AG196" s="91" t="str">
        <x:v>要実績照合</x:v>
      </x:c>
      <x:c r="AH196" s="91" t="str">
        <x:v>現役300名補充時の脚質暫定値。パリ〜ルーベ／ロンド個人成績の追加照合が必要</x:v>
      </x:c>
      <x:c r="AI196" s="91" t="str">
        <x:v>https://www.paris-roubaix.fr/en/history</x:v>
      </x:c>
      <x:c r="AJ196" s="91" t="str">
        <x:v>能力・適性・Credit整合済</x:v>
      </x:c>
      <x:c r="AK196" s="91" t="str">
        <x:v>公開プロフィール脚質「Classics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6" s="91" t="str">
        <x:v>https://en.wikipedia.org/wiki/Jonas_Rutsch</x:v>
      </x:c>
    </x:row>
    <x:row r="197" ht="24" customHeight="1">
      <x:c r="A197" s="82" t="n">
        <x:v>193</x:v>
      </x:c>
      <x:c r="B197" s="82" t="str">
        <x:v>Axel Laurance</x:v>
      </x:c>
      <x:c r="C197" s="143" t="str"/>
      <x:c r="D197" s="82" t="str">
        <x:v>フランス</x:v>
      </x:c>
      <x:c r="E197" s="82" t="str">
        <x:v>現役</x:v>
      </x:c>
      <x:c r="F197" s="82" t="str">
        <x:v>パンチャー</x:v>
      </x:c>
      <x:c r="G197" s="82" t="str">
        <x:v>TT・ルーラー型</x:v>
      </x:c>
      <x:c r="H197" s="85" t="n">
        <x:v>71</x:v>
      </x:c>
      <x:c r="I197" s="85" t="n">
        <x:v>69</x:v>
      </x:c>
      <x:c r="J197" s="91" t="str">
        <x:v>ステージハンター / 逃げ屋 / カウンターアタッカー / 無賃乗車 / ポジションキーパー</x:v>
      </x:c>
      <x:c r="K197" s="91" t="str"/>
      <x:c r="L197" s="91" t="str">
        <x:v>パンチャー / TT・ルーラー型</x:v>
      </x:c>
      <x:c r="M197" s="88" t="n">
        <x:v>4600</x:v>
      </x:c>
      <x:c r="N197" s="85" t="n">
        <x:v>68</x:v>
      </x:c>
      <x:c r="O197" s="85" t="n">
        <x:v>76</x:v>
      </x:c>
      <x:c r="P197" s="85" t="n">
        <x:v>78</x:v>
      </x:c>
      <x:c r="Q197" s="85" t="n">
        <x:v>68</x:v>
      </x:c>
      <x:c r="R197" s="85" t="n">
        <x:v>72</x:v>
      </x:c>
      <x:c r="S197" s="85" t="n">
        <x:v>70</x:v>
      </x:c>
      <x:c r="T197" s="85" t="n">
        <x:v>67</x:v>
      </x:c>
      <x:c r="U197" s="85" t="n">
        <x:v>77</x:v>
      </x:c>
      <x:c r="V197" s="85" t="n">
        <x:v>75</x:v>
      </x:c>
      <x:c r="W197" s="85" t="n">
        <x:v>61</x:v>
      </x:c>
      <x:c r="X197" s="85" t="n">
        <x:v>69</x:v>
      </x:c>
      <x:c r="Y197" s="85" t="n">
        <x:v>68</x:v>
      </x:c>
      <x:c r="Z197" s="85" t="n">
        <x:v>62</x:v>
      </x:c>
      <x:c r="AA197" s="85" t="n">
        <x:v>78</x:v>
      </x:c>
      <x:c r="AB197" s="85" t="n">
        <x:v>77</x:v>
      </x:c>
      <x:c r="AC197" s="82" t="n">
        <x:v>0</x:v>
      </x:c>
      <x:c r="AD197" s="82" t="n">
        <x:v>0</x:v>
      </x:c>
      <x:c r="AE197" s="82" t="n">
        <x:v>0</x:v>
      </x:c>
      <x:c r="AF197" s="82" t="n">
        <x:v>0</x:v>
      </x:c>
      <x:c r="AG197" s="91" t="str">
        <x:v>要実績照合</x:v>
      </x:c>
      <x:c r="AH197" s="91" t="str">
        <x:v>現役300名補充時の脚質暫定値。パリ〜ルーベ／ロンド個人成績の追加照合が必要</x:v>
      </x:c>
      <x:c r="AI197" s="91" t="str">
        <x:v>https://www.paris-roubaix.fr/en/history</x:v>
      </x:c>
      <x:c r="AJ197" s="91" t="str">
        <x:v>能力・適性・Credit整合済</x:v>
      </x:c>
      <x:c r="AK197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7" s="91" t="str">
        <x:v>https://en.wikipedia.org/wiki/Axel_Laurance</x:v>
      </x:c>
    </x:row>
    <x:row r="198" ht="24" customHeight="1">
      <x:c r="A198" s="82" t="n">
        <x:v>194</x:v>
      </x:c>
      <x:c r="B198" s="82" t="str">
        <x:v>Frank van den Broek</x:v>
      </x:c>
      <x:c r="C198" s="143" t="str"/>
      <x:c r="D198" s="82" t="str">
        <x:v>オランダ</x:v>
      </x:c>
      <x:c r="E198" s="82" t="str">
        <x:v>現役</x:v>
      </x:c>
      <x:c r="F198" s="82" t="str">
        <x:v>クラシック型</x:v>
      </x:c>
      <x:c r="G198" s="82" t="str">
        <x:v>クライマー</x:v>
      </x:c>
      <x:c r="H198" s="85" t="n">
        <x:v>71</x:v>
      </x:c>
      <x:c r="I198" s="85" t="n">
        <x:v>73</x:v>
      </x:c>
      <x:c r="J198" s="91" t="str">
        <x:v>山岳賞ハンター / 石畳護衛</x:v>
      </x:c>
      <x:c r="K198" s="91" t="str"/>
      <x:c r="L198" s="91" t="str">
        <x:v>クラシック型 / クライマー</x:v>
      </x:c>
      <x:c r="M198" s="88" t="n">
        <x:v>4600</x:v>
      </x:c>
      <x:c r="N198" s="85" t="n">
        <x:v>74</x:v>
      </x:c>
      <x:c r="O198" s="85" t="n">
        <x:v>70</x:v>
      </x:c>
      <x:c r="P198" s="85" t="n">
        <x:v>71</x:v>
      </x:c>
      <x:c r="Q198" s="85" t="n">
        <x:v>75</x:v>
      </x:c>
      <x:c r="R198" s="85" t="n">
        <x:v>62</x:v>
      </x:c>
      <x:c r="S198" s="85" t="n">
        <x:v>71</x:v>
      </x:c>
      <x:c r="T198" s="85" t="n">
        <x:v>75</x:v>
      </x:c>
      <x:c r="U198" s="85" t="n">
        <x:v>75</x:v>
      </x:c>
      <x:c r="V198" s="85" t="n">
        <x:v>75</x:v>
      </x:c>
      <x:c r="W198" s="85" t="n">
        <x:v>72</x:v>
      </x:c>
      <x:c r="X198" s="85" t="n">
        <x:v>67</x:v>
      </x:c>
      <x:c r="Y198" s="85" t="n">
        <x:v>66</x:v>
      </x:c>
      <x:c r="Z198" s="85" t="n">
        <x:v>72</x:v>
      </x:c>
      <x:c r="AA198" s="85" t="n">
        <x:v>65</x:v>
      </x:c>
      <x:c r="AB198" s="85" t="n">
        <x:v>73</x:v>
      </x:c>
      <x:c r="AC198" s="82" t="n">
        <x:v>0</x:v>
      </x:c>
      <x:c r="AD198" s="82" t="n">
        <x:v>0</x:v>
      </x:c>
      <x:c r="AE198" s="82" t="n">
        <x:v>0</x:v>
      </x:c>
      <x:c r="AF198" s="82" t="n">
        <x:v>0</x:v>
      </x:c>
      <x:c r="AG198" s="91" t="str">
        <x:v>要実績照合</x:v>
      </x:c>
      <x:c r="AH198" s="91" t="str">
        <x:v>現役300名補充時の脚質暫定値。パリ〜ルーベ／ロンド個人成績の追加照合が必要</x:v>
      </x:c>
      <x:c r="AI198" s="91" t="str">
        <x:v>https://www.paris-roubaix.fr/en/history</x:v>
      </x:c>
      <x:c r="AJ198" s="91" t="str">
        <x:v>能力・適性・Credit整合済</x:v>
      </x:c>
      <x:c r="AK19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8" s="91" t="str">
        <x:v>https://en.wikipedia.org/wiki/Frank_van_den_Broek</x:v>
      </x:c>
    </x:row>
    <x:row r="199" ht="24" customHeight="1">
      <x:c r="A199" s="82" t="n">
        <x:v>195</x:v>
      </x:c>
      <x:c r="B199" s="82" t="str">
        <x:v>Matthew Riccitello</x:v>
      </x:c>
      <x:c r="C199" s="143" t="str"/>
      <x:c r="D199" s="82" t="str">
        <x:v>アメリカ</x:v>
      </x:c>
      <x:c r="E199" s="82" t="str">
        <x:v>現役</x:v>
      </x:c>
      <x:c r="F199" s="82" t="str">
        <x:v>クライマー</x:v>
      </x:c>
      <x:c r="G199" s="82" t="str">
        <x:v>パンチャー</x:v>
      </x:c>
      <x:c r="H199" s="85" t="n">
        <x:v>71</x:v>
      </x:c>
      <x:c r="I199" s="85" t="n">
        <x:v>72</x:v>
      </x:c>
      <x:c r="J199" s="91" t="str">
        <x:v>山岳賞ハンター / 山岳アシスト</x:v>
      </x:c>
      <x:c r="K199" s="91" t="str"/>
      <x:c r="L199" s="91" t="str">
        <x:v>クライマー / パンチャー</x:v>
      </x:c>
      <x:c r="M199" s="88" t="n">
        <x:v>4550</x:v>
      </x:c>
      <x:c r="N199" s="85" t="n">
        <x:v>54</x:v>
      </x:c>
      <x:c r="O199" s="85" t="n">
        <x:v>68</x:v>
      </x:c>
      <x:c r="P199" s="85" t="n">
        <x:v>66</x:v>
      </x:c>
      <x:c r="Q199" s="85" t="n">
        <x:v>61</x:v>
      </x:c>
      <x:c r="R199" s="85" t="n">
        <x:v>78</x:v>
      </x:c>
      <x:c r="S199" s="85" t="n">
        <x:v>76</x:v>
      </x:c>
      <x:c r="T199" s="85" t="n">
        <x:v>72</x:v>
      </x:c>
      <x:c r="U199" s="85" t="n">
        <x:v>62</x:v>
      </x:c>
      <x:c r="V199" s="85" t="n">
        <x:v>68</x:v>
      </x:c>
      <x:c r="W199" s="85" t="n">
        <x:v>50</x:v>
      </x:c>
      <x:c r="X199" s="85" t="n">
        <x:v>73</x:v>
      </x:c>
      <x:c r="Y199" s="85" t="n">
        <x:v>75</x:v>
      </x:c>
      <x:c r="Z199" s="85" t="n">
        <x:v>72</x:v>
      </x:c>
      <x:c r="AA199" s="85" t="n">
        <x:v>66</x:v>
      </x:c>
      <x:c r="AB199" s="85" t="n">
        <x:v>68</x:v>
      </x:c>
      <x:c r="AC199" s="82" t="n">
        <x:v>0</x:v>
      </x:c>
      <x:c r="AD199" s="82" t="n">
        <x:v>0</x:v>
      </x:c>
      <x:c r="AE199" s="82" t="n">
        <x:v>0</x:v>
      </x:c>
      <x:c r="AF199" s="82" t="n">
        <x:v>0</x:v>
      </x:c>
      <x:c r="AG199" s="91" t="str">
        <x:v>要実績照合</x:v>
      </x:c>
      <x:c r="AH199" s="91" t="str">
        <x:v>現役300名補充時の脚質暫定値。パリ〜ルーベ／ロンド個人成績の追加照合が必要</x:v>
      </x:c>
      <x:c r="AI199" s="91" t="str">
        <x:v>https://www.paris-roubaix.fr/en/history</x:v>
      </x:c>
      <x:c r="AJ199" s="91" t="str">
        <x:v>能力・適性・Credit整合済</x:v>
      </x:c>
      <x:c r="AK199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199" s="91" t="str">
        <x:v>https://en.wikipedia.org/wiki/Matthew_Riccitello</x:v>
      </x:c>
    </x:row>
    <x:row r="200" ht="24" customHeight="1">
      <x:c r="A200" s="82" t="n">
        <x:v>196</x:v>
      </x:c>
      <x:c r="B200" s="82" t="str">
        <x:v>Andrea Raccagni Noviero</x:v>
      </x:c>
      <x:c r="C200" s="143" t="str"/>
      <x:c r="D200" s="82" t="str">
        <x:v>イタリア</x:v>
      </x:c>
      <x:c r="E200" s="82" t="str">
        <x:v>現役</x:v>
      </x:c>
      <x:c r="F200" s="82" t="str">
        <x:v>クラシック型</x:v>
      </x:c>
      <x:c r="G200" s="82" t="str">
        <x:v>クライマー</x:v>
      </x:c>
      <x:c r="H200" s="85" t="n">
        <x:v>71</x:v>
      </x:c>
      <x:c r="I200" s="85" t="n">
        <x:v>74</x:v>
      </x:c>
      <x:c r="J200" s="91" t="str">
        <x:v>ステージハンター / 山岳賞ハンター / 石畳護衛 / 横風分断</x:v>
      </x:c>
      <x:c r="K200" s="91" t="str"/>
      <x:c r="L200" s="91" t="str">
        <x:v>クラシック型 / クライマー</x:v>
      </x:c>
      <x:c r="M200" s="88" t="n">
        <x:v>4500</x:v>
      </x:c>
      <x:c r="N200" s="85" t="n">
        <x:v>73</x:v>
      </x:c>
      <x:c r="O200" s="85" t="n">
        <x:v>71</x:v>
      </x:c>
      <x:c r="P200" s="85" t="n">
        <x:v>74</x:v>
      </x:c>
      <x:c r="Q200" s="85" t="n">
        <x:v>73</x:v>
      </x:c>
      <x:c r="R200" s="85" t="n">
        <x:v>61</x:v>
      </x:c>
      <x:c r="S200" s="85" t="n">
        <x:v>71</x:v>
      </x:c>
      <x:c r="T200" s="85" t="n">
        <x:v>75</x:v>
      </x:c>
      <x:c r="U200" s="85" t="n">
        <x:v>74</x:v>
      </x:c>
      <x:c r="V200" s="85" t="n">
        <x:v>75</x:v>
      </x:c>
      <x:c r="W200" s="85" t="n">
        <x:v>70</x:v>
      </x:c>
      <x:c r="X200" s="85" t="n">
        <x:v>62</x:v>
      </x:c>
      <x:c r="Y200" s="85" t="n">
        <x:v>66</x:v>
      </x:c>
      <x:c r="Z200" s="85" t="n">
        <x:v>70</x:v>
      </x:c>
      <x:c r="AA200" s="85" t="n">
        <x:v>69</x:v>
      </x:c>
      <x:c r="AB200" s="85" t="n">
        <x:v>73</x:v>
      </x:c>
      <x:c r="AC200" s="82" t="n">
        <x:v>0</x:v>
      </x:c>
      <x:c r="AD200" s="82" t="n">
        <x:v>0</x:v>
      </x:c>
      <x:c r="AE200" s="82" t="n">
        <x:v>0</x:v>
      </x:c>
      <x:c r="AF200" s="82" t="n">
        <x:v>0</x:v>
      </x:c>
      <x:c r="AG200" s="91" t="str">
        <x:v>要実績照合</x:v>
      </x:c>
      <x:c r="AH200" s="91" t="str">
        <x:v>現役300名補充時の脚質暫定値。パリ〜ルーベ／ロンド個人成績の追加照合が必要</x:v>
      </x:c>
      <x:c r="AI200" s="91" t="str">
        <x:v>https://www.paris-roubaix.fr/en/history</x:v>
      </x:c>
      <x:c r="AJ200" s="91" t="str">
        <x:v>能力・適性・Credit整合済</x:v>
      </x:c>
      <x:c r="AK20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0" s="91" t="str">
        <x:v>https://en.wikipedia.org/wiki/List_of_2026_UCI_WorldTeams_and_riders</x:v>
      </x:c>
    </x:row>
    <x:row r="201" ht="24" customHeight="1">
      <x:c r="A201" s="82" t="n">
        <x:v>197</x:v>
      </x:c>
      <x:c r="B201" s="82" t="str">
        <x:v>Gianmarco Garofoli</x:v>
      </x:c>
      <x:c r="C201" s="143" t="str"/>
      <x:c r="D201" s="82" t="str">
        <x:v>イタリア</x:v>
      </x:c>
      <x:c r="E201" s="82" t="str">
        <x:v>現役</x:v>
      </x:c>
      <x:c r="F201" s="82" t="str">
        <x:v>クライマー</x:v>
      </x:c>
      <x:c r="G201" s="82" t="str">
        <x:v>スプリンター</x:v>
      </x:c>
      <x:c r="H201" s="85" t="n">
        <x:v>71</x:v>
      </x:c>
      <x:c r="I201" s="85" t="n">
        <x:v>73</x:v>
      </x:c>
      <x:c r="J201" s="91" t="str">
        <x:v>山岳賞ハンター / スプリントトレイン / 山岳アシスト / 山岳ペースメーカー</x:v>
      </x:c>
      <x:c r="K201" s="91" t="str"/>
      <x:c r="L201" s="91" t="str">
        <x:v>クライマー / スプリンター</x:v>
      </x:c>
      <x:c r="M201" s="88" t="n">
        <x:v>4350</x:v>
      </x:c>
      <x:c r="N201" s="85" t="n">
        <x:v>56</x:v>
      </x:c>
      <x:c r="O201" s="85" t="n">
        <x:v>63</x:v>
      </x:c>
      <x:c r="P201" s="85" t="n">
        <x:v>68</x:v>
      </x:c>
      <x:c r="Q201" s="85" t="n">
        <x:v>64</x:v>
      </x:c>
      <x:c r="R201" s="85" t="n">
        <x:v>75</x:v>
      </x:c>
      <x:c r="S201" s="85" t="n">
        <x:v>75</x:v>
      </x:c>
      <x:c r="T201" s="85" t="n">
        <x:v>69</x:v>
      </x:c>
      <x:c r="U201" s="85" t="n">
        <x:v>66</x:v>
      </x:c>
      <x:c r="V201" s="85" t="n">
        <x:v>66</x:v>
      </x:c>
      <x:c r="W201" s="85" t="n">
        <x:v>52</x:v>
      </x:c>
      <x:c r="X201" s="85" t="n">
        <x:v>73</x:v>
      </x:c>
      <x:c r="Y201" s="85" t="n">
        <x:v>74</x:v>
      </x:c>
      <x:c r="Z201" s="85" t="n">
        <x:v>71</x:v>
      </x:c>
      <x:c r="AA201" s="85" t="n">
        <x:v>65</x:v>
      </x:c>
      <x:c r="AB201" s="85" t="n">
        <x:v>72</x:v>
      </x:c>
      <x:c r="AC201" s="82" t="n">
        <x:v>0</x:v>
      </x:c>
      <x:c r="AD201" s="82" t="n">
        <x:v>0</x:v>
      </x:c>
      <x:c r="AE201" s="82" t="n">
        <x:v>0</x:v>
      </x:c>
      <x:c r="AF201" s="82" t="n">
        <x:v>0</x:v>
      </x:c>
      <x:c r="AG201" s="91" t="str">
        <x:v>要実績照合</x:v>
      </x:c>
      <x:c r="AH201" s="91" t="str">
        <x:v>現役300名補充時の脚質暫定値。パリ〜ルーベ／ロンド個人成績の追加照合が必要</x:v>
      </x:c>
      <x:c r="AI201" s="91" t="str">
        <x:v>https://www.paris-roubaix.fr/en/history</x:v>
      </x:c>
      <x:c r="AJ201" s="91" t="str">
        <x:v>能力・適性・Credit整合済</x:v>
      </x:c>
      <x:c r="AK201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1" s="91" t="str">
        <x:v>https://en.wikipedia.org/wiki/Gianmarco_Garofoli</x:v>
      </x:c>
    </x:row>
    <x:row r="202" ht="24" customHeight="1">
      <x:c r="A202" s="82" t="n">
        <x:v>198</x:v>
      </x:c>
      <x:c r="B202" s="82" t="str">
        <x:v>Gijs Leemreize</x:v>
      </x:c>
      <x:c r="C202" s="143" t="str"/>
      <x:c r="D202" s="82" t="str">
        <x:v>オランダ</x:v>
      </x:c>
      <x:c r="E202" s="82" t="str">
        <x:v>現役</x:v>
      </x:c>
      <x:c r="F202" s="82" t="str">
        <x:v>クライマー</x:v>
      </x:c>
      <x:c r="G202" s="82" t="str">
        <x:v>TT・ルーラー型</x:v>
      </x:c>
      <x:c r="H202" s="85" t="n">
        <x:v>71</x:v>
      </x:c>
      <x:c r="I202" s="85" t="n">
        <x:v>73</x:v>
      </x:c>
      <x:c r="J202" s="91" t="str">
        <x:v>山岳賞ハンター / 山岳アシスト / 山岳ペースメーカー</x:v>
      </x:c>
      <x:c r="K202" s="91" t="str"/>
      <x:c r="L202" s="91" t="str">
        <x:v>クライマー / TT・ルーラー型</x:v>
      </x:c>
      <x:c r="M202" s="88" t="n">
        <x:v>4350</x:v>
      </x:c>
      <x:c r="N202" s="85" t="n">
        <x:v>59</x:v>
      </x:c>
      <x:c r="O202" s="85" t="n">
        <x:v>64</x:v>
      </x:c>
      <x:c r="P202" s="85" t="n">
        <x:v>69</x:v>
      </x:c>
      <x:c r="Q202" s="85" t="n">
        <x:v>61</x:v>
      </x:c>
      <x:c r="R202" s="85" t="n">
        <x:v>74</x:v>
      </x:c>
      <x:c r="S202" s="85" t="n">
        <x:v>76</x:v>
      </x:c>
      <x:c r="T202" s="85" t="n">
        <x:v>70</x:v>
      </x:c>
      <x:c r="U202" s="85" t="n">
        <x:v>62</x:v>
      </x:c>
      <x:c r="V202" s="85" t="n">
        <x:v>63</x:v>
      </x:c>
      <x:c r="W202" s="85" t="n">
        <x:v>50</x:v>
      </x:c>
      <x:c r="X202" s="85" t="n">
        <x:v>75</x:v>
      </x:c>
      <x:c r="Y202" s="85" t="n">
        <x:v>73</x:v>
      </x:c>
      <x:c r="Z202" s="85" t="n">
        <x:v>68</x:v>
      </x:c>
      <x:c r="AA202" s="85" t="n">
        <x:v>66</x:v>
      </x:c>
      <x:c r="AB202" s="85" t="n">
        <x:v>74</x:v>
      </x:c>
      <x:c r="AC202" s="82" t="n">
        <x:v>0</x:v>
      </x:c>
      <x:c r="AD202" s="82" t="n">
        <x:v>0</x:v>
      </x:c>
      <x:c r="AE202" s="82" t="n">
        <x:v>0</x:v>
      </x:c>
      <x:c r="AF202" s="82" t="n">
        <x:v>0</x:v>
      </x:c>
      <x:c r="AG202" s="91" t="str">
        <x:v>要実績照合</x:v>
      </x:c>
      <x:c r="AH202" s="91" t="str">
        <x:v>現役300名補充時の脚質暫定値。パリ〜ルーベ／ロンド個人成績の追加照合が必要</x:v>
      </x:c>
      <x:c r="AI202" s="91" t="str">
        <x:v>https://www.paris-roubaix.fr/en/history</x:v>
      </x:c>
      <x:c r="AJ202" s="91" t="str">
        <x:v>能力・適性・Credit整合済</x:v>
      </x:c>
      <x:c r="AK202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2" s="91" t="str">
        <x:v>https://en.wikipedia.org/wiki/Gijs_Leemreize</x:v>
      </x:c>
    </x:row>
    <x:row r="203" ht="24" customHeight="1">
      <x:c r="A203" s="82" t="n">
        <x:v>199</x:v>
      </x:c>
      <x:c r="B203" s="82" t="str">
        <x:v>Lars Craps</x:v>
      </x:c>
      <x:c r="C203" s="143" t="str"/>
      <x:c r="D203" s="82" t="str">
        <x:v>ベルギー</x:v>
      </x:c>
      <x:c r="E203" s="82" t="str">
        <x:v>現役</x:v>
      </x:c>
      <x:c r="F203" s="82" t="str">
        <x:v>クラシック型</x:v>
      </x:c>
      <x:c r="G203" s="82" t="str">
        <x:v>TT・ルーラー型</x:v>
      </x:c>
      <x:c r="H203" s="85" t="n">
        <x:v>71</x:v>
      </x:c>
      <x:c r="I203" s="85" t="n">
        <x:v>74</x:v>
      </x:c>
      <x:c r="J203" s="91" t="str">
        <x:v>石畳護衛</x:v>
      </x:c>
      <x:c r="K203" s="91" t="str"/>
      <x:c r="L203" s="91" t="str">
        <x:v>クラシック型 / TT・ルーラー型</x:v>
      </x:c>
      <x:c r="M203" s="88" t="n">
        <x:v>4300</x:v>
      </x:c>
      <x:c r="N203" s="85" t="n">
        <x:v>68</x:v>
      </x:c>
      <x:c r="O203" s="85" t="n">
        <x:v>70</x:v>
      </x:c>
      <x:c r="P203" s="85" t="n">
        <x:v>70</x:v>
      </x:c>
      <x:c r="Q203" s="85" t="n">
        <x:v>71</x:v>
      </x:c>
      <x:c r="R203" s="85" t="n">
        <x:v>64</x:v>
      </x:c>
      <x:c r="S203" s="85" t="n">
        <x:v>73</x:v>
      </x:c>
      <x:c r="T203" s="85" t="n">
        <x:v>77</x:v>
      </x:c>
      <x:c r="U203" s="85" t="n">
        <x:v>70</x:v>
      </x:c>
      <x:c r="V203" s="85" t="n">
        <x:v>73</x:v>
      </x:c>
      <x:c r="W203" s="85" t="n">
        <x:v>69</x:v>
      </x:c>
      <x:c r="X203" s="85" t="n">
        <x:v>62</x:v>
      </x:c>
      <x:c r="Y203" s="85" t="n">
        <x:v>67</x:v>
      </x:c>
      <x:c r="Z203" s="85" t="n">
        <x:v>73</x:v>
      </x:c>
      <x:c r="AA203" s="85" t="n">
        <x:v>65</x:v>
      </x:c>
      <x:c r="AB203" s="85" t="n">
        <x:v>74</x:v>
      </x:c>
      <x:c r="AC203" s="82" t="n">
        <x:v>0</x:v>
      </x:c>
      <x:c r="AD203" s="82" t="n">
        <x:v>0</x:v>
      </x:c>
      <x:c r="AE203" s="82" t="n">
        <x:v>0</x:v>
      </x:c>
      <x:c r="AF203" s="82" t="n">
        <x:v>0</x:v>
      </x:c>
      <x:c r="AG203" s="91" t="str">
        <x:v>要実績照合</x:v>
      </x:c>
      <x:c r="AH203" s="91" t="str">
        <x:v>現役300名補充時の脚質暫定値。パリ〜ルーベ／ロンド個人成績の追加照合が必要</x:v>
      </x:c>
      <x:c r="AI203" s="91" t="str">
        <x:v>https://www.paris-roubaix.fr/en/history</x:v>
      </x:c>
      <x:c r="AJ203" s="91" t="str">
        <x:v>能力・適性・Credit整合済</x:v>
      </x:c>
      <x:c r="AK20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3" s="91" t="str">
        <x:v>https://en.wikipedia.org/wiki/Lars_Craps</x:v>
      </x:c>
    </x:row>
    <x:row r="204" ht="24" customHeight="1">
      <x:c r="A204" s="82" t="n">
        <x:v>200</x:v>
      </x:c>
      <x:c r="B204" s="82" t="str">
        <x:v>Diego Pescador</x:v>
      </x:c>
      <x:c r="C204" s="143" t="str"/>
      <x:c r="D204" s="82" t="str">
        <x:v>コロンビア</x:v>
      </x:c>
      <x:c r="E204" s="82" t="str">
        <x:v>現役</x:v>
      </x:c>
      <x:c r="F204" s="82" t="str">
        <x:v>クライマー</x:v>
      </x:c>
      <x:c r="G204" s="82" t="str">
        <x:v>総合型</x:v>
      </x:c>
      <x:c r="H204" s="85" t="n">
        <x:v>71</x:v>
      </x:c>
      <x:c r="I204" s="85" t="n">
        <x:v>72</x:v>
      </x:c>
      <x:c r="J204" s="91" t="str">
        <x:v>山岳賞ハンター / 山岳アシスト / 山岳ペースメーカー / 集団コントローラー</x:v>
      </x:c>
      <x:c r="K204" s="91" t="str"/>
      <x:c r="L204" s="91" t="str">
        <x:v>クライマー / 総合型</x:v>
      </x:c>
      <x:c r="M204" s="88" t="n">
        <x:v>4150</x:v>
      </x:c>
      <x:c r="N204" s="85" t="n">
        <x:v>59</x:v>
      </x:c>
      <x:c r="O204" s="85" t="n">
        <x:v>63</x:v>
      </x:c>
      <x:c r="P204" s="85" t="n">
        <x:v>68</x:v>
      </x:c>
      <x:c r="Q204" s="85" t="n">
        <x:v>62</x:v>
      </x:c>
      <x:c r="R204" s="85" t="n">
        <x:v>74</x:v>
      </x:c>
      <x:c r="S204" s="85" t="n">
        <x:v>73</x:v>
      </x:c>
      <x:c r="T204" s="85" t="n">
        <x:v>70</x:v>
      </x:c>
      <x:c r="U204" s="85" t="n">
        <x:v>60</x:v>
      </x:c>
      <x:c r="V204" s="85" t="n">
        <x:v>65</x:v>
      </x:c>
      <x:c r="W204" s="85" t="n">
        <x:v>50</x:v>
      </x:c>
      <x:c r="X204" s="85" t="n">
        <x:v>73</x:v>
      </x:c>
      <x:c r="Y204" s="85" t="n">
        <x:v>75</x:v>
      </x:c>
      <x:c r="Z204" s="85" t="n">
        <x:v>72</x:v>
      </x:c>
      <x:c r="AA204" s="85" t="n">
        <x:v>66</x:v>
      </x:c>
      <x:c r="AB204" s="85" t="n">
        <x:v>73</x:v>
      </x:c>
      <x:c r="AC204" s="82" t="n">
        <x:v>0</x:v>
      </x:c>
      <x:c r="AD204" s="82" t="n">
        <x:v>0</x:v>
      </x:c>
      <x:c r="AE204" s="82" t="n">
        <x:v>0</x:v>
      </x:c>
      <x:c r="AF204" s="82" t="n">
        <x:v>0</x:v>
      </x:c>
      <x:c r="AG204" s="91" t="str">
        <x:v>要実績照合</x:v>
      </x:c>
      <x:c r="AH204" s="91" t="str">
        <x:v>現役300名補充時の脚質暫定値。パリ〜ルーベ／ロンド個人成績の追加照合が必要</x:v>
      </x:c>
      <x:c r="AI204" s="91" t="str">
        <x:v>https://www.paris-roubaix.fr/en/history</x:v>
      </x:c>
      <x:c r="AJ204" s="91" t="str">
        <x:v>能力・適性・Credit整合済</x:v>
      </x:c>
      <x:c r="AK204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4" s="91" t="str">
        <x:v>https://en.wikipedia.org/wiki/Diego_Pescador</x:v>
      </x:c>
    </x:row>
    <x:row r="205" ht="24" customHeight="1">
      <x:c r="A205" s="82" t="n">
        <x:v>201</x:v>
      </x:c>
      <x:c r="B205" s="82" t="str">
        <x:v>Fran Miholjević</x:v>
      </x:c>
      <x:c r="C205" s="143" t="str"/>
      <x:c r="D205" s="82" t="str">
        <x:v>CRO</x:v>
      </x:c>
      <x:c r="E205" s="82" t="str">
        <x:v>現役</x:v>
      </x:c>
      <x:c r="F205" s="82" t="str">
        <x:v>スプリンター</x:v>
      </x:c>
      <x:c r="G205" s="82" t="str">
        <x:v>総合型</x:v>
      </x:c>
      <x:c r="H205" s="85" t="n">
        <x:v>71</x:v>
      </x:c>
      <x:c r="I205" s="85" t="n">
        <x:v>66</x:v>
      </x:c>
      <x:c r="J205" s="91" t="str">
        <x:v>リードアウト / 最終発射台 / スプリントトレイン / 集団コントローラー</x:v>
      </x:c>
      <x:c r="K205" s="91" t="str"/>
      <x:c r="L205" s="91" t="str">
        <x:v>スプリンター / 総合型</x:v>
      </x:c>
      <x:c r="M205" s="88" t="n">
        <x:v>4100</x:v>
      </x:c>
      <x:c r="N205" s="85" t="n">
        <x:v>81</x:v>
      </x:c>
      <x:c r="O205" s="85" t="n">
        <x:v>80</x:v>
      </x:c>
      <x:c r="P205" s="85" t="n">
        <x:v>63</x:v>
      </x:c>
      <x:c r="Q205" s="85" t="n">
        <x:v>72</x:v>
      </x:c>
      <x:c r="R205" s="85" t="n">
        <x:v>57</x:v>
      </x:c>
      <x:c r="S205" s="85" t="n">
        <x:v>64</x:v>
      </x:c>
      <x:c r="T205" s="85" t="n">
        <x:v>61</x:v>
      </x:c>
      <x:c r="U205" s="85" t="n">
        <x:v>66</x:v>
      </x:c>
      <x:c r="V205" s="85" t="n">
        <x:v>66</x:v>
      </x:c>
      <x:c r="W205" s="85" t="n">
        <x:v>57</x:v>
      </x:c>
      <x:c r="X205" s="85" t="n">
        <x:v>65</x:v>
      </x:c>
      <x:c r="Y205" s="85" t="n">
        <x:v>63</x:v>
      </x:c>
      <x:c r="Z205" s="85" t="n">
        <x:v>61</x:v>
      </x:c>
      <x:c r="AA205" s="85" t="n">
        <x:v>73</x:v>
      </x:c>
      <x:c r="AB205" s="85" t="n">
        <x:v>68</x:v>
      </x:c>
      <x:c r="AC205" s="82" t="n">
        <x:v>0</x:v>
      </x:c>
      <x:c r="AD205" s="82" t="n">
        <x:v>0</x:v>
      </x:c>
      <x:c r="AE205" s="82" t="n">
        <x:v>0</x:v>
      </x:c>
      <x:c r="AF205" s="82" t="n">
        <x:v>0</x:v>
      </x:c>
      <x:c r="AG205" s="91" t="str">
        <x:v>要実績照合</x:v>
      </x:c>
      <x:c r="AH205" s="91" t="str">
        <x:v>現役300名補充時の脚質暫定値。パリ〜ルーベ／ロンド個人成績の追加照合が必要</x:v>
      </x:c>
      <x:c r="AI205" s="91" t="str">
        <x:v>https://www.paris-roubaix.fr/en/history</x:v>
      </x:c>
      <x:c r="AJ205" s="91" t="str">
        <x:v>能力・適性・Credit整合済</x:v>
      </x:c>
      <x:c r="AK20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5" s="91" t="str">
        <x:v>https://en.wikipedia.org/wiki/Fran_Miholjevi%C4%87</x:v>
      </x:c>
    </x:row>
    <x:row r="206" ht="24" customHeight="1">
      <x:c r="A206" s="82" t="n">
        <x:v>202</x:v>
      </x:c>
      <x:c r="B206" s="82" t="str">
        <x:v>Madis Mihkels</x:v>
      </x:c>
      <x:c r="C206" s="143" t="str"/>
      <x:c r="D206" s="82" t="str">
        <x:v>エストニア</x:v>
      </x:c>
      <x:c r="E206" s="82" t="str">
        <x:v>現役</x:v>
      </x:c>
      <x:c r="F206" s="82" t="str">
        <x:v>パンチャー</x:v>
      </x:c>
      <x:c r="G206" s="82" t="str">
        <x:v>総合型</x:v>
      </x:c>
      <x:c r="H206" s="85" t="n">
        <x:v>71</x:v>
      </x:c>
      <x:c r="I206" s="85" t="n">
        <x:v>70</x:v>
      </x:c>
      <x:c r="J206" s="91" t="str">
        <x:v>ロードキャプテン / ステージハンター / 集団コントローラー</x:v>
      </x:c>
      <x:c r="K206" s="91" t="str"/>
      <x:c r="L206" s="91" t="str">
        <x:v>パンチャー / 総合型</x:v>
      </x:c>
      <x:c r="M206" s="88" t="n">
        <x:v>4050</x:v>
      </x:c>
      <x:c r="N206" s="85" t="n">
        <x:v>73</x:v>
      </x:c>
      <x:c r="O206" s="85" t="n">
        <x:v>76</x:v>
      </x:c>
      <x:c r="P206" s="85" t="n">
        <x:v>75</x:v>
      </x:c>
      <x:c r="Q206" s="85" t="n">
        <x:v>67</x:v>
      </x:c>
      <x:c r="R206" s="85" t="n">
        <x:v>72</x:v>
      </x:c>
      <x:c r="S206" s="85" t="n">
        <x:v>66</x:v>
      </x:c>
      <x:c r="T206" s="85" t="n">
        <x:v>68</x:v>
      </x:c>
      <x:c r="U206" s="85" t="n">
        <x:v>75</x:v>
      </x:c>
      <x:c r="V206" s="85" t="n">
        <x:v>71</x:v>
      </x:c>
      <x:c r="W206" s="85" t="n">
        <x:v>57</x:v>
      </x:c>
      <x:c r="X206" s="85" t="n">
        <x:v>66</x:v>
      </x:c>
      <x:c r="Y206" s="85" t="n">
        <x:v>68</x:v>
      </x:c>
      <x:c r="Z206" s="85" t="n">
        <x:v>68</x:v>
      </x:c>
      <x:c r="AA206" s="85" t="n">
        <x:v>72</x:v>
      </x:c>
      <x:c r="AB206" s="85" t="n">
        <x:v>71</x:v>
      </x:c>
      <x:c r="AC206" s="82" t="n">
        <x:v>0</x:v>
      </x:c>
      <x:c r="AD206" s="82" t="n">
        <x:v>0</x:v>
      </x:c>
      <x:c r="AE206" s="82" t="n">
        <x:v>0</x:v>
      </x:c>
      <x:c r="AF206" s="82" t="n">
        <x:v>0</x:v>
      </x:c>
      <x:c r="AG206" s="91" t="str">
        <x:v>要実績照合</x:v>
      </x:c>
      <x:c r="AH206" s="91" t="str">
        <x:v>現役300名補充時の脚質暫定値。パリ〜ルーベ／ロンド個人成績の追加照合が必要</x:v>
      </x:c>
      <x:c r="AI206" s="91" t="str">
        <x:v>https://www.paris-roubaix.fr/en/history</x:v>
      </x:c>
      <x:c r="AJ206" s="91" t="str">
        <x:v>能力・適性・Credit整合済</x:v>
      </x:c>
      <x:c r="AK20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6" s="91" t="str">
        <x:v>https://en.wikipedia.org/wiki/Madis_Mihkels</x:v>
      </x:c>
    </x:row>
    <x:row r="207" ht="24" customHeight="1">
      <x:c r="A207" s="82" t="n">
        <x:v>203</x:v>
      </x:c>
      <x:c r="B207" s="82" t="str">
        <x:v>Luke Lamperti</x:v>
      </x:c>
      <x:c r="C207" s="143" t="str"/>
      <x:c r="D207" s="82" t="str">
        <x:v>アメリカ</x:v>
      </x:c>
      <x:c r="E207" s="82" t="str">
        <x:v>現役</x:v>
      </x:c>
      <x:c r="F207" s="82" t="str">
        <x:v>スプリンター</x:v>
      </x:c>
      <x:c r="G207" s="82" t="str">
        <x:v>TT・ルーラー型</x:v>
      </x:c>
      <x:c r="H207" s="85" t="n">
        <x:v>71</x:v>
      </x:c>
      <x:c r="I207" s="85" t="n">
        <x:v>67</x:v>
      </x:c>
      <x:c r="J207" s="91" t="str">
        <x:v>リードアウト / 最終発射台 / 無賃乗車</x:v>
      </x:c>
      <x:c r="K207" s="91" t="str"/>
      <x:c r="L207" s="91" t="str">
        <x:v>スプリンター / TT・ルーラー型</x:v>
      </x:c>
      <x:c r="M207" s="88" t="n">
        <x:v>4050</x:v>
      </x:c>
      <x:c r="N207" s="85" t="n">
        <x:v>80</x:v>
      </x:c>
      <x:c r="O207" s="85" t="n">
        <x:v>75</x:v>
      </x:c>
      <x:c r="P207" s="85" t="n">
        <x:v>65</x:v>
      </x:c>
      <x:c r="Q207" s="85" t="n">
        <x:v>72</x:v>
      </x:c>
      <x:c r="R207" s="85" t="n">
        <x:v>58</x:v>
      </x:c>
      <x:c r="S207" s="85" t="n">
        <x:v>63</x:v>
      </x:c>
      <x:c r="T207" s="85" t="n">
        <x:v>68</x:v>
      </x:c>
      <x:c r="U207" s="85" t="n">
        <x:v>69</x:v>
      </x:c>
      <x:c r="V207" s="85" t="n">
        <x:v>67</x:v>
      </x:c>
      <x:c r="W207" s="85" t="n">
        <x:v>54</x:v>
      </x:c>
      <x:c r="X207" s="85" t="n">
        <x:v>69</x:v>
      </x:c>
      <x:c r="Y207" s="85" t="n">
        <x:v>66</x:v>
      </x:c>
      <x:c r="Z207" s="85" t="n">
        <x:v>62</x:v>
      </x:c>
      <x:c r="AA207" s="85" t="n">
        <x:v>73</x:v>
      </x:c>
      <x:c r="AB207" s="85" t="n">
        <x:v>68</x:v>
      </x:c>
      <x:c r="AC207" s="82" t="n">
        <x:v>0</x:v>
      </x:c>
      <x:c r="AD207" s="82" t="n">
        <x:v>0</x:v>
      </x:c>
      <x:c r="AE207" s="82" t="n">
        <x:v>0</x:v>
      </x:c>
      <x:c r="AF207" s="82" t="n">
        <x:v>0</x:v>
      </x:c>
      <x:c r="AG207" s="91" t="str">
        <x:v>要実績照合</x:v>
      </x:c>
      <x:c r="AH207" s="91" t="str">
        <x:v>現役300名補充時の脚質暫定値。パリ〜ルーベ／ロンド個人成績の追加照合が必要</x:v>
      </x:c>
      <x:c r="AI207" s="91" t="str">
        <x:v>https://www.paris-roubaix.fr/en/history</x:v>
      </x:c>
      <x:c r="AJ207" s="91" t="str">
        <x:v>能力・適性・Credit整合済</x:v>
      </x:c>
      <x:c r="AK20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7" s="91" t="str">
        <x:v>https://en.wikipedia.org/wiki/Luke_Lamperti</x:v>
      </x:c>
    </x:row>
    <x:row r="208" ht="24" customHeight="1">
      <x:c r="A208" s="82" t="n">
        <x:v>204</x:v>
      </x:c>
      <x:c r="B208" s="82" t="str">
        <x:v>Dries Van Gestel</x:v>
      </x:c>
      <x:c r="C208" s="143" t="str"/>
      <x:c r="D208" s="82" t="str">
        <x:v>ベルギー</x:v>
      </x:c>
      <x:c r="E208" s="82" t="str">
        <x:v>現役</x:v>
      </x:c>
      <x:c r="F208" s="82" t="str">
        <x:v>パンチャー</x:v>
      </x:c>
      <x:c r="G208" s="82" t="str">
        <x:v>クライマー</x:v>
      </x:c>
      <x:c r="H208" s="85" t="n">
        <x:v>71</x:v>
      </x:c>
      <x:c r="I208" s="85" t="n">
        <x:v>69</x:v>
      </x:c>
      <x:c r="J208" s="91" t="str">
        <x:v>ステージハンター / 山岳賞ハンター / 無賃乗車</x:v>
      </x:c>
      <x:c r="K208" s="91" t="str"/>
      <x:c r="L208" s="91" t="str">
        <x:v>パンチャー / クライマー</x:v>
      </x:c>
      <x:c r="M208" s="88" t="n">
        <x:v>4000</x:v>
      </x:c>
      <x:c r="N208" s="85" t="n">
        <x:v>72</x:v>
      </x:c>
      <x:c r="O208" s="85" t="n">
        <x:v>71</x:v>
      </x:c>
      <x:c r="P208" s="85" t="n">
        <x:v>79</x:v>
      </x:c>
      <x:c r="Q208" s="85" t="n">
        <x:v>67</x:v>
      </x:c>
      <x:c r="R208" s="85" t="n">
        <x:v>72</x:v>
      </x:c>
      <x:c r="S208" s="85" t="n">
        <x:v>63</x:v>
      </x:c>
      <x:c r="T208" s="85" t="n">
        <x:v>68</x:v>
      </x:c>
      <x:c r="U208" s="85" t="n">
        <x:v>73</x:v>
      </x:c>
      <x:c r="V208" s="85" t="n">
        <x:v>71</x:v>
      </x:c>
      <x:c r="W208" s="85" t="n">
        <x:v>53</x:v>
      </x:c>
      <x:c r="X208" s="85" t="n">
        <x:v>68</x:v>
      </x:c>
      <x:c r="Y208" s="85" t="n">
        <x:v>63</x:v>
      </x:c>
      <x:c r="Z208" s="85" t="n">
        <x:v>63</x:v>
      </x:c>
      <x:c r="AA208" s="85" t="n">
        <x:v>72</x:v>
      </x:c>
      <x:c r="AB208" s="85" t="n">
        <x:v>74</x:v>
      </x:c>
      <x:c r="AC208" s="82" t="n">
        <x:v>0</x:v>
      </x:c>
      <x:c r="AD208" s="82" t="n">
        <x:v>0</x:v>
      </x:c>
      <x:c r="AE208" s="82" t="n">
        <x:v>0</x:v>
      </x:c>
      <x:c r="AF208" s="82" t="n">
        <x:v>0</x:v>
      </x:c>
      <x:c r="AG208" s="91" t="str">
        <x:v>要実績照合</x:v>
      </x:c>
      <x:c r="AH208" s="91" t="str">
        <x:v>現役300名補充時の脚質暫定値。パリ〜ルーベ／ロンド個人成績の追加照合が必要</x:v>
      </x:c>
      <x:c r="AI208" s="91" t="str">
        <x:v>https://www.paris-roubaix.fr/en/history</x:v>
      </x:c>
      <x:c r="AJ208" s="91" t="str">
        <x:v>能力・適性・Credit整合済</x:v>
      </x:c>
      <x:c r="AK20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8" s="91" t="str">
        <x:v>https://en.wikipedia.org/wiki/Dries_Van_Gestel</x:v>
      </x:c>
    </x:row>
    <x:row r="209" ht="24" customHeight="1">
      <x:c r="A209" s="82" t="n">
        <x:v>205</x:v>
      </x:c>
      <x:c r="B209" s="82" t="str">
        <x:v>Ben Zwiehoff</x:v>
      </x:c>
      <x:c r="C209" s="143" t="str"/>
      <x:c r="D209" s="82" t="str">
        <x:v>ドイツ</x:v>
      </x:c>
      <x:c r="E209" s="82" t="str">
        <x:v>現役</x:v>
      </x:c>
      <x:c r="F209" s="82" t="str">
        <x:v>パンチャー</x:v>
      </x:c>
      <x:c r="G209" s="82" t="str">
        <x:v>スプリンター</x:v>
      </x:c>
      <x:c r="H209" s="85" t="n">
        <x:v>71</x:v>
      </x:c>
      <x:c r="I209" s="85" t="n">
        <x:v>68</x:v>
      </x:c>
      <x:c r="J209" s="91" t="str">
        <x:v>ロードキャプテン / ステージハンター / スプリントトレイン</x:v>
      </x:c>
      <x:c r="K209" s="91" t="str"/>
      <x:c r="L209" s="91" t="str">
        <x:v>パンチャー / スプリンター</x:v>
      </x:c>
      <x:c r="M209" s="88" t="n">
        <x:v>3850</x:v>
      </x:c>
      <x:c r="N209" s="85" t="n">
        <x:v>70</x:v>
      </x:c>
      <x:c r="O209" s="85" t="n">
        <x:v>75</x:v>
      </x:c>
      <x:c r="P209" s="85" t="n">
        <x:v>74</x:v>
      </x:c>
      <x:c r="Q209" s="85" t="n">
        <x:v>65</x:v>
      </x:c>
      <x:c r="R209" s="85" t="n">
        <x:v>71</x:v>
      </x:c>
      <x:c r="S209" s="85" t="n">
        <x:v>65</x:v>
      </x:c>
      <x:c r="T209" s="85" t="n">
        <x:v>65</x:v>
      </x:c>
      <x:c r="U209" s="85" t="n">
        <x:v>71</x:v>
      </x:c>
      <x:c r="V209" s="85" t="n">
        <x:v>72</x:v>
      </x:c>
      <x:c r="W209" s="85" t="n">
        <x:v>59</x:v>
      </x:c>
      <x:c r="X209" s="85" t="n">
        <x:v>70</x:v>
      </x:c>
      <x:c r="Y209" s="85" t="n">
        <x:v>65</x:v>
      </x:c>
      <x:c r="Z209" s="85" t="n">
        <x:v>64</x:v>
      </x:c>
      <x:c r="AA209" s="85" t="n">
        <x:v>71</x:v>
      </x:c>
      <x:c r="AB209" s="85" t="n">
        <x:v>75</x:v>
      </x:c>
      <x:c r="AC209" s="82" t="n">
        <x:v>0</x:v>
      </x:c>
      <x:c r="AD209" s="82" t="n">
        <x:v>0</x:v>
      </x:c>
      <x:c r="AE209" s="82" t="n">
        <x:v>0</x:v>
      </x:c>
      <x:c r="AF209" s="82" t="n">
        <x:v>0</x:v>
      </x:c>
      <x:c r="AG209" s="91" t="str">
        <x:v>要実績照合</x:v>
      </x:c>
      <x:c r="AH209" s="91" t="str">
        <x:v>現役300名補充時の脚質暫定値。パリ〜ルーベ／ロンド個人成績の追加照合が必要</x:v>
      </x:c>
      <x:c r="AI209" s="91" t="str">
        <x:v>https://www.paris-roubaix.fr/en/history</x:v>
      </x:c>
      <x:c r="AJ209" s="91" t="str">
        <x:v>能力・適性・Credit整合済</x:v>
      </x:c>
      <x:c r="AK209" s="91" t="str">
        <x:v>公開プロフィール脚質「Cross-country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09" s="91" t="str">
        <x:v>https://en.wikipedia.org/wiki/Ben_Zwiehoff</x:v>
      </x:c>
    </x:row>
    <x:row r="210" ht="24" customHeight="1">
      <x:c r="A210" s="82" t="n">
        <x:v>206</x:v>
      </x:c>
      <x:c r="B210" s="82" t="str">
        <x:v>Fredrik Dversnes</x:v>
      </x:c>
      <x:c r="C210" s="143" t="str"/>
      <x:c r="D210" s="82" t="str">
        <x:v>ノルウェー</x:v>
      </x:c>
      <x:c r="E210" s="82" t="str">
        <x:v>現役</x:v>
      </x:c>
      <x:c r="F210" s="82" t="str">
        <x:v>パンチャー</x:v>
      </x:c>
      <x:c r="G210" s="82" t="str">
        <x:v>クライマー</x:v>
      </x:c>
      <x:c r="H210" s="85" t="n">
        <x:v>71</x:v>
      </x:c>
      <x:c r="I210" s="85" t="n">
        <x:v>69</x:v>
      </x:c>
      <x:c r="J210" s="91" t="str">
        <x:v>ステージハンター / 山岳賞ハンター / 下り牽引</x:v>
      </x:c>
      <x:c r="K210" s="91" t="str"/>
      <x:c r="L210" s="91" t="str">
        <x:v>パンチャー / クライマー</x:v>
      </x:c>
      <x:c r="M210" s="88" t="n">
        <x:v>3850</x:v>
      </x:c>
      <x:c r="N210" s="85" t="n">
        <x:v>67</x:v>
      </x:c>
      <x:c r="O210" s="85" t="n">
        <x:v>73</x:v>
      </x:c>
      <x:c r="P210" s="85" t="n">
        <x:v>75</x:v>
      </x:c>
      <x:c r="Q210" s="85" t="n">
        <x:v>67</x:v>
      </x:c>
      <x:c r="R210" s="85" t="n">
        <x:v>71</x:v>
      </x:c>
      <x:c r="S210" s="85" t="n">
        <x:v>66</x:v>
      </x:c>
      <x:c r="T210" s="85" t="n">
        <x:v>65</x:v>
      </x:c>
      <x:c r="U210" s="85" t="n">
        <x:v>69</x:v>
      </x:c>
      <x:c r="V210" s="85" t="n">
        <x:v>73</x:v>
      </x:c>
      <x:c r="W210" s="85" t="n">
        <x:v>58</x:v>
      </x:c>
      <x:c r="X210" s="85" t="n">
        <x:v>70</x:v>
      </x:c>
      <x:c r="Y210" s="85" t="n">
        <x:v>66</x:v>
      </x:c>
      <x:c r="Z210" s="85" t="n">
        <x:v>63</x:v>
      </x:c>
      <x:c r="AA210" s="85" t="n">
        <x:v>75</x:v>
      </x:c>
      <x:c r="AB210" s="85" t="n">
        <x:v>72</x:v>
      </x:c>
      <x:c r="AC210" s="82" t="n">
        <x:v>0</x:v>
      </x:c>
      <x:c r="AD210" s="82" t="n">
        <x:v>0</x:v>
      </x:c>
      <x:c r="AE210" s="82" t="n">
        <x:v>0</x:v>
      </x:c>
      <x:c r="AF210" s="82" t="n">
        <x:v>0</x:v>
      </x:c>
      <x:c r="AG210" s="91" t="str">
        <x:v>要実績照合</x:v>
      </x:c>
      <x:c r="AH210" s="91" t="str">
        <x:v>現役300名補充時の脚質暫定値。パリ〜ルーベ／ロンド個人成績の追加照合が必要</x:v>
      </x:c>
      <x:c r="AI210" s="91" t="str">
        <x:v>https://www.paris-roubaix.fr/en/history</x:v>
      </x:c>
      <x:c r="AJ210" s="91" t="str">
        <x:v>能力・適性・Credit整合済</x:v>
      </x:c>
      <x:c r="AK21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0" s="91" t="str">
        <x:v>https://en.wikipedia.org/wiki/Fredrik_Dversnes</x:v>
      </x:c>
    </x:row>
    <x:row r="211" ht="24" customHeight="1">
      <x:c r="A211" s="82" t="n">
        <x:v>207</x:v>
      </x:c>
      <x:c r="B211" s="82" t="str">
        <x:v>Jardi Christiaan van der Lee</x:v>
      </x:c>
      <x:c r="C211" s="143" t="str"/>
      <x:c r="D211" s="82" t="str">
        <x:v>オランダ</x:v>
      </x:c>
      <x:c r="E211" s="82" t="str">
        <x:v>現役</x:v>
      </x:c>
      <x:c r="F211" s="82" t="str">
        <x:v>パンチャー</x:v>
      </x:c>
      <x:c r="G211" s="82" t="str">
        <x:v>総合型</x:v>
      </x:c>
      <x:c r="H211" s="85" t="n">
        <x:v>71</x:v>
      </x:c>
      <x:c r="I211" s="85" t="n">
        <x:v>68</x:v>
      </x:c>
      <x:c r="J211" s="91" t="str">
        <x:v>ステージハンター / 山岳賞ハンター / 集団コントローラー</x:v>
      </x:c>
      <x:c r="K211" s="91" t="str"/>
      <x:c r="L211" s="91" t="str">
        <x:v>パンチャー / 総合型</x:v>
      </x:c>
      <x:c r="M211" s="88" t="n">
        <x:v>3850</x:v>
      </x:c>
      <x:c r="N211" s="85" t="n">
        <x:v>70</x:v>
      </x:c>
      <x:c r="O211" s="85" t="n">
        <x:v>74</x:v>
      </x:c>
      <x:c r="P211" s="85" t="n">
        <x:v>76</x:v>
      </x:c>
      <x:c r="Q211" s="85" t="n">
        <x:v>65</x:v>
      </x:c>
      <x:c r="R211" s="85" t="n">
        <x:v>72</x:v>
      </x:c>
      <x:c r="S211" s="85" t="n">
        <x:v>65</x:v>
      </x:c>
      <x:c r="T211" s="85" t="n">
        <x:v>65</x:v>
      </x:c>
      <x:c r="U211" s="85" t="n">
        <x:v>70</x:v>
      </x:c>
      <x:c r="V211" s="85" t="n">
        <x:v>74</x:v>
      </x:c>
      <x:c r="W211" s="85" t="n">
        <x:v>53</x:v>
      </x:c>
      <x:c r="X211" s="85" t="n">
        <x:v>69</x:v>
      </x:c>
      <x:c r="Y211" s="85" t="n">
        <x:v>66</x:v>
      </x:c>
      <x:c r="Z211" s="85" t="n">
        <x:v>65</x:v>
      </x:c>
      <x:c r="AA211" s="85" t="n">
        <x:v>74</x:v>
      </x:c>
      <x:c r="AB211" s="85" t="n">
        <x:v>70</x:v>
      </x:c>
      <x:c r="AC211" s="82" t="n">
        <x:v>0</x:v>
      </x:c>
      <x:c r="AD211" s="82" t="n">
        <x:v>0</x:v>
      </x:c>
      <x:c r="AE211" s="82" t="n">
        <x:v>0</x:v>
      </x:c>
      <x:c r="AF211" s="82" t="n">
        <x:v>0</x:v>
      </x:c>
      <x:c r="AG211" s="91" t="str">
        <x:v>要実績照合</x:v>
      </x:c>
      <x:c r="AH211" s="91" t="str">
        <x:v>現役300名補充時の脚質暫定値。パリ〜ルーベ／ロンド個人成績の追加照合が必要</x:v>
      </x:c>
      <x:c r="AI211" s="91" t="str">
        <x:v>https://www.paris-roubaix.fr/en/history</x:v>
      </x:c>
      <x:c r="AJ211" s="91" t="str">
        <x:v>能力・適性・Credit整合済</x:v>
      </x:c>
      <x:c r="AK21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1" s="91" t="str">
        <x:v>https://en.wikipedia.org/wiki/List_of_2026_UCI_WorldTeams_and_riders</x:v>
      </x:c>
    </x:row>
    <x:row r="212" ht="24" customHeight="1">
      <x:c r="A212" s="82" t="n">
        <x:v>208</x:v>
      </x:c>
      <x:c r="B212" s="82" t="str">
        <x:v>Gonzalo Serrano</x:v>
      </x:c>
      <x:c r="C212" s="143" t="str"/>
      <x:c r="D212" s="82" t="str">
        <x:v>スペイン</x:v>
      </x:c>
      <x:c r="E212" s="82" t="str">
        <x:v>現役</x:v>
      </x:c>
      <x:c r="F212" s="82" t="str">
        <x:v>パンチャー</x:v>
      </x:c>
      <x:c r="G212" s="82" t="str">
        <x:v>クライマー</x:v>
      </x:c>
      <x:c r="H212" s="85" t="n">
        <x:v>71</x:v>
      </x:c>
      <x:c r="I212" s="85" t="n">
        <x:v>69</x:v>
      </x:c>
      <x:c r="J212" s="91" t="str">
        <x:v>ステージハンター / 山岳賞ハンター</x:v>
      </x:c>
      <x:c r="K212" s="91" t="str"/>
      <x:c r="L212" s="91" t="str">
        <x:v>パンチャー / クライマー</x:v>
      </x:c>
      <x:c r="M212" s="88" t="n">
        <x:v>3800</x:v>
      </x:c>
      <x:c r="N212" s="85" t="n">
        <x:v>72</x:v>
      </x:c>
      <x:c r="O212" s="85" t="n">
        <x:v>72</x:v>
      </x:c>
      <x:c r="P212" s="85" t="n">
        <x:v>75</x:v>
      </x:c>
      <x:c r="Q212" s="85" t="n">
        <x:v>69</x:v>
      </x:c>
      <x:c r="R212" s="85" t="n">
        <x:v>70</x:v>
      </x:c>
      <x:c r="S212" s="85" t="n">
        <x:v>68</x:v>
      </x:c>
      <x:c r="T212" s="85" t="n">
        <x:v>63</x:v>
      </x:c>
      <x:c r="U212" s="85" t="n">
        <x:v>72</x:v>
      </x:c>
      <x:c r="V212" s="85" t="n">
        <x:v>74</x:v>
      </x:c>
      <x:c r="W212" s="85" t="n">
        <x:v>56</x:v>
      </x:c>
      <x:c r="X212" s="85" t="n">
        <x:v>66</x:v>
      </x:c>
      <x:c r="Y212" s="85" t="n">
        <x:v>65</x:v>
      </x:c>
      <x:c r="Z212" s="85" t="n">
        <x:v>62</x:v>
      </x:c>
      <x:c r="AA212" s="85" t="n">
        <x:v>75</x:v>
      </x:c>
      <x:c r="AB212" s="85" t="n">
        <x:v>70</x:v>
      </x:c>
      <x:c r="AC212" s="82" t="n">
        <x:v>0</x:v>
      </x:c>
      <x:c r="AD212" s="82" t="n">
        <x:v>0</x:v>
      </x:c>
      <x:c r="AE212" s="82" t="n">
        <x:v>0</x:v>
      </x:c>
      <x:c r="AF212" s="82" t="n">
        <x:v>0</x:v>
      </x:c>
      <x:c r="AG212" s="91" t="str">
        <x:v>要実績照合</x:v>
      </x:c>
      <x:c r="AH212" s="91" t="str">
        <x:v>現役300名補充時の脚質暫定値。パリ〜ルーベ／ロンド個人成績の追加照合が必要</x:v>
      </x:c>
      <x:c r="AI212" s="91" t="str">
        <x:v>https://www.paris-roubaix.fr/en/history</x:v>
      </x:c>
      <x:c r="AJ212" s="91" t="str">
        <x:v>能力・適性・Credit整合済</x:v>
      </x:c>
      <x:c r="AK21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2" s="91" t="str">
        <x:v>https://en.wikipedia.org/wiki/Gonzalo_Serrano</x:v>
      </x:c>
    </x:row>
    <x:row r="213" ht="24" customHeight="1">
      <x:c r="A213" s="82" t="n">
        <x:v>209</x:v>
      </x:c>
      <x:c r="B213" s="82" t="str">
        <x:v>Ådne Holter</x:v>
      </x:c>
      <x:c r="C213" s="143" t="str"/>
      <x:c r="D213" s="82" t="str">
        <x:v>ノルウェー</x:v>
      </x:c>
      <x:c r="E213" s="82" t="str">
        <x:v>現役</x:v>
      </x:c>
      <x:c r="F213" s="82" t="str">
        <x:v>パンチャー</x:v>
      </x:c>
      <x:c r="G213" s="82" t="str">
        <x:v>総合型</x:v>
      </x:c>
      <x:c r="H213" s="85" t="n">
        <x:v>71</x:v>
      </x:c>
      <x:c r="I213" s="85" t="n">
        <x:v>66</x:v>
      </x:c>
      <x:c r="J213" s="91" t="str">
        <x:v>ステージハンター / 山岳賞ハンター / 集団コントローラー</x:v>
      </x:c>
      <x:c r="K213" s="91" t="str"/>
      <x:c r="L213" s="91" t="str">
        <x:v>パンチャー / 総合型</x:v>
      </x:c>
      <x:c r="M213" s="88" t="n">
        <x:v>3800</x:v>
      </x:c>
      <x:c r="N213" s="85" t="n">
        <x:v>70</x:v>
      </x:c>
      <x:c r="O213" s="85" t="n">
        <x:v>75</x:v>
      </x:c>
      <x:c r="P213" s="85" t="n">
        <x:v>78</x:v>
      </x:c>
      <x:c r="Q213" s="85" t="n">
        <x:v>63</x:v>
      </x:c>
      <x:c r="R213" s="85" t="n">
        <x:v>71</x:v>
      </x:c>
      <x:c r="S213" s="85" t="n">
        <x:v>61</x:v>
      </x:c>
      <x:c r="T213" s="85" t="n">
        <x:v>67</x:v>
      </x:c>
      <x:c r="U213" s="85" t="n">
        <x:v>69</x:v>
      </x:c>
      <x:c r="V213" s="85" t="n">
        <x:v>72</x:v>
      </x:c>
      <x:c r="W213" s="85" t="n">
        <x:v>58</x:v>
      </x:c>
      <x:c r="X213" s="85" t="n">
        <x:v>69</x:v>
      </x:c>
      <x:c r="Y213" s="85" t="n">
        <x:v>64</x:v>
      </x:c>
      <x:c r="Z213" s="85" t="n">
        <x:v>58</x:v>
      </x:c>
      <x:c r="AA213" s="85" t="n">
        <x:v>73</x:v>
      </x:c>
      <x:c r="AB213" s="85" t="n">
        <x:v>72</x:v>
      </x:c>
      <x:c r="AC213" s="82" t="n">
        <x:v>0</x:v>
      </x:c>
      <x:c r="AD213" s="82" t="n">
        <x:v>0</x:v>
      </x:c>
      <x:c r="AE213" s="82" t="n">
        <x:v>0</x:v>
      </x:c>
      <x:c r="AF213" s="82" t="n">
        <x:v>0</x:v>
      </x:c>
      <x:c r="AG213" s="91" t="str">
        <x:v>要実績照合</x:v>
      </x:c>
      <x:c r="AH213" s="91" t="str">
        <x:v>現役300名補充時の脚質暫定値。パリ〜ルーベ／ロンド個人成績の追加照合が必要</x:v>
      </x:c>
      <x:c r="AI213" s="91" t="str">
        <x:v>https://www.paris-roubaix.fr/en/history</x:v>
      </x:c>
      <x:c r="AJ213" s="91" t="str">
        <x:v>能力・適性・Credit整合済</x:v>
      </x:c>
      <x:c r="AK21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3" s="91" t="str">
        <x:v>https://en.wikipedia.org/wiki/%C3%85dne_Holter</x:v>
      </x:c>
    </x:row>
    <x:row r="214" ht="24" customHeight="1">
      <x:c r="A214" s="82" t="n">
        <x:v>210</x:v>
      </x:c>
      <x:c r="B214" s="82" t="str">
        <x:v>Alessandro Romele</x:v>
      </x:c>
      <x:c r="C214" s="143" t="str"/>
      <x:c r="D214" s="82" t="str">
        <x:v>イタリア</x:v>
      </x:c>
      <x:c r="E214" s="82" t="str">
        <x:v>現役</x:v>
      </x:c>
      <x:c r="F214" s="82" t="str">
        <x:v>パンチャー</x:v>
      </x:c>
      <x:c r="G214" s="82" t="str">
        <x:v>TT・ルーラー型</x:v>
      </x:c>
      <x:c r="H214" s="85" t="n">
        <x:v>71</x:v>
      </x:c>
      <x:c r="I214" s="85" t="n">
        <x:v>68</x:v>
      </x:c>
      <x:c r="J214" s="91" t="str">
        <x:v>ステージハンター</x:v>
      </x:c>
      <x:c r="K214" s="91" t="str"/>
      <x:c r="L214" s="91" t="str">
        <x:v>パンチャー / TT・ルーラー型</x:v>
      </x:c>
      <x:c r="M214" s="88" t="n">
        <x:v>3700</x:v>
      </x:c>
      <x:c r="N214" s="85" t="n">
        <x:v>69</x:v>
      </x:c>
      <x:c r="O214" s="85" t="n">
        <x:v>72</x:v>
      </x:c>
      <x:c r="P214" s="85" t="n">
        <x:v>75</x:v>
      </x:c>
      <x:c r="Q214" s="85" t="n">
        <x:v>68</x:v>
      </x:c>
      <x:c r="R214" s="85" t="n">
        <x:v>70</x:v>
      </x:c>
      <x:c r="S214" s="85" t="n">
        <x:v>63</x:v>
      </x:c>
      <x:c r="T214" s="85" t="n">
        <x:v>65</x:v>
      </x:c>
      <x:c r="U214" s="85" t="n">
        <x:v>67</x:v>
      </x:c>
      <x:c r="V214" s="85" t="n">
        <x:v>71</x:v>
      </x:c>
      <x:c r="W214" s="85" t="n">
        <x:v>55</x:v>
      </x:c>
      <x:c r="X214" s="85" t="n">
        <x:v>68</x:v>
      </x:c>
      <x:c r="Y214" s="85" t="n">
        <x:v>69</x:v>
      </x:c>
      <x:c r="Z214" s="85" t="n">
        <x:v>66</x:v>
      </x:c>
      <x:c r="AA214" s="85" t="n">
        <x:v>70</x:v>
      </x:c>
      <x:c r="AB214" s="85" t="n">
        <x:v>72</x:v>
      </x:c>
      <x:c r="AC214" s="82" t="n">
        <x:v>0</x:v>
      </x:c>
      <x:c r="AD214" s="82" t="n">
        <x:v>0</x:v>
      </x:c>
      <x:c r="AE214" s="82" t="n">
        <x:v>0</x:v>
      </x:c>
      <x:c r="AF214" s="82" t="n">
        <x:v>0</x:v>
      </x:c>
      <x:c r="AG214" s="91" t="str">
        <x:v>要実績照合</x:v>
      </x:c>
      <x:c r="AH214" s="91" t="str">
        <x:v>現役300名補充時の脚質暫定値。パリ〜ルーベ／ロンド個人成績の追加照合が必要</x:v>
      </x:c>
      <x:c r="AI214" s="91" t="str">
        <x:v>https://www.paris-roubaix.fr/en/history</x:v>
      </x:c>
      <x:c r="AJ214" s="91" t="str">
        <x:v>能力・適性・Credit整合済</x:v>
      </x:c>
      <x:c r="AK21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4" s="91" t="str">
        <x:v>https://en.wikipedia.org/wiki/Alessandro_Romele</x:v>
      </x:c>
    </x:row>
    <x:row r="215" ht="24" customHeight="1">
      <x:c r="A215" s="82" t="n">
        <x:v>211</x:v>
      </x:c>
      <x:c r="B215" s="82" t="str">
        <x:v>Erlend Blikra</x:v>
      </x:c>
      <x:c r="C215" s="143" t="str"/>
      <x:c r="D215" s="82" t="str">
        <x:v>ノルウェー</x:v>
      </x:c>
      <x:c r="E215" s="82" t="str">
        <x:v>現役</x:v>
      </x:c>
      <x:c r="F215" s="82" t="str">
        <x:v>パンチャー</x:v>
      </x:c>
      <x:c r="G215" s="82" t="str">
        <x:v>クライマー</x:v>
      </x:c>
      <x:c r="H215" s="85" t="n">
        <x:v>71</x:v>
      </x:c>
      <x:c r="I215" s="85" t="n">
        <x:v>68</x:v>
      </x:c>
      <x:c r="J215" s="91" t="str">
        <x:v>ステージハンター / 山岳賞ハンター</x:v>
      </x:c>
      <x:c r="K215" s="91" t="str"/>
      <x:c r="L215" s="91" t="str">
        <x:v>パンチャー / クライマー</x:v>
      </x:c>
      <x:c r="M215" s="88" t="n">
        <x:v>3400</x:v>
      </x:c>
      <x:c r="N215" s="85" t="n">
        <x:v>64</x:v>
      </x:c>
      <x:c r="O215" s="85" t="n">
        <x:v>70</x:v>
      </x:c>
      <x:c r="P215" s="85" t="n">
        <x:v>73</x:v>
      </x:c>
      <x:c r="Q215" s="85" t="n">
        <x:v>66</x:v>
      </x:c>
      <x:c r="R215" s="85" t="n">
        <x:v>70</x:v>
      </x:c>
      <x:c r="S215" s="85" t="n">
        <x:v>65</x:v>
      </x:c>
      <x:c r="T215" s="85" t="n">
        <x:v>63</x:v>
      </x:c>
      <x:c r="U215" s="85" t="n">
        <x:v>66</x:v>
      </x:c>
      <x:c r="V215" s="85" t="n">
        <x:v>67</x:v>
      </x:c>
      <x:c r="W215" s="85" t="n">
        <x:v>52</x:v>
      </x:c>
      <x:c r="X215" s="85" t="n">
        <x:v>62</x:v>
      </x:c>
      <x:c r="Y215" s="85" t="n">
        <x:v>63</x:v>
      </x:c>
      <x:c r="Z215" s="85" t="n">
        <x:v>63</x:v>
      </x:c>
      <x:c r="AA215" s="85" t="n">
        <x:v>73</x:v>
      </x:c>
      <x:c r="AB215" s="85" t="n">
        <x:v>70</x:v>
      </x:c>
      <x:c r="AC215" s="82" t="n">
        <x:v>0</x:v>
      </x:c>
      <x:c r="AD215" s="82" t="n">
        <x:v>0</x:v>
      </x:c>
      <x:c r="AE215" s="82" t="n">
        <x:v>0</x:v>
      </x:c>
      <x:c r="AF215" s="82" t="n">
        <x:v>0</x:v>
      </x:c>
      <x:c r="AG215" s="91" t="str">
        <x:v>要実績照合</x:v>
      </x:c>
      <x:c r="AH215" s="91" t="str">
        <x:v>現役300名補充時の脚質暫定値。パリ〜ルーベ／ロンド個人成績の追加照合が必要</x:v>
      </x:c>
      <x:c r="AI215" s="91" t="str">
        <x:v>https://www.paris-roubaix.fr/en/history</x:v>
      </x:c>
      <x:c r="AJ215" s="91" t="str">
        <x:v>能力・適性・Credit整合済</x:v>
      </x:c>
      <x:c r="AK21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5" s="91" t="str">
        <x:v>https://en.wikipedia.org/wiki/Erlend_Blikra</x:v>
      </x:c>
    </x:row>
    <x:row r="216" ht="24" customHeight="1">
      <x:c r="A216" s="82" t="n">
        <x:v>212</x:v>
      </x:c>
      <x:c r="B216" s="82" t="str">
        <x:v>Guillaume Boivin</x:v>
      </x:c>
      <x:c r="C216" s="143" t="str"/>
      <x:c r="D216" s="82" t="str">
        <x:v>カナダ</x:v>
      </x:c>
      <x:c r="E216" s="82" t="str">
        <x:v>現役</x:v>
      </x:c>
      <x:c r="F216" s="82" t="str">
        <x:v>TT・ルーラー型</x:v>
      </x:c>
      <x:c r="G216" s="82" t="str">
        <x:v>総合型</x:v>
      </x:c>
      <x:c r="H216" s="85" t="n">
        <x:v>70</x:v>
      </x:c>
      <x:c r="I216" s="85" t="n">
        <x:v>78</x:v>
      </x:c>
      <x:c r="J216" s="91" t="str">
        <x:v>TTスペシャリスト / 平坦アシスト / 集団コントローラー / ブレイクアウェイキラー</x:v>
      </x:c>
      <x:c r="K216" s="91" t="str"/>
      <x:c r="L216" s="91" t="str">
        <x:v>TT・ルーラー型 / 総合型</x:v>
      </x:c>
      <x:c r="M216" s="88" t="n">
        <x:v>5450</x:v>
      </x:c>
      <x:c r="N216" s="85" t="n">
        <x:v>68</x:v>
      </x:c>
      <x:c r="O216" s="85" t="n">
        <x:v>65</x:v>
      </x:c>
      <x:c r="P216" s="85" t="n">
        <x:v>66</x:v>
      </x:c>
      <x:c r="Q216" s="85" t="n">
        <x:v>81</x:v>
      </x:c>
      <x:c r="R216" s="85" t="n">
        <x:v>69</x:v>
      </x:c>
      <x:c r="S216" s="85" t="n">
        <x:v>78</x:v>
      </x:c>
      <x:c r="T216" s="85" t="n">
        <x:v>74</x:v>
      </x:c>
      <x:c r="U216" s="85" t="n">
        <x:v>76</x:v>
      </x:c>
      <x:c r="V216" s="85" t="n">
        <x:v>74</x:v>
      </x:c>
      <x:c r="W216" s="85" t="n">
        <x:v>60</x:v>
      </x:c>
      <x:c r="X216" s="85" t="n">
        <x:v>72</x:v>
      </x:c>
      <x:c r="Y216" s="85" t="n">
        <x:v>70</x:v>
      </x:c>
      <x:c r="Z216" s="85" t="n">
        <x:v>78</x:v>
      </x:c>
      <x:c r="AA216" s="85" t="n">
        <x:v>65</x:v>
      </x:c>
      <x:c r="AB216" s="85" t="n">
        <x:v>67</x:v>
      </x:c>
      <x:c r="AC216" s="82" t="n">
        <x:v>0</x:v>
      </x:c>
      <x:c r="AD216" s="82" t="n">
        <x:v>0</x:v>
      </x:c>
      <x:c r="AE216" s="82" t="n">
        <x:v>0</x:v>
      </x:c>
      <x:c r="AF216" s="82" t="n">
        <x:v>0</x:v>
      </x:c>
      <x:c r="AG216" s="91" t="str">
        <x:v>要実績照合</x:v>
      </x:c>
      <x:c r="AH216" s="91" t="str">
        <x:v>現役300名補充時の脚質暫定値。パリ〜ルーベ／ロンド個人成績の追加照合が必要</x:v>
      </x:c>
      <x:c r="AI216" s="91" t="str">
        <x:v>https://www.paris-roubaix.fr/en/history</x:v>
      </x:c>
      <x:c r="AJ216" s="91" t="str">
        <x:v>能力・適性・Credit整合済</x:v>
      </x:c>
      <x:c r="AK21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6" s="91" t="str">
        <x:v>https://en.wikipedia.org/wiki/Guillaume_Boivin</x:v>
      </x:c>
    </x:row>
    <x:row r="217" ht="24" customHeight="1">
      <x:c r="A217" s="82" t="n">
        <x:v>213</x:v>
      </x:c>
      <x:c r="B217" s="82" t="str">
        <x:v>Davide Formolo</x:v>
      </x:c>
      <x:c r="C217" s="143" t="str"/>
      <x:c r="D217" s="82" t="str">
        <x:v>イタリア</x:v>
      </x:c>
      <x:c r="E217" s="82" t="str">
        <x:v>現役</x:v>
      </x:c>
      <x:c r="F217" s="82" t="str">
        <x:v>クライマー</x:v>
      </x:c>
      <x:c r="G217" s="82" t="str">
        <x:v>クラシック型</x:v>
      </x:c>
      <x:c r="H217" s="85" t="n">
        <x:v>70</x:v>
      </x:c>
      <x:c r="I217" s="85" t="n">
        <x:v>73</x:v>
      </x:c>
      <x:c r="J217" s="91" t="str">
        <x:v>山岳賞ハンター / 山岳アシスト / 下り牽引</x:v>
      </x:c>
      <x:c r="K217" s="91" t="str"/>
      <x:c r="L217" s="91" t="str">
        <x:v>クライマー / クラシック型</x:v>
      </x:c>
      <x:c r="M217" s="88" t="n">
        <x:v>4650</x:v>
      </x:c>
      <x:c r="N217" s="85" t="n">
        <x:v>60</x:v>
      </x:c>
      <x:c r="O217" s="85" t="n">
        <x:v>67</x:v>
      </x:c>
      <x:c r="P217" s="85" t="n">
        <x:v>70</x:v>
      </x:c>
      <x:c r="Q217" s="85" t="n">
        <x:v>64</x:v>
      </x:c>
      <x:c r="R217" s="85" t="n">
        <x:v>78</x:v>
      </x:c>
      <x:c r="S217" s="85" t="n">
        <x:v>72</x:v>
      </x:c>
      <x:c r="T217" s="85" t="n">
        <x:v>72</x:v>
      </x:c>
      <x:c r="U217" s="85" t="n">
        <x:v>68</x:v>
      </x:c>
      <x:c r="V217" s="85" t="n">
        <x:v>69</x:v>
      </x:c>
      <x:c r="W217" s="85" t="n">
        <x:v>56</x:v>
      </x:c>
      <x:c r="X217" s="85" t="n">
        <x:v>74</x:v>
      </x:c>
      <x:c r="Y217" s="85" t="n">
        <x:v>74</x:v>
      </x:c>
      <x:c r="Z217" s="85" t="n">
        <x:v>69</x:v>
      </x:c>
      <x:c r="AA217" s="85" t="n">
        <x:v>68</x:v>
      </x:c>
      <x:c r="AB217" s="85" t="n">
        <x:v>75</x:v>
      </x:c>
      <x:c r="AC217" s="82" t="n">
        <x:v>0</x:v>
      </x:c>
      <x:c r="AD217" s="82" t="n">
        <x:v>0</x:v>
      </x:c>
      <x:c r="AE217" s="82" t="n">
        <x:v>0</x:v>
      </x:c>
      <x:c r="AF217" s="82" t="n">
        <x:v>0</x:v>
      </x:c>
      <x:c r="AG217" s="91" t="str">
        <x:v>要実績照合</x:v>
      </x:c>
      <x:c r="AH217" s="91" t="str">
        <x:v>現役300名補充時の脚質暫定値。パリ〜ルーベ／ロンド個人成績の追加照合が必要</x:v>
      </x:c>
      <x:c r="AI217" s="91" t="str">
        <x:v>https://www.paris-roubaix.fr/en/history</x:v>
      </x:c>
      <x:c r="AJ217" s="91" t="str">
        <x:v>能力・適性・Credit整合済</x:v>
      </x:c>
      <x:c r="AK217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7" s="91" t="str">
        <x:v>https://en.wikipedia.org/wiki/Davide_Formolo</x:v>
      </x:c>
    </x:row>
    <x:row r="218" ht="24" customHeight="1">
      <x:c r="A218" s="82" t="n">
        <x:v>214</x:v>
      </x:c>
      <x:c r="B218" s="82" t="str">
        <x:v>Adrien Boichis</x:v>
      </x:c>
      <x:c r="C218" s="143" t="str"/>
      <x:c r="D218" s="82" t="str">
        <x:v>フランス</x:v>
      </x:c>
      <x:c r="E218" s="82" t="str">
        <x:v>現役</x:v>
      </x:c>
      <x:c r="F218" s="82" t="str">
        <x:v>TT・ルーラー型</x:v>
      </x:c>
      <x:c r="G218" s="82" t="str">
        <x:v>総合型</x:v>
      </x:c>
      <x:c r="H218" s="85" t="n">
        <x:v>70</x:v>
      </x:c>
      <x:c r="I218" s="85" t="n">
        <x:v>77</x:v>
      </x:c>
      <x:c r="J218" s="91" t="str">
        <x:v>平坦アシスト / TT牽引 / 集団コントローラー / ブレイクアウェイキラー</x:v>
      </x:c>
      <x:c r="K218" s="91" t="str"/>
      <x:c r="L218" s="91" t="str">
        <x:v>TT・ルーラー型 / 総合型</x:v>
      </x:c>
      <x:c r="M218" s="88" t="n">
        <x:v>4550</x:v>
      </x:c>
      <x:c r="N218" s="85" t="n">
        <x:v>61</x:v>
      </x:c>
      <x:c r="O218" s="85" t="n">
        <x:v>66</x:v>
      </x:c>
      <x:c r="P218" s="85" t="n">
        <x:v>66</x:v>
      </x:c>
      <x:c r="Q218" s="85" t="n">
        <x:v>83</x:v>
      </x:c>
      <x:c r="R218" s="85" t="n">
        <x:v>69</x:v>
      </x:c>
      <x:c r="S218" s="85" t="n">
        <x:v>72</x:v>
      </x:c>
      <x:c r="T218" s="85" t="n">
        <x:v>71</x:v>
      </x:c>
      <x:c r="U218" s="85" t="n">
        <x:v>72</x:v>
      </x:c>
      <x:c r="V218" s="85" t="n">
        <x:v>63</x:v>
      </x:c>
      <x:c r="W218" s="85" t="n">
        <x:v>54</x:v>
      </x:c>
      <x:c r="X218" s="85" t="n">
        <x:v>65</x:v>
      </x:c>
      <x:c r="Y218" s="85" t="n">
        <x:v>65</x:v>
      </x:c>
      <x:c r="Z218" s="85" t="n">
        <x:v>77</x:v>
      </x:c>
      <x:c r="AA218" s="85" t="n">
        <x:v>67</x:v>
      </x:c>
      <x:c r="AB218" s="85" t="n">
        <x:v>64</x:v>
      </x:c>
      <x:c r="AC218" s="82" t="n">
        <x:v>0</x:v>
      </x:c>
      <x:c r="AD218" s="82" t="n">
        <x:v>0</x:v>
      </x:c>
      <x:c r="AE218" s="82" t="n">
        <x:v>0</x:v>
      </x:c>
      <x:c r="AF218" s="82" t="n">
        <x:v>0</x:v>
      </x:c>
      <x:c r="AG218" s="91" t="str">
        <x:v>要実績照合</x:v>
      </x:c>
      <x:c r="AH218" s="91" t="str">
        <x:v>現役300名補充時の脚質暫定値。パリ〜ルーベ／ロンド個人成績の追加照合が必要</x:v>
      </x:c>
      <x:c r="AI218" s="91" t="str">
        <x:v>https://www.paris-roubaix.fr/en/history</x:v>
      </x:c>
      <x:c r="AJ218" s="91" t="str">
        <x:v>能力・適性・Credit整合済</x:v>
      </x:c>
      <x:c r="AK21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8" s="91" t="str">
        <x:v>https://en.wikipedia.org/wiki/Adrien_Boichis</x:v>
      </x:c>
    </x:row>
    <x:row r="219" ht="24" customHeight="1">
      <x:c r="A219" s="82" t="n">
        <x:v>215</x:v>
      </x:c>
      <x:c r="B219" s="82" t="str">
        <x:v>Clément Champoussin</x:v>
      </x:c>
      <x:c r="C219" s="143" t="str"/>
      <x:c r="D219" s="82" t="str">
        <x:v>フランス</x:v>
      </x:c>
      <x:c r="E219" s="82" t="str">
        <x:v>現役</x:v>
      </x:c>
      <x:c r="F219" s="82" t="str">
        <x:v>クライマー</x:v>
      </x:c>
      <x:c r="G219" s="82" t="str">
        <x:v>総合型</x:v>
      </x:c>
      <x:c r="H219" s="85" t="n">
        <x:v>70</x:v>
      </x:c>
      <x:c r="I219" s="85" t="n">
        <x:v>73</x:v>
      </x:c>
      <x:c r="J219" s="91" t="str">
        <x:v>山岳賞ハンター / 山岳アシスト / 山岳ペースメーカー / 集団コントローラー</x:v>
      </x:c>
      <x:c r="K219" s="91" t="str"/>
      <x:c r="L219" s="91" t="str">
        <x:v>クライマー / 総合型</x:v>
      </x:c>
      <x:c r="M219" s="88" t="n">
        <x:v>4450</x:v>
      </x:c>
      <x:c r="N219" s="85" t="n">
        <x:v>59</x:v>
      </x:c>
      <x:c r="O219" s="85" t="n">
        <x:v>67</x:v>
      </x:c>
      <x:c r="P219" s="85" t="n">
        <x:v>67</x:v>
      </x:c>
      <x:c r="Q219" s="85" t="n">
        <x:v>62</x:v>
      </x:c>
      <x:c r="R219" s="85" t="n">
        <x:v>78</x:v>
      </x:c>
      <x:c r="S219" s="85" t="n">
        <x:v>71</x:v>
      </x:c>
      <x:c r="T219" s="85" t="n">
        <x:v>68</x:v>
      </x:c>
      <x:c r="U219" s="85" t="n">
        <x:v>65</x:v>
      </x:c>
      <x:c r="V219" s="85" t="n">
        <x:v>68</x:v>
      </x:c>
      <x:c r="W219" s="85" t="n">
        <x:v>57</x:v>
      </x:c>
      <x:c r="X219" s="85" t="n">
        <x:v>77</x:v>
      </x:c>
      <x:c r="Y219" s="85" t="n">
        <x:v>76</x:v>
      </x:c>
      <x:c r="Z219" s="85" t="n">
        <x:v>73</x:v>
      </x:c>
      <x:c r="AA219" s="85" t="n">
        <x:v>68</x:v>
      </x:c>
      <x:c r="AB219" s="85" t="n">
        <x:v>70</x:v>
      </x:c>
      <x:c r="AC219" s="82" t="n">
        <x:v>0</x:v>
      </x:c>
      <x:c r="AD219" s="82" t="n">
        <x:v>0</x:v>
      </x:c>
      <x:c r="AE219" s="82" t="n">
        <x:v>0</x:v>
      </x:c>
      <x:c r="AF219" s="82" t="n">
        <x:v>0</x:v>
      </x:c>
      <x:c r="AG219" s="91" t="str">
        <x:v>要実績照合</x:v>
      </x:c>
      <x:c r="AH219" s="91" t="str">
        <x:v>現役300名補充時の脚質暫定値。パリ〜ルーベ／ロンド個人成績の追加照合が必要</x:v>
      </x:c>
      <x:c r="AI219" s="91" t="str">
        <x:v>https://www.paris-roubaix.fr/en/history</x:v>
      </x:c>
      <x:c r="AJ219" s="91" t="str">
        <x:v>能力・適性・Credit整合済</x:v>
      </x:c>
      <x:c r="AK219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19" s="91" t="str">
        <x:v>https://en.wikipedia.org/wiki/Cl%C3%A9ment_Champoussin</x:v>
      </x:c>
    </x:row>
    <x:row r="220" ht="24" customHeight="1">
      <x:c r="A220" s="82" t="n">
        <x:v>216</x:v>
      </x:c>
      <x:c r="B220" s="82" t="str">
        <x:v>Einer Rubio</x:v>
      </x:c>
      <x:c r="C220" s="143" t="str"/>
      <x:c r="D220" s="82" t="str">
        <x:v>コロンビア</x:v>
      </x:c>
      <x:c r="E220" s="82" t="str">
        <x:v>現役</x:v>
      </x:c>
      <x:c r="F220" s="82" t="str">
        <x:v>クライマー</x:v>
      </x:c>
      <x:c r="G220" s="82" t="str">
        <x:v>スプリンター</x:v>
      </x:c>
      <x:c r="H220" s="85" t="n">
        <x:v>70</x:v>
      </x:c>
      <x:c r="I220" s="85" t="n">
        <x:v>71</x:v>
      </x:c>
      <x:c r="J220" s="91" t="str">
        <x:v>山岳賞ハンター / スプリントトレイン / 山岳アシスト / 山岳ペースメーカー</x:v>
      </x:c>
      <x:c r="K220" s="91" t="str"/>
      <x:c r="L220" s="91" t="str">
        <x:v>クライマー / スプリンター</x:v>
      </x:c>
      <x:c r="M220" s="88" t="n">
        <x:v>4200</x:v>
      </x:c>
      <x:c r="N220" s="85" t="n">
        <x:v>59</x:v>
      </x:c>
      <x:c r="O220" s="85" t="n">
        <x:v>68</x:v>
      </x:c>
      <x:c r="P220" s="85" t="n">
        <x:v>67</x:v>
      </x:c>
      <x:c r="Q220" s="85" t="n">
        <x:v>65</x:v>
      </x:c>
      <x:c r="R220" s="85" t="n">
        <x:v>78</x:v>
      </x:c>
      <x:c r="S220" s="85" t="n">
        <x:v>72</x:v>
      </x:c>
      <x:c r="T220" s="85" t="n">
        <x:v>67</x:v>
      </x:c>
      <x:c r="U220" s="85" t="n">
        <x:v>65</x:v>
      </x:c>
      <x:c r="V220" s="85" t="n">
        <x:v>64</x:v>
      </x:c>
      <x:c r="W220" s="85" t="n">
        <x:v>50</x:v>
      </x:c>
      <x:c r="X220" s="85" t="n">
        <x:v>74</x:v>
      </x:c>
      <x:c r="Y220" s="85" t="n">
        <x:v>76</x:v>
      </x:c>
      <x:c r="Z220" s="85" t="n">
        <x:v>67</x:v>
      </x:c>
      <x:c r="AA220" s="85" t="n">
        <x:v>68</x:v>
      </x:c>
      <x:c r="AB220" s="85" t="n">
        <x:v>68</x:v>
      </x:c>
      <x:c r="AC220" s="82" t="n">
        <x:v>0</x:v>
      </x:c>
      <x:c r="AD220" s="82" t="n">
        <x:v>0</x:v>
      </x:c>
      <x:c r="AE220" s="82" t="n">
        <x:v>0</x:v>
      </x:c>
      <x:c r="AF220" s="82" t="n">
        <x:v>0</x:v>
      </x:c>
      <x:c r="AG220" s="91" t="str">
        <x:v>要実績照合</x:v>
      </x:c>
      <x:c r="AH220" s="91" t="str">
        <x:v>現役300名補充時の脚質暫定値。パリ〜ルーベ／ロンド個人成績の追加照合が必要</x:v>
      </x:c>
      <x:c r="AI220" s="91" t="str">
        <x:v>https://www.paris-roubaix.fr/en/history</x:v>
      </x:c>
      <x:c r="AJ220" s="91" t="str">
        <x:v>能力・適性・Credit整合済</x:v>
      </x:c>
      <x:c r="AK220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0" s="91" t="str">
        <x:v>https://en.wikipedia.org/wiki/Einer_Rubio</x:v>
      </x:c>
    </x:row>
    <x:row r="221" ht="24" customHeight="1">
      <x:c r="A221" s="82" t="n">
        <x:v>217</x:v>
      </x:c>
      <x:c r="B221" s="82" t="str">
        <x:v>Clément Braz Afonso</x:v>
      </x:c>
      <x:c r="C221" s="143" t="str"/>
      <x:c r="D221" s="82" t="str">
        <x:v>フランス</x:v>
      </x:c>
      <x:c r="E221" s="82" t="str">
        <x:v>現役</x:v>
      </x:c>
      <x:c r="F221" s="82" t="str">
        <x:v>クライマー</x:v>
      </x:c>
      <x:c r="G221" s="82" t="str">
        <x:v>スプリンター</x:v>
      </x:c>
      <x:c r="H221" s="85" t="n">
        <x:v>70</x:v>
      </x:c>
      <x:c r="I221" s="85" t="n">
        <x:v>72</x:v>
      </x:c>
      <x:c r="J221" s="91" t="str">
        <x:v>山岳賞ハンター / スプリントトレイン / 山岳アシスト</x:v>
      </x:c>
      <x:c r="K221" s="91" t="str"/>
      <x:c r="L221" s="91" t="str">
        <x:v>クライマー / スプリンター</x:v>
      </x:c>
      <x:c r="M221" s="88" t="n">
        <x:v>4050</x:v>
      </x:c>
      <x:c r="N221" s="85" t="n">
        <x:v>57</x:v>
      </x:c>
      <x:c r="O221" s="85" t="n">
        <x:v>67</x:v>
      </x:c>
      <x:c r="P221" s="85" t="n">
        <x:v>68</x:v>
      </x:c>
      <x:c r="Q221" s="85" t="n">
        <x:v>58</x:v>
      </x:c>
      <x:c r="R221" s="85" t="n">
        <x:v>76</x:v>
      </x:c>
      <x:c r="S221" s="85" t="n">
        <x:v>72</x:v>
      </x:c>
      <x:c r="T221" s="85" t="n">
        <x:v>71</x:v>
      </x:c>
      <x:c r="U221" s="85" t="n">
        <x:v>63</x:v>
      </x:c>
      <x:c r="V221" s="85" t="n">
        <x:v>58</x:v>
      </x:c>
      <x:c r="W221" s="85" t="n">
        <x:v>54</x:v>
      </x:c>
      <x:c r="X221" s="85" t="n">
        <x:v>73</x:v>
      </x:c>
      <x:c r="Y221" s="85" t="n">
        <x:v>75</x:v>
      </x:c>
      <x:c r="Z221" s="85" t="n">
        <x:v>70</x:v>
      </x:c>
      <x:c r="AA221" s="85" t="n">
        <x:v>68</x:v>
      </x:c>
      <x:c r="AB221" s="85" t="n">
        <x:v>67</x:v>
      </x:c>
      <x:c r="AC221" s="82" t="n">
        <x:v>0</x:v>
      </x:c>
      <x:c r="AD221" s="82" t="n">
        <x:v>0</x:v>
      </x:c>
      <x:c r="AE221" s="82" t="n">
        <x:v>0</x:v>
      </x:c>
      <x:c r="AF221" s="82" t="n">
        <x:v>0</x:v>
      </x:c>
      <x:c r="AG221" s="91" t="str">
        <x:v>要実績照合</x:v>
      </x:c>
      <x:c r="AH221" s="91" t="str">
        <x:v>現役300名補充時の脚質暫定値。パリ〜ルーベ／ロンド個人成績の追加照合が必要</x:v>
      </x:c>
      <x:c r="AI221" s="91" t="str">
        <x:v>https://www.paris-roubaix.fr/en/history</x:v>
      </x:c>
      <x:c r="AJ221" s="91" t="str">
        <x:v>能力・適性・Credit整合済</x:v>
      </x:c>
      <x:c r="AK221" s="91" t="str">
        <x:v>公開プロフィール脚質「Climber, 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1" s="91" t="str">
        <x:v>https://en.wikipedia.org/wiki/Cl%C3%A9ment_Braz_Afonso</x:v>
      </x:c>
    </x:row>
    <x:row r="222" ht="24" customHeight="1">
      <x:c r="A222" s="82" t="n">
        <x:v>218</x:v>
      </x:c>
      <x:c r="B222" s="82" t="str">
        <x:v>Alexander Hajek</x:v>
      </x:c>
      <x:c r="C222" s="143" t="str"/>
      <x:c r="D222" s="82" t="str">
        <x:v>オーストリア</x:v>
      </x:c>
      <x:c r="E222" s="82" t="str">
        <x:v>現役</x:v>
      </x:c>
      <x:c r="F222" s="82" t="str">
        <x:v>クラシック型</x:v>
      </x:c>
      <x:c r="G222" s="82" t="str">
        <x:v>クライマー</x:v>
      </x:c>
      <x:c r="H222" s="85" t="n">
        <x:v>70</x:v>
      </x:c>
      <x:c r="I222" s="85" t="n">
        <x:v>73</x:v>
      </x:c>
      <x:c r="J222" s="91" t="str">
        <x:v>山岳賞ハンター / 石畳護衛</x:v>
      </x:c>
      <x:c r="K222" s="91" t="str"/>
      <x:c r="L222" s="91" t="str">
        <x:v>クラシック型 / クライマー</x:v>
      </x:c>
      <x:c r="M222" s="88" t="n">
        <x:v>4000</x:v>
      </x:c>
      <x:c r="N222" s="85" t="n">
        <x:v>73</x:v>
      </x:c>
      <x:c r="O222" s="85" t="n">
        <x:v>67</x:v>
      </x:c>
      <x:c r="P222" s="85" t="n">
        <x:v>69</x:v>
      </x:c>
      <x:c r="Q222" s="85" t="n">
        <x:v>72</x:v>
      </x:c>
      <x:c r="R222" s="85" t="n">
        <x:v>64</x:v>
      </x:c>
      <x:c r="S222" s="85" t="n">
        <x:v>69</x:v>
      </x:c>
      <x:c r="T222" s="85" t="n">
        <x:v>75</x:v>
      </x:c>
      <x:c r="U222" s="85" t="n">
        <x:v>68</x:v>
      </x:c>
      <x:c r="V222" s="85" t="n">
        <x:v>78</x:v>
      </x:c>
      <x:c r="W222" s="85" t="n">
        <x:v>71</x:v>
      </x:c>
      <x:c r="X222" s="85" t="n">
        <x:v>66</x:v>
      </x:c>
      <x:c r="Y222" s="85" t="n">
        <x:v>68</x:v>
      </x:c>
      <x:c r="Z222" s="85" t="n">
        <x:v>73</x:v>
      </x:c>
      <x:c r="AA222" s="85" t="n">
        <x:v>65</x:v>
      </x:c>
      <x:c r="AB222" s="85" t="n">
        <x:v>70</x:v>
      </x:c>
      <x:c r="AC222" s="82" t="n">
        <x:v>0</x:v>
      </x:c>
      <x:c r="AD222" s="82" t="n">
        <x:v>0</x:v>
      </x:c>
      <x:c r="AE222" s="82" t="n">
        <x:v>0</x:v>
      </x:c>
      <x:c r="AF222" s="82" t="n">
        <x:v>0</x:v>
      </x:c>
      <x:c r="AG222" s="91" t="str">
        <x:v>要実績照合</x:v>
      </x:c>
      <x:c r="AH222" s="91" t="str">
        <x:v>現役300名補充時の脚質暫定値。パリ〜ルーベ／ロンド個人成績の追加照合が必要</x:v>
      </x:c>
      <x:c r="AI222" s="91" t="str">
        <x:v>https://www.paris-roubaix.fr/en/history</x:v>
      </x:c>
      <x:c r="AJ222" s="91" t="str">
        <x:v>能力・適性・Credit整合済</x:v>
      </x:c>
      <x:c r="AK22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2" s="91" t="str">
        <x:v>https://en.wikipedia.org/wiki/Alexander_Hajek</x:v>
      </x:c>
    </x:row>
    <x:row r="223" ht="24" customHeight="1">
      <x:c r="A223" s="82" t="n">
        <x:v>219</x:v>
      </x:c>
      <x:c r="B223" s="82" t="str">
        <x:v>Axel Huens</x:v>
      </x:c>
      <x:c r="C223" s="143" t="str"/>
      <x:c r="D223" s="82" t="str">
        <x:v>フランス</x:v>
      </x:c>
      <x:c r="E223" s="82" t="str">
        <x:v>現役</x:v>
      </x:c>
      <x:c r="F223" s="82" t="str">
        <x:v>クライマー</x:v>
      </x:c>
      <x:c r="G223" s="82" t="str">
        <x:v>スプリンター</x:v>
      </x:c>
      <x:c r="H223" s="85" t="n">
        <x:v>70</x:v>
      </x:c>
      <x:c r="I223" s="85" t="n">
        <x:v>71</x:v>
      </x:c>
      <x:c r="J223" s="91" t="str">
        <x:v>山岳賞ハンター / スプリントトレイン / 山岳アシスト / 山岳番手</x:v>
      </x:c>
      <x:c r="K223" s="91" t="str"/>
      <x:c r="L223" s="91" t="str">
        <x:v>クライマー / スプリンター</x:v>
      </x:c>
      <x:c r="M223" s="88" t="n">
        <x:v>4000</x:v>
      </x:c>
      <x:c r="N223" s="85" t="n">
        <x:v>60</x:v>
      </x:c>
      <x:c r="O223" s="85" t="n">
        <x:v>66</x:v>
      </x:c>
      <x:c r="P223" s="85" t="n">
        <x:v>66</x:v>
      </x:c>
      <x:c r="Q223" s="85" t="n">
        <x:v>60</x:v>
      </x:c>
      <x:c r="R223" s="85" t="n">
        <x:v>76</x:v>
      </x:c>
      <x:c r="S223" s="85" t="n">
        <x:v>70</x:v>
      </x:c>
      <x:c r="T223" s="85" t="n">
        <x:v>72</x:v>
      </x:c>
      <x:c r="U223" s="85" t="n">
        <x:v>66</x:v>
      </x:c>
      <x:c r="V223" s="85" t="n">
        <x:v>66</x:v>
      </x:c>
      <x:c r="W223" s="85" t="n">
        <x:v>53</x:v>
      </x:c>
      <x:c r="X223" s="85" t="n">
        <x:v>75</x:v>
      </x:c>
      <x:c r="Y223" s="85" t="n">
        <x:v>73</x:v>
      </x:c>
      <x:c r="Z223" s="85" t="n">
        <x:v>66</x:v>
      </x:c>
      <x:c r="AA223" s="85" t="n">
        <x:v>68</x:v>
      </x:c>
      <x:c r="AB223" s="85" t="n">
        <x:v>69</x:v>
      </x:c>
      <x:c r="AC223" s="82" t="n">
        <x:v>0</x:v>
      </x:c>
      <x:c r="AD223" s="82" t="n">
        <x:v>0</x:v>
      </x:c>
      <x:c r="AE223" s="82" t="n">
        <x:v>0</x:v>
      </x:c>
      <x:c r="AF223" s="82" t="n">
        <x:v>0</x:v>
      </x:c>
      <x:c r="AG223" s="91" t="str">
        <x:v>要実績照合</x:v>
      </x:c>
      <x:c r="AH223" s="91" t="str">
        <x:v>現役300名補充時の脚質暫定値。パリ〜ルーベ／ロンド個人成績の追加照合が必要</x:v>
      </x:c>
      <x:c r="AI223" s="91" t="str">
        <x:v>https://www.paris-roubaix.fr/en/history</x:v>
      </x:c>
      <x:c r="AJ223" s="91" t="str">
        <x:v>能力・適性・Credit整合済</x:v>
      </x:c>
      <x:c r="AK22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3" s="91" t="str">
        <x:v>https://en.wikipedia.org/wiki/Axel_Huens</x:v>
      </x:c>
    </x:row>
    <x:row r="224" ht="24" customHeight="1">
      <x:c r="A224" s="82" t="n">
        <x:v>220</x:v>
      </x:c>
      <x:c r="B224" s="82" t="str">
        <x:v>Cyril Barthe</x:v>
      </x:c>
      <x:c r="C224" s="143" t="str"/>
      <x:c r="D224" s="82" t="str">
        <x:v>フランス</x:v>
      </x:c>
      <x:c r="E224" s="82" t="str">
        <x:v>現役</x:v>
      </x:c>
      <x:c r="F224" s="82" t="str">
        <x:v>パンチャー</x:v>
      </x:c>
      <x:c r="G224" s="82" t="str">
        <x:v>クライマー</x:v>
      </x:c>
      <x:c r="H224" s="85" t="n">
        <x:v>70</x:v>
      </x:c>
      <x:c r="I224" s="85" t="n">
        <x:v>69</x:v>
      </x:c>
      <x:c r="J224" s="91" t="str">
        <x:v>ステージハンター / 山岳賞ハンター</x:v>
      </x:c>
      <x:c r="K224" s="91" t="str"/>
      <x:c r="L224" s="91" t="str">
        <x:v>パンチャー / クライマー</x:v>
      </x:c>
      <x:c r="M224" s="88" t="n">
        <x:v>3850</x:v>
      </x:c>
      <x:c r="N224" s="85" t="n">
        <x:v>72</x:v>
      </x:c>
      <x:c r="O224" s="85" t="n">
        <x:v>73</x:v>
      </x:c>
      <x:c r="P224" s="85" t="n">
        <x:v>77</x:v>
      </x:c>
      <x:c r="Q224" s="85" t="n">
        <x:v>68</x:v>
      </x:c>
      <x:c r="R224" s="85" t="n">
        <x:v>71</x:v>
      </x:c>
      <x:c r="S224" s="85" t="n">
        <x:v>65</x:v>
      </x:c>
      <x:c r="T224" s="85" t="n">
        <x:v>69</x:v>
      </x:c>
      <x:c r="U224" s="85" t="n">
        <x:v>71</x:v>
      </x:c>
      <x:c r="V224" s="85" t="n">
        <x:v>71</x:v>
      </x:c>
      <x:c r="W224" s="85" t="n">
        <x:v>58</x:v>
      </x:c>
      <x:c r="X224" s="85" t="n">
        <x:v>66</x:v>
      </x:c>
      <x:c r="Y224" s="85" t="n">
        <x:v>67</x:v>
      </x:c>
      <x:c r="Z224" s="85" t="n">
        <x:v>67</x:v>
      </x:c>
      <x:c r="AA224" s="85" t="n">
        <x:v>74</x:v>
      </x:c>
      <x:c r="AB224" s="85" t="n">
        <x:v>73</x:v>
      </x:c>
      <x:c r="AC224" s="82" t="n">
        <x:v>0</x:v>
      </x:c>
      <x:c r="AD224" s="82" t="n">
        <x:v>0</x:v>
      </x:c>
      <x:c r="AE224" s="82" t="n">
        <x:v>0</x:v>
      </x:c>
      <x:c r="AF224" s="82" t="n">
        <x:v>0</x:v>
      </x:c>
      <x:c r="AG224" s="91" t="str">
        <x:v>要実績照合</x:v>
      </x:c>
      <x:c r="AH224" s="91" t="str">
        <x:v>現役300名補充時の脚質暫定値。パリ〜ルーベ／ロンド個人成績の追加照合が必要</x:v>
      </x:c>
      <x:c r="AI224" s="91" t="str">
        <x:v>https://www.paris-roubaix.fr/en/history</x:v>
      </x:c>
      <x:c r="AJ224" s="91" t="str">
        <x:v>能力・適性・Credit整合済</x:v>
      </x:c>
      <x:c r="AK224" s="91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4" s="91" t="str">
        <x:v>https://en.wikipedia.org/wiki/Cyril_Barthe</x:v>
      </x:c>
    </x:row>
    <x:row r="225" ht="24" customHeight="1">
      <x:c r="A225" s="82" t="n">
        <x:v>221</x:v>
      </x:c>
      <x:c r="B225" s="82" t="str">
        <x:v>Ewen Costiou</x:v>
      </x:c>
      <x:c r="C225" s="143" t="str"/>
      <x:c r="D225" s="82" t="str">
        <x:v>フランス</x:v>
      </x:c>
      <x:c r="E225" s="82" t="str">
        <x:v>現役</x:v>
      </x:c>
      <x:c r="F225" s="82" t="str">
        <x:v>パンチャー</x:v>
      </x:c>
      <x:c r="G225" s="82" t="str">
        <x:v>スプリンター</x:v>
      </x:c>
      <x:c r="H225" s="85" t="n">
        <x:v>70</x:v>
      </x:c>
      <x:c r="I225" s="85" t="n">
        <x:v>68</x:v>
      </x:c>
      <x:c r="J225" s="91" t="str">
        <x:v>ステージハンター / 山岳賞ハンター / スプリントトレイン</x:v>
      </x:c>
      <x:c r="K225" s="91" t="str"/>
      <x:c r="L225" s="91" t="str">
        <x:v>パンチャー / スプリンター</x:v>
      </x:c>
      <x:c r="M225" s="88" t="n">
        <x:v>3700</x:v>
      </x:c>
      <x:c r="N225" s="85" t="n">
        <x:v>69</x:v>
      </x:c>
      <x:c r="O225" s="85" t="n">
        <x:v>71</x:v>
      </x:c>
      <x:c r="P225" s="85" t="n">
        <x:v>78</x:v>
      </x:c>
      <x:c r="Q225" s="85" t="n">
        <x:v>67</x:v>
      </x:c>
      <x:c r="R225" s="85" t="n">
        <x:v>71</x:v>
      </x:c>
      <x:c r="S225" s="85" t="n">
        <x:v>64</x:v>
      </x:c>
      <x:c r="T225" s="85" t="n">
        <x:v>62</x:v>
      </x:c>
      <x:c r="U225" s="85" t="n">
        <x:v>68</x:v>
      </x:c>
      <x:c r="V225" s="85" t="n">
        <x:v>74</x:v>
      </x:c>
      <x:c r="W225" s="85" t="n">
        <x:v>59</x:v>
      </x:c>
      <x:c r="X225" s="85" t="n">
        <x:v>69</x:v>
      </x:c>
      <x:c r="Y225" s="85" t="n">
        <x:v>66</x:v>
      </x:c>
      <x:c r="Z225" s="85" t="n">
        <x:v>61</x:v>
      </x:c>
      <x:c r="AA225" s="85" t="n">
        <x:v>72</x:v>
      </x:c>
      <x:c r="AB225" s="85" t="n">
        <x:v>69</x:v>
      </x:c>
      <x:c r="AC225" s="82" t="n">
        <x:v>0</x:v>
      </x:c>
      <x:c r="AD225" s="82" t="n">
        <x:v>0</x:v>
      </x:c>
      <x:c r="AE225" s="82" t="n">
        <x:v>0</x:v>
      </x:c>
      <x:c r="AF225" s="82" t="n">
        <x:v>0</x:v>
      </x:c>
      <x:c r="AG225" s="91" t="str">
        <x:v>要実績照合</x:v>
      </x:c>
      <x:c r="AH225" s="91" t="str">
        <x:v>現役300名補充時の脚質暫定値。パリ〜ルーベ／ロンド個人成績の追加照合が必要</x:v>
      </x:c>
      <x:c r="AI225" s="91" t="str">
        <x:v>https://www.paris-roubaix.fr/en/history</x:v>
      </x:c>
      <x:c r="AJ225" s="91" t="str">
        <x:v>能力・適性・Credit整合済</x:v>
      </x:c>
      <x:c r="AK22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5" s="91" t="str">
        <x:v>https://en.wikipedia.org/wiki/Ewen_Costiou</x:v>
      </x:c>
    </x:row>
    <x:row r="226" ht="24" customHeight="1">
      <x:c r="A226" s="82" t="n">
        <x:v>222</x:v>
      </x:c>
      <x:c r="B226" s="82" t="str">
        <x:v>Erik Nordsæter Resell</x:v>
      </x:c>
      <x:c r="C226" s="143" t="str"/>
      <x:c r="D226" s="82" t="str">
        <x:v>ノルウェー</x:v>
      </x:c>
      <x:c r="E226" s="82" t="str">
        <x:v>現役</x:v>
      </x:c>
      <x:c r="F226" s="82" t="str">
        <x:v>パンチャー</x:v>
      </x:c>
      <x:c r="G226" s="82" t="str">
        <x:v>スプリンター</x:v>
      </x:c>
      <x:c r="H226" s="85" t="n">
        <x:v>70</x:v>
      </x:c>
      <x:c r="I226" s="85" t="n">
        <x:v>68</x:v>
      </x:c>
      <x:c r="J226" s="91" t="str">
        <x:v>ロードキャプテン / ステージハンター / スプリントトレイン</x:v>
      </x:c>
      <x:c r="K226" s="91" t="str"/>
      <x:c r="L226" s="91" t="str">
        <x:v>パンチャー / スプリンター</x:v>
      </x:c>
      <x:c r="M226" s="88" t="n">
        <x:v>3450</x:v>
      </x:c>
      <x:c r="N226" s="85" t="n">
        <x:v>65</x:v>
      </x:c>
      <x:c r="O226" s="85" t="n">
        <x:v>72</x:v>
      </x:c>
      <x:c r="P226" s="85" t="n">
        <x:v>74</x:v>
      </x:c>
      <x:c r="Q226" s="85" t="n">
        <x:v>66</x:v>
      </x:c>
      <x:c r="R226" s="85" t="n">
        <x:v>70</x:v>
      </x:c>
      <x:c r="S226" s="85" t="n">
        <x:v>62</x:v>
      </x:c>
      <x:c r="T226" s="85" t="n">
        <x:v>66</x:v>
      </x:c>
      <x:c r="U226" s="85" t="n">
        <x:v>68</x:v>
      </x:c>
      <x:c r="V226" s="85" t="n">
        <x:v>71</x:v>
      </x:c>
      <x:c r="W226" s="85" t="n">
        <x:v>54</x:v>
      </x:c>
      <x:c r="X226" s="85" t="n">
        <x:v>61</x:v>
      </x:c>
      <x:c r="Y226" s="85" t="n">
        <x:v>68</x:v>
      </x:c>
      <x:c r="Z226" s="85" t="n">
        <x:v>63</x:v>
      </x:c>
      <x:c r="AA226" s="85" t="n">
        <x:v>72</x:v>
      </x:c>
      <x:c r="AB226" s="85" t="n">
        <x:v>71</x:v>
      </x:c>
      <x:c r="AC226" s="82" t="n">
        <x:v>0</x:v>
      </x:c>
      <x:c r="AD226" s="82" t="n">
        <x:v>0</x:v>
      </x:c>
      <x:c r="AE226" s="82" t="n">
        <x:v>0</x:v>
      </x:c>
      <x:c r="AF226" s="82" t="n">
        <x:v>0</x:v>
      </x:c>
      <x:c r="AG226" s="91" t="str">
        <x:v>要実績照合</x:v>
      </x:c>
      <x:c r="AH226" s="91" t="str">
        <x:v>現役300名補充時の脚質暫定値。パリ〜ルーベ／ロンド個人成績の追加照合が必要</x:v>
      </x:c>
      <x:c r="AI226" s="91" t="str">
        <x:v>https://www.paris-roubaix.fr/en/history</x:v>
      </x:c>
      <x:c r="AJ226" s="91" t="str">
        <x:v>能力・適性・Credit整合済</x:v>
      </x:c>
      <x:c r="AK226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6" s="91" t="str">
        <x:v>https://en.wikipedia.org/wiki/List_of_2026_UCI_WorldTeams_and_riders</x:v>
      </x:c>
    </x:row>
    <x:row r="227" ht="24" customHeight="1">
      <x:c r="A227" s="82" t="n">
        <x:v>223</x:v>
      </x:c>
      <x:c r="B227" s="82" t="str">
        <x:v>Daniel Skerl</x:v>
      </x:c>
      <x:c r="C227" s="143" t="str"/>
      <x:c r="D227" s="82" t="str">
        <x:v>イタリア</x:v>
      </x:c>
      <x:c r="E227" s="82" t="str">
        <x:v>現役</x:v>
      </x:c>
      <x:c r="F227" s="82" t="str">
        <x:v>パンチャー</x:v>
      </x:c>
      <x:c r="G227" s="82" t="str">
        <x:v>総合型</x:v>
      </x:c>
      <x:c r="H227" s="85" t="n">
        <x:v>70</x:v>
      </x:c>
      <x:c r="I227" s="85" t="n">
        <x:v>65</x:v>
      </x:c>
      <x:c r="J227" s="91" t="str">
        <x:v>ステージハンター / 集団コントローラー</x:v>
      </x:c>
      <x:c r="K227" s="91" t="str"/>
      <x:c r="L227" s="91" t="str">
        <x:v>パンチャー / 総合型</x:v>
      </x:c>
      <x:c r="M227" s="88" t="n">
        <x:v>3300</x:v>
      </x:c>
      <x:c r="N227" s="85" t="n">
        <x:v>64</x:v>
      </x:c>
      <x:c r="O227" s="85" t="n">
        <x:v>73</x:v>
      </x:c>
      <x:c r="P227" s="85" t="n">
        <x:v>74</x:v>
      </x:c>
      <x:c r="Q227" s="85" t="n">
        <x:v>62</x:v>
      </x:c>
      <x:c r="R227" s="85" t="n">
        <x:v>71</x:v>
      </x:c>
      <x:c r="S227" s="85" t="n">
        <x:v>64</x:v>
      </x:c>
      <x:c r="T227" s="85" t="n">
        <x:v>61</x:v>
      </x:c>
      <x:c r="U227" s="85" t="n">
        <x:v>70</x:v>
      </x:c>
      <x:c r="V227" s="85" t="n">
        <x:v>71</x:v>
      </x:c>
      <x:c r="W227" s="85" t="n">
        <x:v>54</x:v>
      </x:c>
      <x:c r="X227" s="85" t="n">
        <x:v>61</x:v>
      </x:c>
      <x:c r="Y227" s="85" t="n">
        <x:v>58</x:v>
      </x:c>
      <x:c r="Z227" s="85" t="n">
        <x:v>59</x:v>
      </x:c>
      <x:c r="AA227" s="85" t="n">
        <x:v>70</x:v>
      </x:c>
      <x:c r="AB227" s="85" t="n">
        <x:v>72</x:v>
      </x:c>
      <x:c r="AC227" s="82" t="n">
        <x:v>0</x:v>
      </x:c>
      <x:c r="AD227" s="82" t="n">
        <x:v>0</x:v>
      </x:c>
      <x:c r="AE227" s="82" t="n">
        <x:v>0</x:v>
      </x:c>
      <x:c r="AF227" s="82" t="n">
        <x:v>0</x:v>
      </x:c>
      <x:c r="AG227" s="91" t="str">
        <x:v>要実績照合</x:v>
      </x:c>
      <x:c r="AH227" s="91" t="str">
        <x:v>現役300名補充時の脚質暫定値。パリ〜ルーベ／ロンド個人成績の追加照合が必要</x:v>
      </x:c>
      <x:c r="AI227" s="91" t="str">
        <x:v>https://www.paris-roubaix.fr/en/history</x:v>
      </x:c>
      <x:c r="AJ227" s="91" t="str">
        <x:v>能力・適性・Credit整合済</x:v>
      </x:c>
      <x:c r="AK22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7" s="91" t="str">
        <x:v>https://en.wikipedia.org/wiki/Daniel_Skerl</x:v>
      </x:c>
    </x:row>
    <x:row r="228" ht="24" customHeight="1">
      <x:c r="A228" s="82" t="n">
        <x:v>224</x:v>
      </x:c>
      <x:c r="B228" s="82" t="str">
        <x:v>Liam Slock</x:v>
      </x:c>
      <x:c r="C228" s="143" t="str"/>
      <x:c r="D228" s="82" t="str">
        <x:v>ベルギー</x:v>
      </x:c>
      <x:c r="E228" s="82" t="str">
        <x:v>現役</x:v>
      </x:c>
      <x:c r="F228" s="82" t="str">
        <x:v>TT・ルーラー型</x:v>
      </x:c>
      <x:c r="G228" s="82" t="str">
        <x:v>スプリンター</x:v>
      </x:c>
      <x:c r="H228" s="85" t="n">
        <x:v>69</x:v>
      </x:c>
      <x:c r="I228" s="85" t="n">
        <x:v>77</x:v>
      </x:c>
      <x:c r="J228" s="91" t="str">
        <x:v>TTスペシャリスト / スプリントトレイン / 平坦アシスト / 集団コントローラー / ブレイクアウェイキラー / ポジションキーパー</x:v>
      </x:c>
      <x:c r="K228" s="91" t="str"/>
      <x:c r="L228" s="91" t="str">
        <x:v>TT・ルーラー型 / スプリンター</x:v>
      </x:c>
      <x:c r="M228" s="88" t="n">
        <x:v>4850</x:v>
      </x:c>
      <x:c r="N228" s="85" t="n">
        <x:v>65</x:v>
      </x:c>
      <x:c r="O228" s="85" t="n">
        <x:v>65</x:v>
      </x:c>
      <x:c r="P228" s="85" t="n">
        <x:v>62</x:v>
      </x:c>
      <x:c r="Q228" s="85" t="n">
        <x:v>79</x:v>
      </x:c>
      <x:c r="R228" s="85" t="n">
        <x:v>64</x:v>
      </x:c>
      <x:c r="S228" s="85" t="n">
        <x:v>76</x:v>
      </x:c>
      <x:c r="T228" s="85" t="n">
        <x:v>74</x:v>
      </x:c>
      <x:c r="U228" s="85" t="n">
        <x:v>77</x:v>
      </x:c>
      <x:c r="V228" s="85" t="n">
        <x:v>71</x:v>
      </x:c>
      <x:c r="W228" s="85" t="n">
        <x:v>59</x:v>
      </x:c>
      <x:c r="X228" s="85" t="n">
        <x:v>70</x:v>
      </x:c>
      <x:c r="Y228" s="85" t="n">
        <x:v>66</x:v>
      </x:c>
      <x:c r="Z228" s="85" t="n">
        <x:v>79</x:v>
      </x:c>
      <x:c r="AA228" s="85" t="n">
        <x:v>66</x:v>
      </x:c>
      <x:c r="AB228" s="85" t="n">
        <x:v>65</x:v>
      </x:c>
      <x:c r="AC228" s="82" t="n">
        <x:v>0</x:v>
      </x:c>
      <x:c r="AD228" s="82" t="n">
        <x:v>0</x:v>
      </x:c>
      <x:c r="AE228" s="82" t="n">
        <x:v>0</x:v>
      </x:c>
      <x:c r="AF228" s="82" t="n">
        <x:v>0</x:v>
      </x:c>
      <x:c r="AG228" s="91" t="str">
        <x:v>要実績照合</x:v>
      </x:c>
      <x:c r="AH228" s="91" t="str">
        <x:v>現役300名補充時の脚質暫定値。パリ〜ルーベ／ロンド個人成績の追加照合が必要</x:v>
      </x:c>
      <x:c r="AI228" s="91" t="str">
        <x:v>https://www.paris-roubaix.fr/en/history</x:v>
      </x:c>
      <x:c r="AJ228" s="91" t="str">
        <x:v>能力・適性・Credit整合済</x:v>
      </x:c>
      <x:c r="AK228" s="91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8" s="91" t="str">
        <x:v>https://en.wikipedia.org/wiki/Liam_Slock</x:v>
      </x:c>
    </x:row>
    <x:row r="229" ht="24" customHeight="1">
      <x:c r="A229" s="82" t="n">
        <x:v>225</x:v>
      </x:c>
      <x:c r="B229" s="82" t="str">
        <x:v>Artem Shmidt</x:v>
      </x:c>
      <x:c r="C229" s="143" t="str"/>
      <x:c r="D229" s="82" t="str">
        <x:v>アメリカ</x:v>
      </x:c>
      <x:c r="E229" s="82" t="str">
        <x:v>現役</x:v>
      </x:c>
      <x:c r="F229" s="82" t="str">
        <x:v>TT・ルーラー型</x:v>
      </x:c>
      <x:c r="G229" s="82" t="str">
        <x:v>クライマー</x:v>
      </x:c>
      <x:c r="H229" s="85" t="n">
        <x:v>69</x:v>
      </x:c>
      <x:c r="I229" s="85" t="n">
        <x:v>78</x:v>
      </x:c>
      <x:c r="J229" s="91" t="str">
        <x:v>山岳賞ハンター / 平坦アシスト / 平坦ペースメーカー / TT牽引 / ブレイクアウェイキラー</x:v>
      </x:c>
      <x:c r="K229" s="91" t="str"/>
      <x:c r="L229" s="91" t="str">
        <x:v>TT・ルーラー型 / クライマー</x:v>
      </x:c>
      <x:c r="M229" s="88" t="n">
        <x:v>4700</x:v>
      </x:c>
      <x:c r="N229" s="85" t="n">
        <x:v>65</x:v>
      </x:c>
      <x:c r="O229" s="85" t="n">
        <x:v>65</x:v>
      </x:c>
      <x:c r="P229" s="85" t="n">
        <x:v>67</x:v>
      </x:c>
      <x:c r="Q229" s="85" t="n">
        <x:v>84</x:v>
      </x:c>
      <x:c r="R229" s="85" t="n">
        <x:v>69</x:v>
      </x:c>
      <x:c r="S229" s="85" t="n">
        <x:v>71</x:v>
      </x:c>
      <x:c r="T229" s="85" t="n">
        <x:v>71</x:v>
      </x:c>
      <x:c r="U229" s="85" t="n">
        <x:v>73</x:v>
      </x:c>
      <x:c r="V229" s="85" t="n">
        <x:v>69</x:v>
      </x:c>
      <x:c r="W229" s="85" t="n">
        <x:v>58</x:v>
      </x:c>
      <x:c r="X229" s="85" t="n">
        <x:v>66</x:v>
      </x:c>
      <x:c r="Y229" s="85" t="n">
        <x:v>67</x:v>
      </x:c>
      <x:c r="Z229" s="85" t="n">
        <x:v>79</x:v>
      </x:c>
      <x:c r="AA229" s="85" t="n">
        <x:v>66</x:v>
      </x:c>
      <x:c r="AB229" s="85" t="n">
        <x:v>65</x:v>
      </x:c>
      <x:c r="AC229" s="82" t="n">
        <x:v>0</x:v>
      </x:c>
      <x:c r="AD229" s="82" t="n">
        <x:v>0</x:v>
      </x:c>
      <x:c r="AE229" s="82" t="n">
        <x:v>0</x:v>
      </x:c>
      <x:c r="AF229" s="82" t="n">
        <x:v>0</x:v>
      </x:c>
      <x:c r="AG229" s="91" t="str">
        <x:v>要実績照合</x:v>
      </x:c>
      <x:c r="AH229" s="91" t="str">
        <x:v>現役300名補充時の脚質暫定値。パリ〜ルーベ／ロンド個人成績の追加照合が必要</x:v>
      </x:c>
      <x:c r="AI229" s="91" t="str">
        <x:v>https://www.paris-roubaix.fr/en/history</x:v>
      </x:c>
      <x:c r="AJ229" s="91" t="str">
        <x:v>能力・適性・Credit整合済</x:v>
      </x:c>
      <x:c r="AK22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29" s="91" t="str">
        <x:v>https://en.wikipedia.org/wiki/Artem_Shmidt</x:v>
      </x:c>
    </x:row>
    <x:row r="230" ht="24" customHeight="1">
      <x:c r="A230" s="82" t="n">
        <x:v>226</x:v>
      </x:c>
      <x:c r="B230" s="82" t="str">
        <x:v>Kamil Gradek</x:v>
      </x:c>
      <x:c r="C230" s="143" t="str"/>
      <x:c r="D230" s="82" t="str">
        <x:v>ポーランド</x:v>
      </x:c>
      <x:c r="E230" s="82" t="str">
        <x:v>現役</x:v>
      </x:c>
      <x:c r="F230" s="82" t="str">
        <x:v>TT・ルーラー型</x:v>
      </x:c>
      <x:c r="G230" s="82" t="str">
        <x:v>総合型</x:v>
      </x:c>
      <x:c r="H230" s="85" t="n">
        <x:v>69</x:v>
      </x:c>
      <x:c r="I230" s="85" t="n">
        <x:v>78</x:v>
      </x:c>
      <x:c r="J230" s="91" t="str">
        <x:v>平坦アシスト / TT牽引 / 集団コントローラー / ブレイクアウェイキラー</x:v>
      </x:c>
      <x:c r="K230" s="91" t="str"/>
      <x:c r="L230" s="91" t="str">
        <x:v>TT・ルーラー型 / 総合型</x:v>
      </x:c>
      <x:c r="M230" s="88" t="n">
        <x:v>4500</x:v>
      </x:c>
      <x:c r="N230" s="85" t="n">
        <x:v>67</x:v>
      </x:c>
      <x:c r="O230" s="85" t="n">
        <x:v>65</x:v>
      </x:c>
      <x:c r="P230" s="85" t="n">
        <x:v>65</x:v>
      </x:c>
      <x:c r="Q230" s="85" t="n">
        <x:v>79</x:v>
      </x:c>
      <x:c r="R230" s="85" t="n">
        <x:v>66</x:v>
      </x:c>
      <x:c r="S230" s="85" t="n">
        <x:v>73</x:v>
      </x:c>
      <x:c r="T230" s="85" t="n">
        <x:v>72</x:v>
      </x:c>
      <x:c r="U230" s="85" t="n">
        <x:v>76</x:v>
      </x:c>
      <x:c r="V230" s="85" t="n">
        <x:v>67</x:v>
      </x:c>
      <x:c r="W230" s="85" t="n">
        <x:v>63</x:v>
      </x:c>
      <x:c r="X230" s="85" t="n">
        <x:v>65</x:v>
      </x:c>
      <x:c r="Y230" s="85" t="n">
        <x:v>66</x:v>
      </x:c>
      <x:c r="Z230" s="85" t="n">
        <x:v>81</x:v>
      </x:c>
      <x:c r="AA230" s="85" t="n">
        <x:v>64</x:v>
      </x:c>
      <x:c r="AB230" s="85" t="n">
        <x:v>64</x:v>
      </x:c>
      <x:c r="AC230" s="82" t="n">
        <x:v>0</x:v>
      </x:c>
      <x:c r="AD230" s="82" t="n">
        <x:v>0</x:v>
      </x:c>
      <x:c r="AE230" s="82" t="n">
        <x:v>0</x:v>
      </x:c>
      <x:c r="AF230" s="82" t="n">
        <x:v>0</x:v>
      </x:c>
      <x:c r="AG230" s="91" t="str">
        <x:v>要実績照合</x:v>
      </x:c>
      <x:c r="AH230" s="91" t="str">
        <x:v>現役300名補充時の脚質暫定値。パリ〜ルーベ／ロンド個人成績の追加照合が必要</x:v>
      </x:c>
      <x:c r="AI230" s="91" t="str">
        <x:v>https://www.paris-roubaix.fr/en/history</x:v>
      </x:c>
      <x:c r="AJ230" s="91" t="str">
        <x:v>能力・適性・Credit整合済</x:v>
      </x:c>
      <x:c r="AK230" s="91" t="str">
        <x:v>公開プロフィール脚質「Roul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0" s="91" t="str">
        <x:v>https://en.wikipedia.org/wiki/Kamil_Gradek</x:v>
      </x:c>
    </x:row>
    <x:row r="231" ht="24" customHeight="1">
      <x:c r="A231" s="82" t="n">
        <x:v>227</x:v>
      </x:c>
      <x:c r="B231" s="82" t="str">
        <x:v>Francesco Busatto</x:v>
      </x:c>
      <x:c r="C231" s="143" t="str"/>
      <x:c r="D231" s="82" t="str">
        <x:v>イタリア</x:v>
      </x:c>
      <x:c r="E231" s="82" t="str">
        <x:v>現役</x:v>
      </x:c>
      <x:c r="F231" s="82" t="str">
        <x:v>TT・ルーラー型</x:v>
      </x:c>
      <x:c r="G231" s="82" t="str">
        <x:v>総合型</x:v>
      </x:c>
      <x:c r="H231" s="85" t="n">
        <x:v>69</x:v>
      </x:c>
      <x:c r="I231" s="85" t="n">
        <x:v>76</x:v>
      </x:c>
      <x:c r="J231" s="91" t="str">
        <x:v>TTスペシャリスト / 平坦アシスト / 平坦ペースメーカー / 集団コントローラー / ブレイクアウェイキラー</x:v>
      </x:c>
      <x:c r="K231" s="91" t="str"/>
      <x:c r="L231" s="91" t="str">
        <x:v>TT・ルーラー型 / 総合型</x:v>
      </x:c>
      <x:c r="M231" s="88" t="n">
        <x:v>4400</x:v>
      </x:c>
      <x:c r="N231" s="85" t="n">
        <x:v>66</x:v>
      </x:c>
      <x:c r="O231" s="85" t="n">
        <x:v>66</x:v>
      </x:c>
      <x:c r="P231" s="85" t="n">
        <x:v>61</x:v>
      </x:c>
      <x:c r="Q231" s="85" t="n">
        <x:v>78</x:v>
      </x:c>
      <x:c r="R231" s="85" t="n">
        <x:v>65</x:v>
      </x:c>
      <x:c r="S231" s="85" t="n">
        <x:v>72</x:v>
      </x:c>
      <x:c r="T231" s="85" t="n">
        <x:v>73</x:v>
      </x:c>
      <x:c r="U231" s="85" t="n">
        <x:v>78</x:v>
      </x:c>
      <x:c r="V231" s="85" t="n">
        <x:v>64</x:v>
      </x:c>
      <x:c r="W231" s="85" t="n">
        <x:v>62</x:v>
      </x:c>
      <x:c r="X231" s="85" t="n">
        <x:v>65</x:v>
      </x:c>
      <x:c r="Y231" s="85" t="n">
        <x:v>69</x:v>
      </x:c>
      <x:c r="Z231" s="85" t="n">
        <x:v>77</x:v>
      </x:c>
      <x:c r="AA231" s="85" t="n">
        <x:v>67</x:v>
      </x:c>
      <x:c r="AB231" s="85" t="n">
        <x:v>66</x:v>
      </x:c>
      <x:c r="AC231" s="82" t="n">
        <x:v>0</x:v>
      </x:c>
      <x:c r="AD231" s="82" t="n">
        <x:v>0</x:v>
      </x:c>
      <x:c r="AE231" s="82" t="n">
        <x:v>0</x:v>
      </x:c>
      <x:c r="AF231" s="82" t="n">
        <x:v>0</x:v>
      </x:c>
      <x:c r="AG231" s="91" t="str">
        <x:v>要実績照合</x:v>
      </x:c>
      <x:c r="AH231" s="91" t="str">
        <x:v>現役300名補充時の脚質暫定値。パリ〜ルーベ／ロンド個人成績の追加照合が必要</x:v>
      </x:c>
      <x:c r="AI231" s="91" t="str">
        <x:v>https://www.paris-roubaix.fr/en/history</x:v>
      </x:c>
      <x:c r="AJ231" s="91" t="str">
        <x:v>能力・適性・Credit整合済</x:v>
      </x:c>
      <x:c r="AK23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1" s="91" t="str">
        <x:v>https://en.wikipedia.org/wiki/Francesco_Busatto</x:v>
      </x:c>
    </x:row>
    <x:row r="232" ht="24" customHeight="1">
      <x:c r="A232" s="82" t="n">
        <x:v>228</x:v>
      </x:c>
      <x:c r="B232" s="82" t="str">
        <x:v>Juan Pedro López</x:v>
      </x:c>
      <x:c r="C232" s="143" t="str"/>
      <x:c r="D232" s="82" t="str">
        <x:v>スペイン</x:v>
      </x:c>
      <x:c r="E232" s="82" t="str">
        <x:v>現役</x:v>
      </x:c>
      <x:c r="F232" s="82" t="str">
        <x:v>クライマー</x:v>
      </x:c>
      <x:c r="G232" s="82" t="str">
        <x:v>クラシック型</x:v>
      </x:c>
      <x:c r="H232" s="85" t="n">
        <x:v>69</x:v>
      </x:c>
      <x:c r="I232" s="85" t="n">
        <x:v>72</x:v>
      </x:c>
      <x:c r="J232" s="91" t="str">
        <x:v>山岳賞ハンター / 山岳アシスト</x:v>
      </x:c>
      <x:c r="K232" s="91" t="str"/>
      <x:c r="L232" s="91" t="str">
        <x:v>クライマー / クラシック型</x:v>
      </x:c>
      <x:c r="M232" s="88" t="n">
        <x:v>4100</x:v>
      </x:c>
      <x:c r="N232" s="85" t="n">
        <x:v>60</x:v>
      </x:c>
      <x:c r="O232" s="85" t="n">
        <x:v>67</x:v>
      </x:c>
      <x:c r="P232" s="85" t="n">
        <x:v>67</x:v>
      </x:c>
      <x:c r="Q232" s="85" t="n">
        <x:v>60</x:v>
      </x:c>
      <x:c r="R232" s="85" t="n">
        <x:v>75</x:v>
      </x:c>
      <x:c r="S232" s="85" t="n">
        <x:v>75</x:v>
      </x:c>
      <x:c r="T232" s="85" t="n">
        <x:v>72</x:v>
      </x:c>
      <x:c r="U232" s="85" t="n">
        <x:v>64</x:v>
      </x:c>
      <x:c r="V232" s="85" t="n">
        <x:v>67</x:v>
      </x:c>
      <x:c r="W232" s="85" t="n">
        <x:v>50</x:v>
      </x:c>
      <x:c r="X232" s="85" t="n">
        <x:v>75</x:v>
      </x:c>
      <x:c r="Y232" s="85" t="n">
        <x:v>74</x:v>
      </x:c>
      <x:c r="Z232" s="85" t="n">
        <x:v>70</x:v>
      </x:c>
      <x:c r="AA232" s="85" t="n">
        <x:v>65</x:v>
      </x:c>
      <x:c r="AB232" s="85" t="n">
        <x:v>69</x:v>
      </x:c>
      <x:c r="AC232" s="82" t="n">
        <x:v>0</x:v>
      </x:c>
      <x:c r="AD232" s="82" t="n">
        <x:v>0</x:v>
      </x:c>
      <x:c r="AE232" s="82" t="n">
        <x:v>0</x:v>
      </x:c>
      <x:c r="AF232" s="82" t="n">
        <x:v>0</x:v>
      </x:c>
      <x:c r="AG232" s="91" t="str">
        <x:v>要実績照合</x:v>
      </x:c>
      <x:c r="AH232" s="91" t="str">
        <x:v>現役300名補充時の脚質暫定値。パリ〜ルーベ／ロンド個人成績の追加照合が必要</x:v>
      </x:c>
      <x:c r="AI232" s="91" t="str">
        <x:v>https://www.paris-roubaix.fr/en/history</x:v>
      </x:c>
      <x:c r="AJ232" s="91" t="str">
        <x:v>能力・適性・Credit整合済</x:v>
      </x:c>
      <x:c r="AK232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2" s="91" t="str">
        <x:v>https://en.wikipedia.org/wiki/Juan_Pedro_L%C3%B3pez</x:v>
      </x:c>
    </x:row>
    <x:row r="233" ht="24" customHeight="1">
      <x:c r="A233" s="82" t="n">
        <x:v>229</x:v>
      </x:c>
      <x:c r="B233" s="82" t="str">
        <x:v>Jakob Omrzel</x:v>
      </x:c>
      <x:c r="C233" s="143" t="str"/>
      <x:c r="D233" s="82" t="str">
        <x:v>スロベニア</x:v>
      </x:c>
      <x:c r="E233" s="82" t="str">
        <x:v>現役</x:v>
      </x:c>
      <x:c r="F233" s="82" t="str">
        <x:v>クラシック型</x:v>
      </x:c>
      <x:c r="G233" s="82" t="str">
        <x:v>総合型</x:v>
      </x:c>
      <x:c r="H233" s="85" t="n">
        <x:v>69</x:v>
      </x:c>
      <x:c r="I233" s="85" t="n">
        <x:v>73</x:v>
      </x:c>
      <x:c r="J233" s="91" t="str">
        <x:v>石畳護衛 / 集団コントローラー / ブレイクアウェイキラー / 逃げ屋 / 超ロングスパート</x:v>
      </x:c>
      <x:c r="K233" s="91" t="str"/>
      <x:c r="L233" s="91" t="str">
        <x:v>クラシック型 / 総合型</x:v>
      </x:c>
      <x:c r="M233" s="88" t="n">
        <x:v>4050</x:v>
      </x:c>
      <x:c r="N233" s="85" t="n">
        <x:v>73</x:v>
      </x:c>
      <x:c r="O233" s="85" t="n">
        <x:v>68</x:v>
      </x:c>
      <x:c r="P233" s="85" t="n">
        <x:v>72</x:v>
      </x:c>
      <x:c r="Q233" s="85" t="n">
        <x:v>75</x:v>
      </x:c>
      <x:c r="R233" s="85" t="n">
        <x:v>59</x:v>
      </x:c>
      <x:c r="S233" s="85" t="n">
        <x:v>73</x:v>
      </x:c>
      <x:c r="T233" s="85" t="n">
        <x:v>72</x:v>
      </x:c>
      <x:c r="U233" s="85" t="n">
        <x:v>72</x:v>
      </x:c>
      <x:c r="V233" s="85" t="n">
        <x:v>74</x:v>
      </x:c>
      <x:c r="W233" s="85" t="n">
        <x:v>69</x:v>
      </x:c>
      <x:c r="X233" s="85" t="n">
        <x:v>68</x:v>
      </x:c>
      <x:c r="Y233" s="85" t="n">
        <x:v>68</x:v>
      </x:c>
      <x:c r="Z233" s="85" t="n">
        <x:v>74</x:v>
      </x:c>
      <x:c r="AA233" s="85" t="n">
        <x:v>69</x:v>
      </x:c>
      <x:c r="AB233" s="85" t="n">
        <x:v>77</x:v>
      </x:c>
      <x:c r="AC233" s="82" t="n">
        <x:v>0</x:v>
      </x:c>
      <x:c r="AD233" s="82" t="n">
        <x:v>0</x:v>
      </x:c>
      <x:c r="AE233" s="82" t="n">
        <x:v>0</x:v>
      </x:c>
      <x:c r="AF233" s="82" t="n">
        <x:v>0</x:v>
      </x:c>
      <x:c r="AG233" s="91" t="str">
        <x:v>要実績照合</x:v>
      </x:c>
      <x:c r="AH233" s="91" t="str">
        <x:v>現役300名補充時の脚質暫定値。パリ〜ルーベ／ロンド個人成績の追加照合が必要</x:v>
      </x:c>
      <x:c r="AI233" s="91" t="str">
        <x:v>https://www.paris-roubaix.fr/en/history</x:v>
      </x:c>
      <x:c r="AJ233" s="91" t="str">
        <x:v>能力・適性・Credit整合済</x:v>
      </x:c>
      <x:c r="AK23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3" s="91" t="str">
        <x:v>https://en.wikipedia.org/wiki/Jakob_Omrzel</x:v>
      </x:c>
    </x:row>
    <x:row r="234" ht="24" customHeight="1">
      <x:c r="A234" s="82" t="n">
        <x:v>230</x:v>
      </x:c>
      <x:c r="B234" s="82" t="str">
        <x:v>Aurélien Paret-Peintre</x:v>
      </x:c>
      <x:c r="C234" s="143" t="str"/>
      <x:c r="D234" s="82" t="str">
        <x:v>フランス</x:v>
      </x:c>
      <x:c r="E234" s="82" t="str">
        <x:v>現役</x:v>
      </x:c>
      <x:c r="F234" s="82" t="str">
        <x:v>クライマー</x:v>
      </x:c>
      <x:c r="G234" s="82" t="str">
        <x:v>スプリンター</x:v>
      </x:c>
      <x:c r="H234" s="85" t="n">
        <x:v>69</x:v>
      </x:c>
      <x:c r="I234" s="85" t="n">
        <x:v>73</x:v>
      </x:c>
      <x:c r="J234" s="91" t="str">
        <x:v>山岳賞ハンター / スプリントトレイン / 山岳アシスト / 山岳ペースメーカー</x:v>
      </x:c>
      <x:c r="K234" s="91" t="str"/>
      <x:c r="L234" s="91" t="str">
        <x:v>クライマー / スプリンター</x:v>
      </x:c>
      <x:c r="M234" s="88" t="n">
        <x:v>3950</x:v>
      </x:c>
      <x:c r="N234" s="85" t="n">
        <x:v>60</x:v>
      </x:c>
      <x:c r="O234" s="85" t="n">
        <x:v>69</x:v>
      </x:c>
      <x:c r="P234" s="85" t="n">
        <x:v>66</x:v>
      </x:c>
      <x:c r="Q234" s="85" t="n">
        <x:v>64</x:v>
      </x:c>
      <x:c r="R234" s="85" t="n">
        <x:v>76</x:v>
      </x:c>
      <x:c r="S234" s="85" t="n">
        <x:v>72</x:v>
      </x:c>
      <x:c r="T234" s="85" t="n">
        <x:v>68</x:v>
      </x:c>
      <x:c r="U234" s="85" t="n">
        <x:v>64</x:v>
      </x:c>
      <x:c r="V234" s="85" t="n">
        <x:v>61</x:v>
      </x:c>
      <x:c r="W234" s="85" t="n">
        <x:v>57</x:v>
      </x:c>
      <x:c r="X234" s="85" t="n">
        <x:v>72</x:v>
      </x:c>
      <x:c r="Y234" s="85" t="n">
        <x:v>77</x:v>
      </x:c>
      <x:c r="Z234" s="85" t="n">
        <x:v>71</x:v>
      </x:c>
      <x:c r="AA234" s="85" t="n">
        <x:v>69</x:v>
      </x:c>
      <x:c r="AB234" s="85" t="n">
        <x:v>70</x:v>
      </x:c>
      <x:c r="AC234" s="82" t="n">
        <x:v>0</x:v>
      </x:c>
      <x:c r="AD234" s="82" t="n">
        <x:v>0</x:v>
      </x:c>
      <x:c r="AE234" s="82" t="n">
        <x:v>0</x:v>
      </x:c>
      <x:c r="AF234" s="82" t="n">
        <x:v>0</x:v>
      </x:c>
      <x:c r="AG234" s="91" t="str">
        <x:v>要実績照合</x:v>
      </x:c>
      <x:c r="AH234" s="91" t="str">
        <x:v>現役300名補充時の脚質暫定値。パリ〜ルーベ／ロンド個人成績の追加照合が必要</x:v>
      </x:c>
      <x:c r="AI234" s="91" t="str">
        <x:v>https://www.paris-roubaix.fr/en/history</x:v>
      </x:c>
      <x:c r="AJ234" s="91" t="str">
        <x:v>能力・適性・Credit整合済</x:v>
      </x:c>
      <x:c r="AK234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4" s="91" t="str">
        <x:v>https://en.wikipedia.org/wiki/Aur%C3%A9lien_Paret-Peintre</x:v>
      </x:c>
    </x:row>
    <x:row r="235" ht="24" customHeight="1">
      <x:c r="A235" s="82" t="n">
        <x:v>231</x:v>
      </x:c>
      <x:c r="B235" s="82" t="str">
        <x:v>Alastair Mackellar</x:v>
      </x:c>
      <x:c r="C235" s="143" t="str"/>
      <x:c r="D235" s="82" t="str">
        <x:v>オーストラリア</x:v>
      </x:c>
      <x:c r="E235" s="82" t="str">
        <x:v>現役</x:v>
      </x:c>
      <x:c r="F235" s="82" t="str">
        <x:v>クライマー</x:v>
      </x:c>
      <x:c r="G235" s="82" t="str">
        <x:v>スプリンター</x:v>
      </x:c>
      <x:c r="H235" s="85" t="n">
        <x:v>69</x:v>
      </x:c>
      <x:c r="I235" s="85" t="n">
        <x:v>72</x:v>
      </x:c>
      <x:c r="J235" s="91" t="str">
        <x:v>山岳賞ハンター / スプリントトレイン / 山岳アシスト / 山岳ペースメーカー</x:v>
      </x:c>
      <x:c r="K235" s="91" t="str"/>
      <x:c r="L235" s="91" t="str">
        <x:v>クライマー / スプリンター</x:v>
      </x:c>
      <x:c r="M235" s="88" t="n">
        <x:v>3950</x:v>
      </x:c>
      <x:c r="N235" s="85" t="n">
        <x:v>56</x:v>
      </x:c>
      <x:c r="O235" s="85" t="n">
        <x:v>64</x:v>
      </x:c>
      <x:c r="P235" s="85" t="n">
        <x:v>65</x:v>
      </x:c>
      <x:c r="Q235" s="85" t="n">
        <x:v>62</x:v>
      </x:c>
      <x:c r="R235" s="85" t="n">
        <x:v>77</x:v>
      </x:c>
      <x:c r="S235" s="85" t="n">
        <x:v>73</x:v>
      </x:c>
      <x:c r="T235" s="85" t="n">
        <x:v>72</x:v>
      </x:c>
      <x:c r="U235" s="85" t="n">
        <x:v>61</x:v>
      </x:c>
      <x:c r="V235" s="85" t="n">
        <x:v>63</x:v>
      </x:c>
      <x:c r="W235" s="85" t="n">
        <x:v>54</x:v>
      </x:c>
      <x:c r="X235" s="85" t="n">
        <x:v>71</x:v>
      </x:c>
      <x:c r="Y235" s="85" t="n">
        <x:v>76</x:v>
      </x:c>
      <x:c r="Z235" s="85" t="n">
        <x:v>66</x:v>
      </x:c>
      <x:c r="AA235" s="85" t="n">
        <x:v>66</x:v>
      </x:c>
      <x:c r="AB235" s="85" t="n">
        <x:v>69</x:v>
      </x:c>
      <x:c r="AC235" s="82" t="n">
        <x:v>0</x:v>
      </x:c>
      <x:c r="AD235" s="82" t="n">
        <x:v>0</x:v>
      </x:c>
      <x:c r="AE235" s="82" t="n">
        <x:v>0</x:v>
      </x:c>
      <x:c r="AF235" s="82" t="n">
        <x:v>0</x:v>
      </x:c>
      <x:c r="AG235" s="91" t="str">
        <x:v>要実績照合</x:v>
      </x:c>
      <x:c r="AH235" s="91" t="str">
        <x:v>現役300名補充時の脚質暫定値。パリ〜ルーベ／ロンド個人成績の追加照合が必要</x:v>
      </x:c>
      <x:c r="AI235" s="91" t="str">
        <x:v>https://www.paris-roubaix.fr/en/history</x:v>
      </x:c>
      <x:c r="AJ235" s="91" t="str">
        <x:v>能力・適性・Credit整合済</x:v>
      </x:c>
      <x:c r="AK23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5" s="91" t="str">
        <x:v>https://en.wikipedia.org/wiki/Alastair_MacKellar</x:v>
      </x:c>
    </x:row>
    <x:row r="236" ht="24" customHeight="1">
      <x:c r="A236" s="82" t="n">
        <x:v>232</x:v>
      </x:c>
      <x:c r="B236" s="82" t="str">
        <x:v>Brieuc Rolland</x:v>
      </x:c>
      <x:c r="C236" s="143" t="str"/>
      <x:c r="D236" s="82" t="str">
        <x:v>フランス</x:v>
      </x:c>
      <x:c r="E236" s="82" t="str">
        <x:v>現役</x:v>
      </x:c>
      <x:c r="F236" s="82" t="str">
        <x:v>クライマー</x:v>
      </x:c>
      <x:c r="G236" s="82" t="str">
        <x:v>パンチャー</x:v>
      </x:c>
      <x:c r="H236" s="85" t="n">
        <x:v>69</x:v>
      </x:c>
      <x:c r="I236" s="85" t="n">
        <x:v>73</x:v>
      </x:c>
      <x:c r="J236" s="91" t="str">
        <x:v>山岳賞ハンター / 山岳アシスト / 山岳ペースメーカー</x:v>
      </x:c>
      <x:c r="K236" s="91" t="str"/>
      <x:c r="L236" s="91" t="str">
        <x:v>クライマー / パンチャー</x:v>
      </x:c>
      <x:c r="M236" s="88" t="n">
        <x:v>3750</x:v>
      </x:c>
      <x:c r="N236" s="85" t="n">
        <x:v>57</x:v>
      </x:c>
      <x:c r="O236" s="85" t="n">
        <x:v>64</x:v>
      </x:c>
      <x:c r="P236" s="85" t="n">
        <x:v>66</x:v>
      </x:c>
      <x:c r="Q236" s="85" t="n">
        <x:v>63</x:v>
      </x:c>
      <x:c r="R236" s="85" t="n">
        <x:v>74</x:v>
      </x:c>
      <x:c r="S236" s="85" t="n">
        <x:v>68</x:v>
      </x:c>
      <x:c r="T236" s="85" t="n">
        <x:v>71</x:v>
      </x:c>
      <x:c r="U236" s="85" t="n">
        <x:v>62</x:v>
      </x:c>
      <x:c r="V236" s="85" t="n">
        <x:v>65</x:v>
      </x:c>
      <x:c r="W236" s="85" t="n">
        <x:v>51</x:v>
      </x:c>
      <x:c r="X236" s="85" t="n">
        <x:v>75</x:v>
      </x:c>
      <x:c r="Y236" s="85" t="n">
        <x:v>72</x:v>
      </x:c>
      <x:c r="Z236" s="85" t="n">
        <x:v>72</x:v>
      </x:c>
      <x:c r="AA236" s="85" t="n">
        <x:v>63</x:v>
      </x:c>
      <x:c r="AB236" s="85" t="n">
        <x:v>71</x:v>
      </x:c>
      <x:c r="AC236" s="82" t="n">
        <x:v>0</x:v>
      </x:c>
      <x:c r="AD236" s="82" t="n">
        <x:v>0</x:v>
      </x:c>
      <x:c r="AE236" s="82" t="n">
        <x:v>0</x:v>
      </x:c>
      <x:c r="AF236" s="82" t="n">
        <x:v>0</x:v>
      </x:c>
      <x:c r="AG236" s="91" t="str">
        <x:v>要実績照合</x:v>
      </x:c>
      <x:c r="AH236" s="91" t="str">
        <x:v>現役300名補充時の脚質暫定値。パリ〜ルーベ／ロンド個人成績の追加照合が必要</x:v>
      </x:c>
      <x:c r="AI236" s="91" t="str">
        <x:v>https://www.paris-roubaix.fr/en/history</x:v>
      </x:c>
      <x:c r="AJ236" s="91" t="str">
        <x:v>能力・適性・Credit整合済</x:v>
      </x:c>
      <x:c r="AK236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6" s="91" t="str">
        <x:v>https://en.wikipedia.org/wiki/Brieuc_Rolland</x:v>
      </x:c>
    </x:row>
    <x:row r="237" ht="24" customHeight="1">
      <x:c r="A237" s="82" t="n">
        <x:v>233</x:v>
      </x:c>
      <x:c r="B237" s="82" t="str">
        <x:v>Albert Withen Philipsen</x:v>
      </x:c>
      <x:c r="C237" s="143" t="str"/>
      <x:c r="D237" s="82" t="str">
        <x:v>デンマーク</x:v>
      </x:c>
      <x:c r="E237" s="82" t="str">
        <x:v>現役</x:v>
      </x:c>
      <x:c r="F237" s="82" t="str">
        <x:v>TT・ルーラー型</x:v>
      </x:c>
      <x:c r="G237" s="82" t="str">
        <x:v>クラシック型</x:v>
      </x:c>
      <x:c r="H237" s="85" t="n">
        <x:v>69</x:v>
      </x:c>
      <x:c r="I237" s="85" t="n">
        <x:v>75</x:v>
      </x:c>
      <x:c r="J237" s="91" t="str">
        <x:v>平坦ペースメーカー / TT牽引 / 集団コントローラー</x:v>
      </x:c>
      <x:c r="K237" s="91" t="str"/>
      <x:c r="L237" s="91" t="str">
        <x:v>TT・ルーラー型 / クラシック型</x:v>
      </x:c>
      <x:c r="M237" s="88" t="n">
        <x:v>3700</x:v>
      </x:c>
      <x:c r="N237" s="85" t="n">
        <x:v>66</x:v>
      </x:c>
      <x:c r="O237" s="85" t="n">
        <x:v>60</x:v>
      </x:c>
      <x:c r="P237" s="85" t="n">
        <x:v>61</x:v>
      </x:c>
      <x:c r="Q237" s="85" t="n">
        <x:v>75</x:v>
      </x:c>
      <x:c r="R237" s="85" t="n">
        <x:v>69</x:v>
      </x:c>
      <x:c r="S237" s="85" t="n">
        <x:v>71</x:v>
      </x:c>
      <x:c r="T237" s="85" t="n">
        <x:v>69</x:v>
      </x:c>
      <x:c r="U237" s="85" t="n">
        <x:v>70</x:v>
      </x:c>
      <x:c r="V237" s="85" t="n">
        <x:v>68</x:v>
      </x:c>
      <x:c r="W237" s="85" t="n">
        <x:v>60</x:v>
      </x:c>
      <x:c r="X237" s="85" t="n">
        <x:v>66</x:v>
      </x:c>
      <x:c r="Y237" s="85" t="n">
        <x:v>64</x:v>
      </x:c>
      <x:c r="Z237" s="85" t="n">
        <x:v>80</x:v>
      </x:c>
      <x:c r="AA237" s="85" t="n">
        <x:v>64</x:v>
      </x:c>
      <x:c r="AB237" s="85" t="n">
        <x:v>60</x:v>
      </x:c>
      <x:c r="AC237" s="82" t="n">
        <x:v>0</x:v>
      </x:c>
      <x:c r="AD237" s="82" t="n">
        <x:v>0</x:v>
      </x:c>
      <x:c r="AE237" s="82" t="n">
        <x:v>0</x:v>
      </x:c>
      <x:c r="AF237" s="82" t="n">
        <x:v>0</x:v>
      </x:c>
      <x:c r="AG237" s="91" t="str">
        <x:v>要実績照合</x:v>
      </x:c>
      <x:c r="AH237" s="91" t="str">
        <x:v>現役300名補充時の脚質暫定値。パリ〜ルーベ／ロンド個人成績の追加照合が必要</x:v>
      </x:c>
      <x:c r="AI237" s="91" t="str">
        <x:v>https://www.paris-roubaix.fr/en/history</x:v>
      </x:c>
      <x:c r="AJ237" s="91" t="str">
        <x:v>能力・適性・Credit整合済</x:v>
      </x:c>
      <x:c r="AK23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7" s="91" t="str">
        <x:v>https://en.wikipedia.org/wiki/List_of_2026_UCI_WorldTeams_and_riders</x:v>
      </x:c>
    </x:row>
    <x:row r="238" ht="24" customHeight="1">
      <x:c r="A238" s="82" t="n">
        <x:v>234</x:v>
      </x:c>
      <x:c r="B238" s="82" t="str">
        <x:v>Arjen Livyns</x:v>
      </x:c>
      <x:c r="C238" s="143" t="str"/>
      <x:c r="D238" s="82" t="str">
        <x:v>ベルギー</x:v>
      </x:c>
      <x:c r="E238" s="82" t="str">
        <x:v>現役</x:v>
      </x:c>
      <x:c r="F238" s="82" t="str">
        <x:v>パンチャー</x:v>
      </x:c>
      <x:c r="G238" s="82" t="str">
        <x:v>クラシック型</x:v>
      </x:c>
      <x:c r="H238" s="85" t="n">
        <x:v>69</x:v>
      </x:c>
      <x:c r="I238" s="85" t="n">
        <x:v>69</x:v>
      </x:c>
      <x:c r="J238" s="91" t="str">
        <x:v>ステージハンター</x:v>
      </x:c>
      <x:c r="K238" s="91" t="str"/>
      <x:c r="L238" s="91" t="str">
        <x:v>パンチャー / クラシック型</x:v>
      </x:c>
      <x:c r="M238" s="88" t="n">
        <x:v>3550</x:v>
      </x:c>
      <x:c r="N238" s="85" t="n">
        <x:v>69</x:v>
      </x:c>
      <x:c r="O238" s="85" t="n">
        <x:v>74</x:v>
      </x:c>
      <x:c r="P238" s="85" t="n">
        <x:v>74</x:v>
      </x:c>
      <x:c r="Q238" s="85" t="n">
        <x:v>66</x:v>
      </x:c>
      <x:c r="R238" s="85" t="n">
        <x:v>72</x:v>
      </x:c>
      <x:c r="S238" s="85" t="n">
        <x:v>65</x:v>
      </x:c>
      <x:c r="T238" s="85" t="n">
        <x:v>66</x:v>
      </x:c>
      <x:c r="U238" s="85" t="n">
        <x:v>67</x:v>
      </x:c>
      <x:c r="V238" s="85" t="n">
        <x:v>70</x:v>
      </x:c>
      <x:c r="W238" s="85" t="n">
        <x:v>58</x:v>
      </x:c>
      <x:c r="X238" s="85" t="n">
        <x:v>65</x:v>
      </x:c>
      <x:c r="Y238" s="85" t="n">
        <x:v>65</x:v>
      </x:c>
      <x:c r="Z238" s="85" t="n">
        <x:v>64</x:v>
      </x:c>
      <x:c r="AA238" s="85" t="n">
        <x:v>71</x:v>
      </x:c>
      <x:c r="AB238" s="85" t="n">
        <x:v>70</x:v>
      </x:c>
      <x:c r="AC238" s="82" t="n">
        <x:v>0</x:v>
      </x:c>
      <x:c r="AD238" s="82" t="n">
        <x:v>0</x:v>
      </x:c>
      <x:c r="AE238" s="82" t="n">
        <x:v>0</x:v>
      </x:c>
      <x:c r="AF238" s="82" t="n">
        <x:v>0</x:v>
      </x:c>
      <x:c r="AG238" s="91" t="str">
        <x:v>要実績照合</x:v>
      </x:c>
      <x:c r="AH238" s="91" t="str">
        <x:v>現役300名補充時の脚質暫定値。パリ〜ルーベ／ロンド個人成績の追加照合が必要</x:v>
      </x:c>
      <x:c r="AI238" s="91" t="str">
        <x:v>https://www.paris-roubaix.fr/en/history</x:v>
      </x:c>
      <x:c r="AJ238" s="91" t="str">
        <x:v>能力・適性・Credit整合済</x:v>
      </x:c>
      <x:c r="AK23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8" s="91" t="str">
        <x:v>https://en.wikipedia.org/wiki/Arjen_Livyns</x:v>
      </x:c>
    </x:row>
    <x:row r="239" ht="24" customHeight="1">
      <x:c r="A239" s="82" t="n">
        <x:v>235</x:v>
      </x:c>
      <x:c r="B239" s="82" t="str">
        <x:v>Loe van Belle</x:v>
      </x:c>
      <x:c r="C239" s="143" t="str"/>
      <x:c r="D239" s="82" t="str">
        <x:v>オランダ</x:v>
      </x:c>
      <x:c r="E239" s="82" t="str">
        <x:v>現役</x:v>
      </x:c>
      <x:c r="F239" s="82" t="str">
        <x:v>パンチャー</x:v>
      </x:c>
      <x:c r="G239" s="82" t="str">
        <x:v>スプリンター</x:v>
      </x:c>
      <x:c r="H239" s="85" t="n">
        <x:v>69</x:v>
      </x:c>
      <x:c r="I239" s="85" t="n">
        <x:v>67</x:v>
      </x:c>
      <x:c r="J239" s="91" t="str">
        <x:v>ステージハンター / 山岳賞ハンター / スプリントトレイン</x:v>
      </x:c>
      <x:c r="K239" s="91" t="str"/>
      <x:c r="L239" s="91" t="str">
        <x:v>パンチャー / スプリンター</x:v>
      </x:c>
      <x:c r="M239" s="88" t="n">
        <x:v>3500</x:v>
      </x:c>
      <x:c r="N239" s="85" t="n">
        <x:v>70</x:v>
      </x:c>
      <x:c r="O239" s="85" t="n">
        <x:v>71</x:v>
      </x:c>
      <x:c r="P239" s="85" t="n">
        <x:v>77</x:v>
      </x:c>
      <x:c r="Q239" s="85" t="n">
        <x:v>63</x:v>
      </x:c>
      <x:c r="R239" s="85" t="n">
        <x:v>72</x:v>
      </x:c>
      <x:c r="S239" s="85" t="n">
        <x:v>65</x:v>
      </x:c>
      <x:c r="T239" s="85" t="n">
        <x:v>63</x:v>
      </x:c>
      <x:c r="U239" s="85" t="n">
        <x:v>71</x:v>
      </x:c>
      <x:c r="V239" s="85" t="n">
        <x:v>73</x:v>
      </x:c>
      <x:c r="W239" s="85" t="n">
        <x:v>57</x:v>
      </x:c>
      <x:c r="X239" s="85" t="n">
        <x:v>63</x:v>
      </x:c>
      <x:c r="Y239" s="85" t="n">
        <x:v>68</x:v>
      </x:c>
      <x:c r="Z239" s="85" t="n">
        <x:v>60</x:v>
      </x:c>
      <x:c r="AA239" s="85" t="n">
        <x:v>69</x:v>
      </x:c>
      <x:c r="AB239" s="85" t="n">
        <x:v>68</x:v>
      </x:c>
      <x:c r="AC239" s="82" t="n">
        <x:v>0</x:v>
      </x:c>
      <x:c r="AD239" s="82" t="n">
        <x:v>0</x:v>
      </x:c>
      <x:c r="AE239" s="82" t="n">
        <x:v>0</x:v>
      </x:c>
      <x:c r="AF239" s="82" t="n">
        <x:v>0</x:v>
      </x:c>
      <x:c r="AG239" s="91" t="str">
        <x:v>要実績照合</x:v>
      </x:c>
      <x:c r="AH239" s="91" t="str">
        <x:v>現役300名補充時の脚質暫定値。パリ〜ルーベ／ロンド個人成績の追加照合が必要</x:v>
      </x:c>
      <x:c r="AI239" s="91" t="str">
        <x:v>https://www.paris-roubaix.fr/en/history</x:v>
      </x:c>
      <x:c r="AJ239" s="91" t="str">
        <x:v>能力・適性・Credit整合済</x:v>
      </x:c>
      <x:c r="AK23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39" s="91" t="str">
        <x:v>https://en.wikipedia.org/wiki/Loe_van_Belle</x:v>
      </x:c>
    </x:row>
    <x:row r="240" ht="24" customHeight="1">
      <x:c r="A240" s="82" t="n">
        <x:v>236</x:v>
      </x:c>
      <x:c r="B240" s="82" t="str">
        <x:v>Florian Samuel Kajamini</x:v>
      </x:c>
      <x:c r="C240" s="143" t="str"/>
      <x:c r="D240" s="82" t="str">
        <x:v>イタリア</x:v>
      </x:c>
      <x:c r="E240" s="82" t="str">
        <x:v>現役</x:v>
      </x:c>
      <x:c r="F240" s="82" t="str">
        <x:v>パンチャー</x:v>
      </x:c>
      <x:c r="G240" s="82" t="str">
        <x:v>総合型</x:v>
      </x:c>
      <x:c r="H240" s="85" t="n">
        <x:v>69</x:v>
      </x:c>
      <x:c r="I240" s="85" t="n">
        <x:v>68</x:v>
      </x:c>
      <x:c r="J240" s="91" t="str">
        <x:v>ステージハンター / 山岳賞ハンター / 集団コントローラー</x:v>
      </x:c>
      <x:c r="K240" s="91" t="str"/>
      <x:c r="L240" s="91" t="str">
        <x:v>パンチャー / 総合型</x:v>
      </x:c>
      <x:c r="M240" s="88" t="n">
        <x:v>3500</x:v>
      </x:c>
      <x:c r="N240" s="85" t="n">
        <x:v>71</x:v>
      </x:c>
      <x:c r="O240" s="85" t="n">
        <x:v>71</x:v>
      </x:c>
      <x:c r="P240" s="85" t="n">
        <x:v>77</x:v>
      </x:c>
      <x:c r="Q240" s="85" t="n">
        <x:v>64</x:v>
      </x:c>
      <x:c r="R240" s="85" t="n">
        <x:v>71</x:v>
      </x:c>
      <x:c r="S240" s="85" t="n">
        <x:v>65</x:v>
      </x:c>
      <x:c r="T240" s="85" t="n">
        <x:v>61</x:v>
      </x:c>
      <x:c r="U240" s="85" t="n">
        <x:v>68</x:v>
      </x:c>
      <x:c r="V240" s="85" t="n">
        <x:v>71</x:v>
      </x:c>
      <x:c r="W240" s="85" t="n">
        <x:v>52</x:v>
      </x:c>
      <x:c r="X240" s="85" t="n">
        <x:v>65</x:v>
      </x:c>
      <x:c r="Y240" s="85" t="n">
        <x:v>62</x:v>
      </x:c>
      <x:c r="Z240" s="85" t="n">
        <x:v>64</x:v>
      </x:c>
      <x:c r="AA240" s="85" t="n">
        <x:v>73</x:v>
      </x:c>
      <x:c r="AB240" s="85" t="n">
        <x:v>72</x:v>
      </x:c>
      <x:c r="AC240" s="82" t="n">
        <x:v>0</x:v>
      </x:c>
      <x:c r="AD240" s="82" t="n">
        <x:v>0</x:v>
      </x:c>
      <x:c r="AE240" s="82" t="n">
        <x:v>0</x:v>
      </x:c>
      <x:c r="AF240" s="82" t="n">
        <x:v>0</x:v>
      </x:c>
      <x:c r="AG240" s="91" t="str">
        <x:v>要実績照合</x:v>
      </x:c>
      <x:c r="AH240" s="91" t="str">
        <x:v>現役300名補充時の脚質暫定値。パリ〜ルーベ／ロンド個人成績の追加照合が必要</x:v>
      </x:c>
      <x:c r="AI240" s="91" t="str">
        <x:v>https://www.paris-roubaix.fr/en/history</x:v>
      </x:c>
      <x:c r="AJ240" s="91" t="str">
        <x:v>能力・適性・Credit整合済</x:v>
      </x:c>
      <x:c r="AK240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0" s="91" t="str">
        <x:v>https://en.wikipedia.org/wiki/List_of_2026_UCI_WorldTeams_and_riders</x:v>
      </x:c>
    </x:row>
    <x:row r="241" ht="24" customHeight="1">
      <x:c r="A241" s="82" t="n">
        <x:v>237</x:v>
      </x:c>
      <x:c r="B241" s="82" t="str">
        <x:v>Davide De Pretto</x:v>
      </x:c>
      <x:c r="C241" s="143" t="str"/>
      <x:c r="D241" s="82" t="str">
        <x:v>イタリア</x:v>
      </x:c>
      <x:c r="E241" s="82" t="str">
        <x:v>現役</x:v>
      </x:c>
      <x:c r="F241" s="82" t="str">
        <x:v>パンチャー</x:v>
      </x:c>
      <x:c r="G241" s="82" t="str">
        <x:v>スプリンター</x:v>
      </x:c>
      <x:c r="H241" s="85" t="n">
        <x:v>69</x:v>
      </x:c>
      <x:c r="I241" s="85" t="n">
        <x:v>66</x:v>
      </x:c>
      <x:c r="J241" s="91" t="str">
        <x:v>ステージハンター / スプリントトレイン</x:v>
      </x:c>
      <x:c r="K241" s="91" t="str"/>
      <x:c r="L241" s="91" t="str">
        <x:v>パンチャー / スプリンター</x:v>
      </x:c>
      <x:c r="M241" s="88" t="n">
        <x:v>3500</x:v>
      </x:c>
      <x:c r="N241" s="85" t="n">
        <x:v>63</x:v>
      </x:c>
      <x:c r="O241" s="85" t="n">
        <x:v>73</x:v>
      </x:c>
      <x:c r="P241" s="85" t="n">
        <x:v>75</x:v>
      </x:c>
      <x:c r="Q241" s="85" t="n">
        <x:v>67</x:v>
      </x:c>
      <x:c r="R241" s="85" t="n">
        <x:v>70</x:v>
      </x:c>
      <x:c r="S241" s="85" t="n">
        <x:v>65</x:v>
      </x:c>
      <x:c r="T241" s="85" t="n">
        <x:v>64</x:v>
      </x:c>
      <x:c r="U241" s="85" t="n">
        <x:v>65</x:v>
      </x:c>
      <x:c r="V241" s="85" t="n">
        <x:v>72</x:v>
      </x:c>
      <x:c r="W241" s="85" t="n">
        <x:v>50</x:v>
      </x:c>
      <x:c r="X241" s="85" t="n">
        <x:v>67</x:v>
      </x:c>
      <x:c r="Y241" s="85" t="n">
        <x:v>64</x:v>
      </x:c>
      <x:c r="Z241" s="85" t="n">
        <x:v>61</x:v>
      </x:c>
      <x:c r="AA241" s="85" t="n">
        <x:v>71</x:v>
      </x:c>
      <x:c r="AB241" s="85" t="n">
        <x:v>73</x:v>
      </x:c>
      <x:c r="AC241" s="82" t="n">
        <x:v>0</x:v>
      </x:c>
      <x:c r="AD241" s="82" t="n">
        <x:v>0</x:v>
      </x:c>
      <x:c r="AE241" s="82" t="n">
        <x:v>0</x:v>
      </x:c>
      <x:c r="AF241" s="82" t="n">
        <x:v>0</x:v>
      </x:c>
      <x:c r="AG241" s="91" t="str">
        <x:v>要実績照合</x:v>
      </x:c>
      <x:c r="AH241" s="91" t="str">
        <x:v>現役300名補充時の脚質暫定値。パリ〜ルーベ／ロンド個人成績の追加照合が必要</x:v>
      </x:c>
      <x:c r="AI241" s="91" t="str">
        <x:v>https://www.paris-roubaix.fr/en/history</x:v>
      </x:c>
      <x:c r="AJ241" s="91" t="str">
        <x:v>能力・適性・Credit整合済</x:v>
      </x:c>
      <x:c r="AK24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1" s="91" t="str">
        <x:v>https://en.wikipedia.org/wiki/Davide_De_Pretto</x:v>
      </x:c>
    </x:row>
    <x:row r="242" ht="24" customHeight="1">
      <x:c r="A242" s="82" t="n">
        <x:v>238</x:v>
      </x:c>
      <x:c r="B242" s="82" t="str">
        <x:v>Gil Gelders</x:v>
      </x:c>
      <x:c r="C242" s="143" t="str"/>
      <x:c r="D242" s="82" t="str">
        <x:v>ベルギー</x:v>
      </x:c>
      <x:c r="E242" s="82" t="str">
        <x:v>現役</x:v>
      </x:c>
      <x:c r="F242" s="82" t="str">
        <x:v>総合型</x:v>
      </x:c>
      <x:c r="G242" s="82" t="str">
        <x:v>スプリンター</x:v>
      </x:c>
      <x:c r="H242" s="85" t="n">
        <x:v>69</x:v>
      </x:c>
      <x:c r="I242" s="85" t="n">
        <x:v>69</x:v>
      </x:c>
      <x:c r="J242" s="91" t="str">
        <x:v>ロードキャプテン / 山岳賞ハンター / スプリントトレイン / 山岳アシスト</x:v>
      </x:c>
      <x:c r="K242" s="91" t="str"/>
      <x:c r="L242" s="91" t="str">
        <x:v>総合型 / スプリンター</x:v>
      </x:c>
      <x:c r="M242" s="88" t="n">
        <x:v>3500</x:v>
      </x:c>
      <x:c r="N242" s="85" t="n">
        <x:v>56</x:v>
      </x:c>
      <x:c r="O242" s="85" t="n">
        <x:v>64</x:v>
      </x:c>
      <x:c r="P242" s="85" t="n">
        <x:v>66</x:v>
      </x:c>
      <x:c r="Q242" s="85" t="n">
        <x:v>65</x:v>
      </x:c>
      <x:c r="R242" s="85" t="n">
        <x:v>74</x:v>
      </x:c>
      <x:c r="S242" s="85" t="n">
        <x:v>70</x:v>
      </x:c>
      <x:c r="T242" s="85" t="n">
        <x:v>70</x:v>
      </x:c>
      <x:c r="U242" s="85" t="n">
        <x:v>65</x:v>
      </x:c>
      <x:c r="V242" s="85" t="n">
        <x:v>61</x:v>
      </x:c>
      <x:c r="W242" s="85" t="n">
        <x:v>52</x:v>
      </x:c>
      <x:c r="X242" s="85" t="n">
        <x:v>76</x:v>
      </x:c>
      <x:c r="Y242" s="85" t="n">
        <x:v>74</x:v>
      </x:c>
      <x:c r="Z242" s="85" t="n">
        <x:v>63</x:v>
      </x:c>
      <x:c r="AA242" s="85" t="n">
        <x:v>72</x:v>
      </x:c>
      <x:c r="AB242" s="85" t="n">
        <x:v>61</x:v>
      </x:c>
      <x:c r="AC242" s="82" t="n">
        <x:v>0</x:v>
      </x:c>
      <x:c r="AD242" s="82" t="n">
        <x:v>0</x:v>
      </x:c>
      <x:c r="AE242" s="82" t="n">
        <x:v>0</x:v>
      </x:c>
      <x:c r="AF242" s="82" t="n">
        <x:v>0</x:v>
      </x:c>
      <x:c r="AG242" s="91" t="str">
        <x:v>要実績照合</x:v>
      </x:c>
      <x:c r="AH242" s="91" t="str">
        <x:v>現役300名補充時の脚質暫定値。パリ〜ルーベ／ロンド個人成績の追加照合が必要</x:v>
      </x:c>
      <x:c r="AI242" s="91" t="str">
        <x:v>https://www.paris-roubaix.fr/en/history</x:v>
      </x:c>
      <x:c r="AJ242" s="91" t="str">
        <x:v>能力・適性・Credit整合済</x:v>
      </x:c>
      <x:c r="AK24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2" s="91" t="str">
        <x:v>https://en.wikipedia.org/wiki/Gil_Gelders</x:v>
      </x:c>
    </x:row>
    <x:row r="243" ht="24" customHeight="1">
      <x:c r="A243" s="82" t="n">
        <x:v>239</x:v>
      </x:c>
      <x:c r="B243" s="82" t="str">
        <x:v>Clément Berthet</x:v>
      </x:c>
      <x:c r="C243" s="143" t="str"/>
      <x:c r="D243" s="82" t="str">
        <x:v>フランス</x:v>
      </x:c>
      <x:c r="E243" s="82" t="str">
        <x:v>現役</x:v>
      </x:c>
      <x:c r="F243" s="82" t="str">
        <x:v>パンチャー</x:v>
      </x:c>
      <x:c r="G243" s="82" t="str">
        <x:v>総合型</x:v>
      </x:c>
      <x:c r="H243" s="85" t="n">
        <x:v>69</x:v>
      </x:c>
      <x:c r="I243" s="85" t="n">
        <x:v>67</x:v>
      </x:c>
      <x:c r="J243" s="91" t="str">
        <x:v>ステージハンター / 下り牽引 / 集団コントローラー</x:v>
      </x:c>
      <x:c r="K243" s="91" t="str"/>
      <x:c r="L243" s="91" t="str">
        <x:v>パンチャー / 総合型</x:v>
      </x:c>
      <x:c r="M243" s="88" t="n">
        <x:v>3400</x:v>
      </x:c>
      <x:c r="N243" s="85" t="n">
        <x:v>71</x:v>
      </x:c>
      <x:c r="O243" s="85" t="n">
        <x:v>71</x:v>
      </x:c>
      <x:c r="P243" s="85" t="n">
        <x:v>74</x:v>
      </x:c>
      <x:c r="Q243" s="85" t="n">
        <x:v>68</x:v>
      </x:c>
      <x:c r="R243" s="85" t="n">
        <x:v>70</x:v>
      </x:c>
      <x:c r="S243" s="85" t="n">
        <x:v>63</x:v>
      </x:c>
      <x:c r="T243" s="85" t="n">
        <x:v>63</x:v>
      </x:c>
      <x:c r="U243" s="85" t="n">
        <x:v>69</x:v>
      </x:c>
      <x:c r="V243" s="85" t="n">
        <x:v>72</x:v>
      </x:c>
      <x:c r="W243" s="85" t="n">
        <x:v>53</x:v>
      </x:c>
      <x:c r="X243" s="85" t="n">
        <x:v>64</x:v>
      </x:c>
      <x:c r="Y243" s="85" t="n">
        <x:v>64</x:v>
      </x:c>
      <x:c r="Z243" s="85" t="n">
        <x:v>65</x:v>
      </x:c>
      <x:c r="AA243" s="85" t="n">
        <x:v>71</x:v>
      </x:c>
      <x:c r="AB243" s="85" t="n">
        <x:v>75</x:v>
      </x:c>
      <x:c r="AC243" s="82" t="n">
        <x:v>0</x:v>
      </x:c>
      <x:c r="AD243" s="82" t="n">
        <x:v>0</x:v>
      </x:c>
      <x:c r="AE243" s="82" t="n">
        <x:v>0</x:v>
      </x:c>
      <x:c r="AF243" s="82" t="n">
        <x:v>0</x:v>
      </x:c>
      <x:c r="AG243" s="91" t="str">
        <x:v>要実績照合</x:v>
      </x:c>
      <x:c r="AH243" s="91" t="str">
        <x:v>現役300名補充時の脚質暫定値。パリ〜ルーベ／ロンド個人成績の追加照合が必要</x:v>
      </x:c>
      <x:c r="AI243" s="91" t="str">
        <x:v>https://www.paris-roubaix.fr/en/history</x:v>
      </x:c>
      <x:c r="AJ243" s="91" t="str">
        <x:v>能力・適性・Credit整合済</x:v>
      </x:c>
      <x:c r="AK24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3" s="91" t="str">
        <x:v>https://en.wikipedia.org/wiki/Cl%C3%A9ment_Berthet</x:v>
      </x:c>
    </x:row>
    <x:row r="244" ht="24" customHeight="1">
      <x:c r="A244" s="82" t="n">
        <x:v>240</x:v>
      </x:c>
      <x:c r="B244" s="82" t="str">
        <x:v>Dillon Corkery</x:v>
      </x:c>
      <x:c r="C244" s="143" t="str"/>
      <x:c r="D244" s="82" t="str">
        <x:v>アイルランド</x:v>
      </x:c>
      <x:c r="E244" s="82" t="str">
        <x:v>現役</x:v>
      </x:c>
      <x:c r="F244" s="82" t="str">
        <x:v>スプリンター</x:v>
      </x:c>
      <x:c r="G244" s="82" t="str">
        <x:v>総合型</x:v>
      </x:c>
      <x:c r="H244" s="85" t="n">
        <x:v>69</x:v>
      </x:c>
      <x:c r="I244" s="85" t="n">
        <x:v>65</x:v>
      </x:c>
      <x:c r="J244" s="91" t="str">
        <x:v>ロードキャプテン / リードアウト / 下り牽引 / 集団コントローラー / 無賃乗車</x:v>
      </x:c>
      <x:c r="K244" s="91" t="str"/>
      <x:c r="L244" s="91" t="str">
        <x:v>スプリンター / 総合型</x:v>
      </x:c>
      <x:c r="M244" s="88" t="n">
        <x:v>3200</x:v>
      </x:c>
      <x:c r="N244" s="85" t="n">
        <x:v>79</x:v>
      </x:c>
      <x:c r="O244" s="85" t="n">
        <x:v>72</x:v>
      </x:c>
      <x:c r="P244" s="85" t="n">
        <x:v>60</x:v>
      </x:c>
      <x:c r="Q244" s="85" t="n">
        <x:v>66</x:v>
      </x:c>
      <x:c r="R244" s="85" t="n">
        <x:v>59</x:v>
      </x:c>
      <x:c r="S244" s="85" t="n">
        <x:v>58</x:v>
      </x:c>
      <x:c r="T244" s="85" t="n">
        <x:v>63</x:v>
      </x:c>
      <x:c r="U244" s="85" t="n">
        <x:v>68</x:v>
      </x:c>
      <x:c r="V244" s="85" t="n">
        <x:v>68</x:v>
      </x:c>
      <x:c r="W244" s="85" t="n">
        <x:v>52</x:v>
      </x:c>
      <x:c r="X244" s="85" t="n">
        <x:v>59</x:v>
      </x:c>
      <x:c r="Y244" s="85" t="n">
        <x:v>64</x:v>
      </x:c>
      <x:c r="Z244" s="85" t="n">
        <x:v>63</x:v>
      </x:c>
      <x:c r="AA244" s="85" t="n">
        <x:v>69</x:v>
      </x:c>
      <x:c r="AB244" s="85" t="n">
        <x:v>62</x:v>
      </x:c>
      <x:c r="AC244" s="82" t="n">
        <x:v>0</x:v>
      </x:c>
      <x:c r="AD244" s="82" t="n">
        <x:v>0</x:v>
      </x:c>
      <x:c r="AE244" s="82" t="n">
        <x:v>0</x:v>
      </x:c>
      <x:c r="AF244" s="82" t="n">
        <x:v>0</x:v>
      </x:c>
      <x:c r="AG244" s="91" t="str">
        <x:v>要実績照合</x:v>
      </x:c>
      <x:c r="AH244" s="91" t="str">
        <x:v>現役300名補充時の脚質暫定値。パリ〜ルーベ／ロンド個人成績の追加照合が必要</x:v>
      </x:c>
      <x:c r="AI244" s="91" t="str">
        <x:v>https://www.paris-roubaix.fr/en/history</x:v>
      </x:c>
      <x:c r="AJ244" s="91" t="str">
        <x:v>能力・適性・Credit整合済</x:v>
      </x:c>
      <x:c r="AK24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4" s="91" t="str">
        <x:v>https://en.wikipedia.org/wiki/Dillon_Corkery</x:v>
      </x:c>
    </x:row>
    <x:row r="245" ht="24" customHeight="1">
      <x:c r="A245" s="82" t="n">
        <x:v>241</x:v>
      </x:c>
      <x:c r="B245" s="82" t="str">
        <x:v>Casper Pedersen</x:v>
      </x:c>
      <x:c r="C245" s="143" t="str"/>
      <x:c r="D245" s="82" t="str">
        <x:v>デンマーク</x:v>
      </x:c>
      <x:c r="E245" s="82" t="str">
        <x:v>現役</x:v>
      </x:c>
      <x:c r="F245" s="82" t="str">
        <x:v>TT・ルーラー型</x:v>
      </x:c>
      <x:c r="G245" s="82" t="str">
        <x:v>総合型</x:v>
      </x:c>
      <x:c r="H245" s="85" t="n">
        <x:v>68</x:v>
      </x:c>
      <x:c r="I245" s="85" t="n">
        <x:v>77</x:v>
      </x:c>
      <x:c r="J245" s="91" t="str">
        <x:v>平坦アシスト / TT牽引 / 集団コントローラー / ブレイクアウェイキラー</x:v>
      </x:c>
      <x:c r="K245" s="91" t="str"/>
      <x:c r="L245" s="91" t="str">
        <x:v>TT・ルーラー型 / 総合型</x:v>
      </x:c>
      <x:c r="M245" s="88" t="n">
        <x:v>4850</x:v>
      </x:c>
      <x:c r="N245" s="85" t="n">
        <x:v>70</x:v>
      </x:c>
      <x:c r="O245" s="85" t="n">
        <x:v>68</x:v>
      </x:c>
      <x:c r="P245" s="85" t="n">
        <x:v>66</x:v>
      </x:c>
      <x:c r="Q245" s="85" t="n">
        <x:v>79</x:v>
      </x:c>
      <x:c r="R245" s="85" t="n">
        <x:v>69</x:v>
      </x:c>
      <x:c r="S245" s="85" t="n">
        <x:v>75</x:v>
      </x:c>
      <x:c r="T245" s="85" t="n">
        <x:v>75</x:v>
      </x:c>
      <x:c r="U245" s="85" t="n">
        <x:v>73</x:v>
      </x:c>
      <x:c r="V245" s="85" t="n">
        <x:v>67</x:v>
      </x:c>
      <x:c r="W245" s="85" t="n">
        <x:v>57</x:v>
      </x:c>
      <x:c r="X245" s="85" t="n">
        <x:v>72</x:v>
      </x:c>
      <x:c r="Y245" s="85" t="n">
        <x:v>71</x:v>
      </x:c>
      <x:c r="Z245" s="85" t="n">
        <x:v>81</x:v>
      </x:c>
      <x:c r="AA245" s="85" t="n">
        <x:v>66</x:v>
      </x:c>
      <x:c r="AB245" s="85" t="n">
        <x:v>68</x:v>
      </x:c>
      <x:c r="AC245" s="82" t="n">
        <x:v>0</x:v>
      </x:c>
      <x:c r="AD245" s="82" t="n">
        <x:v>0</x:v>
      </x:c>
      <x:c r="AE245" s="82" t="n">
        <x:v>0</x:v>
      </x:c>
      <x:c r="AF245" s="82" t="n">
        <x:v>0</x:v>
      </x:c>
      <x:c r="AG245" s="91" t="str">
        <x:v>要実績照合</x:v>
      </x:c>
      <x:c r="AH245" s="91" t="str">
        <x:v>現役300名補充時の脚質暫定値。パリ〜ルーベ／ロンド個人成績の追加照合が必要</x:v>
      </x:c>
      <x:c r="AI245" s="91" t="str">
        <x:v>https://www.paris-roubaix.fr/en/history</x:v>
      </x:c>
      <x:c r="AJ245" s="91" t="str">
        <x:v>能力・適性・Credit整合済</x:v>
      </x:c>
      <x:c r="AK24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5" s="91" t="str">
        <x:v>https://en.wikipedia.org/wiki/Casper_Pedersen</x:v>
      </x:c>
    </x:row>
    <x:row r="246" ht="24" customHeight="1">
      <x:c r="A246" s="82" t="n">
        <x:v>242</x:v>
      </x:c>
      <x:c r="B246" s="82" t="str">
        <x:v>Christopher Juul-Jensen</x:v>
      </x:c>
      <x:c r="C246" s="143" t="str"/>
      <x:c r="D246" s="82" t="str">
        <x:v>デンマーク</x:v>
      </x:c>
      <x:c r="E246" s="82" t="str">
        <x:v>現役</x:v>
      </x:c>
      <x:c r="F246" s="82" t="str">
        <x:v>TT・ルーラー型</x:v>
      </x:c>
      <x:c r="G246" s="82" t="str">
        <x:v>スプリンター</x:v>
      </x:c>
      <x:c r="H246" s="85" t="n">
        <x:v>68</x:v>
      </x:c>
      <x:c r="I246" s="85" t="n">
        <x:v>78</x:v>
      </x:c>
      <x:c r="J246" s="91" t="str">
        <x:v>スプリントトレイン / 平坦アシスト / 平坦ペースメーカー / TT牽引 / ブレイクアウェイキラー</x:v>
      </x:c>
      <x:c r="K246" s="91" t="str"/>
      <x:c r="L246" s="91" t="str">
        <x:v>TT・ルーラー型 / スプリンター</x:v>
      </x:c>
      <x:c r="M246" s="88" t="n">
        <x:v>4750</x:v>
      </x:c>
      <x:c r="N246" s="85" t="n">
        <x:v>65</x:v>
      </x:c>
      <x:c r="O246" s="85" t="n">
        <x:v>67</x:v>
      </x:c>
      <x:c r="P246" s="85" t="n">
        <x:v>66</x:v>
      </x:c>
      <x:c r="Q246" s="85" t="n">
        <x:v>80</x:v>
      </x:c>
      <x:c r="R246" s="85" t="n">
        <x:v>69</x:v>
      </x:c>
      <x:c r="S246" s="85" t="n">
        <x:v>74</x:v>
      </x:c>
      <x:c r="T246" s="85" t="n">
        <x:v>73</x:v>
      </x:c>
      <x:c r="U246" s="85" t="n">
        <x:v>74</x:v>
      </x:c>
      <x:c r="V246" s="85" t="n">
        <x:v>68</x:v>
      </x:c>
      <x:c r="W246" s="85" t="n">
        <x:v>60</x:v>
      </x:c>
      <x:c r="X246" s="85" t="n">
        <x:v>71</x:v>
      </x:c>
      <x:c r="Y246" s="85" t="n">
        <x:v>72</x:v>
      </x:c>
      <x:c r="Z246" s="85" t="n">
        <x:v>80</x:v>
      </x:c>
      <x:c r="AA246" s="85" t="n">
        <x:v>65</x:v>
      </x:c>
      <x:c r="AB246" s="85" t="n">
        <x:v>67</x:v>
      </x:c>
      <x:c r="AC246" s="82" t="n">
        <x:v>0</x:v>
      </x:c>
      <x:c r="AD246" s="82" t="n">
        <x:v>0</x:v>
      </x:c>
      <x:c r="AE246" s="82" t="n">
        <x:v>0</x:v>
      </x:c>
      <x:c r="AF246" s="82" t="n">
        <x:v>0</x:v>
      </x:c>
      <x:c r="AG246" s="91" t="str">
        <x:v>要実績照合</x:v>
      </x:c>
      <x:c r="AH246" s="91" t="str">
        <x:v>現役300名補充時の脚質暫定値。パリ〜ルーベ／ロンド個人成績の追加照合が必要</x:v>
      </x:c>
      <x:c r="AI246" s="91" t="str">
        <x:v>https://www.paris-roubaix.fr/en/history</x:v>
      </x:c>
      <x:c r="AJ246" s="91" t="str">
        <x:v>能力・適性・Credit整合済</x:v>
      </x:c>
      <x:c r="AK246" s="91" t="str">
        <x:v>公開プロフィール脚質「Roul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6" s="91" t="str">
        <x:v>https://en.wikipedia.org/wiki/Christopher_Juul-Jensen</x:v>
      </x:c>
    </x:row>
    <x:row r="247" ht="24" customHeight="1">
      <x:c r="A247" s="82" t="n">
        <x:v>243</x:v>
      </x:c>
      <x:c r="B247" s="82" t="str">
        <x:v>Felix Engelhardt</x:v>
      </x:c>
      <x:c r="C247" s="143" t="str"/>
      <x:c r="D247" s="82" t="str">
        <x:v>ドイツ</x:v>
      </x:c>
      <x:c r="E247" s="82" t="str">
        <x:v>現役</x:v>
      </x:c>
      <x:c r="F247" s="82" t="str">
        <x:v>TT・ルーラー型</x:v>
      </x:c>
      <x:c r="G247" s="82" t="str">
        <x:v>総合型</x:v>
      </x:c>
      <x:c r="H247" s="85" t="n">
        <x:v>68</x:v>
      </x:c>
      <x:c r="I247" s="85" t="n">
        <x:v>75</x:v>
      </x:c>
      <x:c r="J247" s="91" t="str">
        <x:v>TT牽引 / 集団コントローラー / ブレイクアウェイキラー / 横風分断</x:v>
      </x:c>
      <x:c r="K247" s="91" t="str"/>
      <x:c r="L247" s="91" t="str">
        <x:v>TT・ルーラー型 / 総合型</x:v>
      </x:c>
      <x:c r="M247" s="88" t="n">
        <x:v>4150</x:v>
      </x:c>
      <x:c r="N247" s="85" t="n">
        <x:v>63</x:v>
      </x:c>
      <x:c r="O247" s="85" t="n">
        <x:v>66</x:v>
      </x:c>
      <x:c r="P247" s="85" t="n">
        <x:v>62</x:v>
      </x:c>
      <x:c r="Q247" s="85" t="n">
        <x:v>78</x:v>
      </x:c>
      <x:c r="R247" s="85" t="n">
        <x:v>66</x:v>
      </x:c>
      <x:c r="S247" s="85" t="n">
        <x:v>71</x:v>
      </x:c>
      <x:c r="T247" s="85" t="n">
        <x:v>73</x:v>
      </x:c>
      <x:c r="U247" s="85" t="n">
        <x:v>75</x:v>
      </x:c>
      <x:c r="V247" s="85" t="n">
        <x:v>68</x:v>
      </x:c>
      <x:c r="W247" s="85" t="n">
        <x:v>59</x:v>
      </x:c>
      <x:c r="X247" s="85" t="n">
        <x:v>68</x:v>
      </x:c>
      <x:c r="Y247" s="85" t="n">
        <x:v>70</x:v>
      </x:c>
      <x:c r="Z247" s="85" t="n">
        <x:v>75</x:v>
      </x:c>
      <x:c r="AA247" s="85" t="n">
        <x:v>64</x:v>
      </x:c>
      <x:c r="AB247" s="85" t="n">
        <x:v>66</x:v>
      </x:c>
      <x:c r="AC247" s="82" t="n">
        <x:v>0</x:v>
      </x:c>
      <x:c r="AD247" s="82" t="n">
        <x:v>0</x:v>
      </x:c>
      <x:c r="AE247" s="82" t="n">
        <x:v>0</x:v>
      </x:c>
      <x:c r="AF247" s="82" t="n">
        <x:v>0</x:v>
      </x:c>
      <x:c r="AG247" s="91" t="str">
        <x:v>要実績照合</x:v>
      </x:c>
      <x:c r="AH247" s="91" t="str">
        <x:v>現役300名補充時の脚質暫定値。パリ〜ルーベ／ロンド個人成績の追加照合が必要</x:v>
      </x:c>
      <x:c r="AI247" s="91" t="str">
        <x:v>https://www.paris-roubaix.fr/en/history</x:v>
      </x:c>
      <x:c r="AJ247" s="91" t="str">
        <x:v>能力・適性・Credit整合済</x:v>
      </x:c>
      <x:c r="AK24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7" s="91" t="str">
        <x:v>https://en.wikipedia.org/wiki/Felix_Engelhardt</x:v>
      </x:c>
    </x:row>
    <x:row r="248" ht="24" customHeight="1">
      <x:c r="A248" s="82" t="n">
        <x:v>244</x:v>
      </x:c>
      <x:c r="B248" s="82" t="str">
        <x:v>Jenno Berckmoes</x:v>
      </x:c>
      <x:c r="C248" s="143" t="str"/>
      <x:c r="D248" s="82" t="str">
        <x:v>ベルギー</x:v>
      </x:c>
      <x:c r="E248" s="82" t="str">
        <x:v>現役</x:v>
      </x:c>
      <x:c r="F248" s="82" t="str">
        <x:v>クラシック型</x:v>
      </x:c>
      <x:c r="G248" s="82" t="str">
        <x:v>スプリンター</x:v>
      </x:c>
      <x:c r="H248" s="85" t="n">
        <x:v>68</x:v>
      </x:c>
      <x:c r="I248" s="85" t="n">
        <x:v>73</x:v>
      </x:c>
      <x:c r="J248" s="91" t="str">
        <x:v>スプリントトレイン / 石畳護衛 / 横風分断</x:v>
      </x:c>
      <x:c r="K248" s="91" t="str"/>
      <x:c r="L248" s="91" t="str">
        <x:v>クラシック型 / スプリンター</x:v>
      </x:c>
      <x:c r="M248" s="88" t="n">
        <x:v>3900</x:v>
      </x:c>
      <x:c r="N248" s="85" t="n">
        <x:v>73</x:v>
      </x:c>
      <x:c r="O248" s="85" t="n">
        <x:v>67</x:v>
      </x:c>
      <x:c r="P248" s="85" t="n">
        <x:v>71</x:v>
      </x:c>
      <x:c r="Q248" s="85" t="n">
        <x:v>73</x:v>
      </x:c>
      <x:c r="R248" s="85" t="n">
        <x:v>59</x:v>
      </x:c>
      <x:c r="S248" s="85" t="n">
        <x:v>72</x:v>
      </x:c>
      <x:c r="T248" s="85" t="n">
        <x:v>74</x:v>
      </x:c>
      <x:c r="U248" s="85" t="n">
        <x:v>69</x:v>
      </x:c>
      <x:c r="V248" s="85" t="n">
        <x:v>76</x:v>
      </x:c>
      <x:c r="W248" s="85" t="n">
        <x:v>73</x:v>
      </x:c>
      <x:c r="X248" s="85" t="n">
        <x:v>67</x:v>
      </x:c>
      <x:c r="Y248" s="85" t="n">
        <x:v>67</x:v>
      </x:c>
      <x:c r="Z248" s="85" t="n">
        <x:v>71</x:v>
      </x:c>
      <x:c r="AA248" s="85" t="n">
        <x:v>66</x:v>
      </x:c>
      <x:c r="AB248" s="85" t="n">
        <x:v>73</x:v>
      </x:c>
      <x:c r="AC248" s="82" t="n">
        <x:v>0</x:v>
      </x:c>
      <x:c r="AD248" s="82" t="n">
        <x:v>0</x:v>
      </x:c>
      <x:c r="AE248" s="82" t="n">
        <x:v>0</x:v>
      </x:c>
      <x:c r="AF248" s="82" t="n">
        <x:v>0</x:v>
      </x:c>
      <x:c r="AG248" s="91" t="str">
        <x:v>要実績照合</x:v>
      </x:c>
      <x:c r="AH248" s="91" t="str">
        <x:v>現役300名補充時の脚質暫定値。パリ〜ルーベ／ロンド個人成績の追加照合が必要</x:v>
      </x:c>
      <x:c r="AI248" s="91" t="str">
        <x:v>https://www.paris-roubaix.fr/en/history</x:v>
      </x:c>
      <x:c r="AJ248" s="91" t="str">
        <x:v>能力・適性・Credit整合済</x:v>
      </x:c>
      <x:c r="AK24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8" s="91" t="str">
        <x:v>https://en.wikipedia.org/wiki/Jenno_Berckmoes</x:v>
      </x:c>
    </x:row>
    <x:row r="249" ht="24" customHeight="1">
      <x:c r="A249" s="82" t="n">
        <x:v>245</x:v>
      </x:c>
      <x:c r="B249" s="82" t="str">
        <x:v>Jakob Söderqvist</x:v>
      </x:c>
      <x:c r="C249" s="143" t="str"/>
      <x:c r="D249" s="82" t="str">
        <x:v>SWE</x:v>
      </x:c>
      <x:c r="E249" s="82" t="str">
        <x:v>現役</x:v>
      </x:c>
      <x:c r="F249" s="82" t="str">
        <x:v>TT・ルーラー型</x:v>
      </x:c>
      <x:c r="G249" s="82" t="str">
        <x:v>クライマー</x:v>
      </x:c>
      <x:c r="H249" s="85" t="n">
        <x:v>68</x:v>
      </x:c>
      <x:c r="I249" s="85" t="n">
        <x:v>75</x:v>
      </x:c>
      <x:c r="J249" s="91" t="str">
        <x:v>山岳賞ハンター / TT牽引 / 集団コントローラー</x:v>
      </x:c>
      <x:c r="K249" s="91" t="str"/>
      <x:c r="L249" s="91" t="str">
        <x:v>TT・ルーラー型 / クライマー</x:v>
      </x:c>
      <x:c r="M249" s="88" t="n">
        <x:v>3750</x:v>
      </x:c>
      <x:c r="N249" s="85" t="n">
        <x:v>62</x:v>
      </x:c>
      <x:c r="O249" s="85" t="n">
        <x:v>62</x:v>
      </x:c>
      <x:c r="P249" s="85" t="n">
        <x:v>63</x:v>
      </x:c>
      <x:c r="Q249" s="85" t="n">
        <x:v>77</x:v>
      </x:c>
      <x:c r="R249" s="85" t="n">
        <x:v>66</x:v>
      </x:c>
      <x:c r="S249" s="85" t="n">
        <x:v>71</x:v>
      </x:c>
      <x:c r="T249" s="85" t="n">
        <x:v>72</x:v>
      </x:c>
      <x:c r="U249" s="85" t="n">
        <x:v>73</x:v>
      </x:c>
      <x:c r="V249" s="85" t="n">
        <x:v>64</x:v>
      </x:c>
      <x:c r="W249" s="85" t="n">
        <x:v>55</x:v>
      </x:c>
      <x:c r="X249" s="85" t="n">
        <x:v>63</x:v>
      </x:c>
      <x:c r="Y249" s="85" t="n">
        <x:v>65</x:v>
      </x:c>
      <x:c r="Z249" s="85" t="n">
        <x:v>76</x:v>
      </x:c>
      <x:c r="AA249" s="85" t="n">
        <x:v>63</x:v>
      </x:c>
      <x:c r="AB249" s="85" t="n">
        <x:v>65</x:v>
      </x:c>
      <x:c r="AC249" s="82" t="n">
        <x:v>0</x:v>
      </x:c>
      <x:c r="AD249" s="82" t="n">
        <x:v>0</x:v>
      </x:c>
      <x:c r="AE249" s="82" t="n">
        <x:v>0</x:v>
      </x:c>
      <x:c r="AF249" s="82" t="n">
        <x:v>0</x:v>
      </x:c>
      <x:c r="AG249" s="91" t="str">
        <x:v>要実績照合</x:v>
      </x:c>
      <x:c r="AH249" s="91" t="str">
        <x:v>現役300名補充時の脚質暫定値。パリ〜ルーベ／ロンド個人成績の追加照合が必要</x:v>
      </x:c>
      <x:c r="AI249" s="91" t="str">
        <x:v>https://www.paris-roubaix.fr/en/history</x:v>
      </x:c>
      <x:c r="AJ249" s="91" t="str">
        <x:v>能力・適性・Credit整合済</x:v>
      </x:c>
      <x:c r="AK249" s="91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49" s="91" t="str">
        <x:v>https://en.wikipedia.org/wiki/Jakob_S%C3%B6derqvist</x:v>
      </x:c>
    </x:row>
    <x:row r="250" ht="24" customHeight="1">
      <x:c r="A250" s="82" t="n">
        <x:v>246</x:v>
      </x:c>
      <x:c r="B250" s="82" t="str">
        <x:v>Johannes Kulset</x:v>
      </x:c>
      <x:c r="C250" s="143" t="str"/>
      <x:c r="D250" s="82" t="str">
        <x:v>ノルウェー</x:v>
      </x:c>
      <x:c r="E250" s="82" t="str">
        <x:v>現役</x:v>
      </x:c>
      <x:c r="F250" s="82" t="str">
        <x:v>クライマー</x:v>
      </x:c>
      <x:c r="G250" s="82" t="str">
        <x:v>総合型</x:v>
      </x:c>
      <x:c r="H250" s="85" t="n">
        <x:v>68</x:v>
      </x:c>
      <x:c r="I250" s="85" t="n">
        <x:v>72</x:v>
      </x:c>
      <x:c r="J250" s="91" t="str">
        <x:v>山岳賞ハンター / 山岳アシスト / 集団コントローラー</x:v>
      </x:c>
      <x:c r="K250" s="91" t="str"/>
      <x:c r="L250" s="91" t="str">
        <x:v>クライマー / 総合型</x:v>
      </x:c>
      <x:c r="M250" s="88" t="n">
        <x:v>3600</x:v>
      </x:c>
      <x:c r="N250" s="85" t="n">
        <x:v>55</x:v>
      </x:c>
      <x:c r="O250" s="85" t="n">
        <x:v>61</x:v>
      </x:c>
      <x:c r="P250" s="85" t="n">
        <x:v>66</x:v>
      </x:c>
      <x:c r="Q250" s="85" t="n">
        <x:v>61</x:v>
      </x:c>
      <x:c r="R250" s="85" t="n">
        <x:v>73</x:v>
      </x:c>
      <x:c r="S250" s="85" t="n">
        <x:v>72</x:v>
      </x:c>
      <x:c r="T250" s="85" t="n">
        <x:v>68</x:v>
      </x:c>
      <x:c r="U250" s="85" t="n">
        <x:v>58</x:v>
      </x:c>
      <x:c r="V250" s="85" t="n">
        <x:v>66</x:v>
      </x:c>
      <x:c r="W250" s="85" t="n">
        <x:v>50</x:v>
      </x:c>
      <x:c r="X250" s="85" t="n">
        <x:v>74</x:v>
      </x:c>
      <x:c r="Y250" s="85" t="n">
        <x:v>75</x:v>
      </x:c>
      <x:c r="Z250" s="85" t="n">
        <x:v>68</x:v>
      </x:c>
      <x:c r="AA250" s="85" t="n">
        <x:v>66</x:v>
      </x:c>
      <x:c r="AB250" s="85" t="n">
        <x:v>69</x:v>
      </x:c>
      <x:c r="AC250" s="82" t="n">
        <x:v>0</x:v>
      </x:c>
      <x:c r="AD250" s="82" t="n">
        <x:v>0</x:v>
      </x:c>
      <x:c r="AE250" s="82" t="n">
        <x:v>0</x:v>
      </x:c>
      <x:c r="AF250" s="82" t="n">
        <x:v>0</x:v>
      </x:c>
      <x:c r="AG250" s="91" t="str">
        <x:v>要実績照合</x:v>
      </x:c>
      <x:c r="AH250" s="91" t="str">
        <x:v>現役300名補充時の脚質暫定値。パリ〜ルーベ／ロンド個人成績の追加照合が必要</x:v>
      </x:c>
      <x:c r="AI250" s="91" t="str">
        <x:v>https://www.paris-roubaix.fr/en/history</x:v>
      </x:c>
      <x:c r="AJ250" s="91" t="str">
        <x:v>能力・適性・Credit整合済</x:v>
      </x:c>
      <x:c r="AK250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0" s="91" t="str">
        <x:v>https://en.wikipedia.org/wiki/Johannes_Kulset</x:v>
      </x:c>
    </x:row>
    <x:row r="251" ht="24" customHeight="1">
      <x:c r="A251" s="82" t="n">
        <x:v>247</x:v>
      </x:c>
      <x:c r="B251" s="82" t="str">
        <x:v>Archie Ryan (cyclist)</x:v>
      </x:c>
      <x:c r="C251" s="143" t="str"/>
      <x:c r="D251" s="82" t="str">
        <x:v>アイルランド</x:v>
      </x:c>
      <x:c r="E251" s="82" t="str">
        <x:v>現役</x:v>
      </x:c>
      <x:c r="F251" s="82" t="str">
        <x:v>クライマー</x:v>
      </x:c>
      <x:c r="G251" s="82" t="str">
        <x:v>総合型</x:v>
      </x:c>
      <x:c r="H251" s="85" t="n">
        <x:v>68</x:v>
      </x:c>
      <x:c r="I251" s="85" t="n">
        <x:v>70</x:v>
      </x:c>
      <x:c r="J251" s="91" t="str">
        <x:v>山岳賞ハンター / 山岳アシスト / 山岳番手 / 集団コントローラー</x:v>
      </x:c>
      <x:c r="K251" s="91" t="str"/>
      <x:c r="L251" s="91" t="str">
        <x:v>クライマー / 総合型</x:v>
      </x:c>
      <x:c r="M251" s="88" t="n">
        <x:v>3500</x:v>
      </x:c>
      <x:c r="N251" s="85" t="n">
        <x:v>57</x:v>
      </x:c>
      <x:c r="O251" s="85" t="n">
        <x:v>61</x:v>
      </x:c>
      <x:c r="P251" s="85" t="n">
        <x:v>68</x:v>
      </x:c>
      <x:c r="Q251" s="85" t="n">
        <x:v>57</x:v>
      </x:c>
      <x:c r="R251" s="85" t="n">
        <x:v>75</x:v>
      </x:c>
      <x:c r="S251" s="85" t="n">
        <x:v>68</x:v>
      </x:c>
      <x:c r="T251" s="85" t="n">
        <x:v>67</x:v>
      </x:c>
      <x:c r="U251" s="85" t="n">
        <x:v>57</x:v>
      </x:c>
      <x:c r="V251" s="85" t="n">
        <x:v>65</x:v>
      </x:c>
      <x:c r="W251" s="85" t="n">
        <x:v>53</x:v>
      </x:c>
      <x:c r="X251" s="85" t="n">
        <x:v>74</x:v>
      </x:c>
      <x:c r="Y251" s="85" t="n">
        <x:v>74</x:v>
      </x:c>
      <x:c r="Z251" s="85" t="n">
        <x:v>64</x:v>
      </x:c>
      <x:c r="AA251" s="85" t="n">
        <x:v>67</x:v>
      </x:c>
      <x:c r="AB251" s="85" t="n">
        <x:v>65</x:v>
      </x:c>
      <x:c r="AC251" s="82" t="n">
        <x:v>0</x:v>
      </x:c>
      <x:c r="AD251" s="82" t="n">
        <x:v>0</x:v>
      </x:c>
      <x:c r="AE251" s="82" t="n">
        <x:v>0</x:v>
      </x:c>
      <x:c r="AF251" s="82" t="n">
        <x:v>0</x:v>
      </x:c>
      <x:c r="AG251" s="91" t="str">
        <x:v>要実績照合</x:v>
      </x:c>
      <x:c r="AH251" s="91" t="str">
        <x:v>現役300名補充時の脚質暫定値。パリ〜ルーベ／ロンド個人成績の追加照合が必要</x:v>
      </x:c>
      <x:c r="AI251" s="91" t="str">
        <x:v>https://www.paris-roubaix.fr/en/history</x:v>
      </x:c>
      <x:c r="AJ251" s="91" t="str">
        <x:v>能力・適性・Credit整合済</x:v>
      </x:c>
      <x:c r="AK25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1" s="91" t="str">
        <x:v>https://en.wikipedia.org/wiki/Archie_Ryan_(cyclist)</x:v>
      </x:c>
    </x:row>
    <x:row r="252" ht="24" customHeight="1">
      <x:c r="A252" s="82" t="n">
        <x:v>248</x:v>
      </x:c>
      <x:c r="B252" s="82" t="str">
        <x:v>Josh Kench</x:v>
      </x:c>
      <x:c r="C252" s="143" t="str"/>
      <x:c r="D252" s="82" t="str">
        <x:v>ニュージーランド</x:v>
      </x:c>
      <x:c r="E252" s="82" t="str">
        <x:v>現役</x:v>
      </x:c>
      <x:c r="F252" s="82" t="str">
        <x:v>クラシック型</x:v>
      </x:c>
      <x:c r="G252" s="82" t="str">
        <x:v>TT・ルーラー型</x:v>
      </x:c>
      <x:c r="H252" s="85" t="n">
        <x:v>68</x:v>
      </x:c>
      <x:c r="I252" s="85" t="n">
        <x:v>72</x:v>
      </x:c>
      <x:c r="J252" s="91" t="str">
        <x:v>石畳護衛</x:v>
      </x:c>
      <x:c r="K252" s="91" t="str"/>
      <x:c r="L252" s="91" t="str">
        <x:v>クラシック型 / TT・ルーラー型</x:v>
      </x:c>
      <x:c r="M252" s="88" t="n">
        <x:v>3350</x:v>
      </x:c>
      <x:c r="N252" s="85" t="n">
        <x:v>70</x:v>
      </x:c>
      <x:c r="O252" s="85" t="n">
        <x:v>66</x:v>
      </x:c>
      <x:c r="P252" s="85" t="n">
        <x:v>69</x:v>
      </x:c>
      <x:c r="Q252" s="85" t="n">
        <x:v>70</x:v>
      </x:c>
      <x:c r="R252" s="85" t="n">
        <x:v>65</x:v>
      </x:c>
      <x:c r="S252" s="85" t="n">
        <x:v>69</x:v>
      </x:c>
      <x:c r="T252" s="85" t="n">
        <x:v>71</x:v>
      </x:c>
      <x:c r="U252" s="85" t="n">
        <x:v>75</x:v>
      </x:c>
      <x:c r="V252" s="85" t="n">
        <x:v>72</x:v>
      </x:c>
      <x:c r="W252" s="85" t="n">
        <x:v>65</x:v>
      </x:c>
      <x:c r="X252" s="85" t="n">
        <x:v>66</x:v>
      </x:c>
      <x:c r="Y252" s="85" t="n">
        <x:v>65</x:v>
      </x:c>
      <x:c r="Z252" s="85" t="n">
        <x:v>71</x:v>
      </x:c>
      <x:c r="AA252" s="85" t="n">
        <x:v>64</x:v>
      </x:c>
      <x:c r="AB252" s="85" t="n">
        <x:v>68</x:v>
      </x:c>
      <x:c r="AC252" s="82" t="n">
        <x:v>0</x:v>
      </x:c>
      <x:c r="AD252" s="82" t="n">
        <x:v>0</x:v>
      </x:c>
      <x:c r="AE252" s="82" t="n">
        <x:v>0</x:v>
      </x:c>
      <x:c r="AF252" s="82" t="n">
        <x:v>0</x:v>
      </x:c>
      <x:c r="AG252" s="91" t="str">
        <x:v>要実績照合</x:v>
      </x:c>
      <x:c r="AH252" s="91" t="str">
        <x:v>現役300名補充時の脚質暫定値。パリ〜ルーベ／ロンド個人成績の追加照合が必要</x:v>
      </x:c>
      <x:c r="AI252" s="91" t="str">
        <x:v>https://www.paris-roubaix.fr/en/history</x:v>
      </x:c>
      <x:c r="AJ252" s="91" t="str">
        <x:v>能力・適性・Credit整合済</x:v>
      </x:c>
      <x:c r="AK25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2" s="91" t="str">
        <x:v>https://en.wikipedia.org/wiki/Josh_Kench</x:v>
      </x:c>
    </x:row>
    <x:row r="253" ht="24" customHeight="1">
      <x:c r="A253" s="82" t="n">
        <x:v>249</x:v>
      </x:c>
      <x:c r="B253" s="82" t="str">
        <x:v>Floris Van Tricht</x:v>
      </x:c>
      <x:c r="C253" s="143" t="str"/>
      <x:c r="D253" s="82" t="str">
        <x:v>ベルギー</x:v>
      </x:c>
      <x:c r="E253" s="82" t="str">
        <x:v>現役</x:v>
      </x:c>
      <x:c r="F253" s="82" t="str">
        <x:v>スプリンター</x:v>
      </x:c>
      <x:c r="G253" s="82" t="str">
        <x:v>クライマー</x:v>
      </x:c>
      <x:c r="H253" s="85" t="n">
        <x:v>68</x:v>
      </x:c>
      <x:c r="I253" s="85" t="n">
        <x:v>63</x:v>
      </x:c>
      <x:c r="J253" s="91" t="str">
        <x:v>山岳賞ハンター / リードアウト / 下り牽引</x:v>
      </x:c>
      <x:c r="K253" s="91" t="str"/>
      <x:c r="L253" s="91" t="str">
        <x:v>スプリンター / クライマー</x:v>
      </x:c>
      <x:c r="M253" s="88" t="n">
        <x:v>2850</x:v>
      </x:c>
      <x:c r="N253" s="85" t="n">
        <x:v>72</x:v>
      </x:c>
      <x:c r="O253" s="85" t="n">
        <x:v>72</x:v>
      </x:c>
      <x:c r="P253" s="85" t="n">
        <x:v>61</x:v>
      </x:c>
      <x:c r="Q253" s="85" t="n">
        <x:v>65</x:v>
      </x:c>
      <x:c r="R253" s="85" t="n">
        <x:v>52</x:v>
      </x:c>
      <x:c r="S253" s="85" t="n">
        <x:v>59</x:v>
      </x:c>
      <x:c r="T253" s="85" t="n">
        <x:v>58</x:v>
      </x:c>
      <x:c r="U253" s="85" t="n">
        <x:v>64</x:v>
      </x:c>
      <x:c r="V253" s="85" t="n">
        <x:v>65</x:v>
      </x:c>
      <x:c r="W253" s="85" t="n">
        <x:v>53</x:v>
      </x:c>
      <x:c r="X253" s="85" t="n">
        <x:v>58</x:v>
      </x:c>
      <x:c r="Y253" s="85" t="n">
        <x:v>57</x:v>
      </x:c>
      <x:c r="Z253" s="85" t="n">
        <x:v>61</x:v>
      </x:c>
      <x:c r="AA253" s="85" t="n">
        <x:v>70</x:v>
      </x:c>
      <x:c r="AB253" s="85" t="n">
        <x:v>64</x:v>
      </x:c>
      <x:c r="AC253" s="82" t="n">
        <x:v>0</x:v>
      </x:c>
      <x:c r="AD253" s="82" t="n">
        <x:v>0</x:v>
      </x:c>
      <x:c r="AE253" s="82" t="n">
        <x:v>0</x:v>
      </x:c>
      <x:c r="AF253" s="82" t="n">
        <x:v>0</x:v>
      </x:c>
      <x:c r="AG253" s="91" t="str">
        <x:v>要実績照合</x:v>
      </x:c>
      <x:c r="AH253" s="91" t="str">
        <x:v>現役300名補充時の脚質暫定値。パリ〜ルーベ／ロンド個人成績の追加照合が必要</x:v>
      </x:c>
      <x:c r="AI253" s="91" t="str">
        <x:v>https://www.paris-roubaix.fr/en/history</x:v>
      </x:c>
      <x:c r="AJ253" s="91" t="str">
        <x:v>能力・適性・Credit整合済</x:v>
      </x:c>
      <x:c r="AK25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3" s="91" t="str">
        <x:v>https://en.wikipedia.org/wiki/Floris_Van_Tricht</x:v>
      </x:c>
    </x:row>
    <x:row r="254" ht="24" customHeight="1">
      <x:c r="A254" s="82" t="n">
        <x:v>250</x:v>
      </x:c>
      <x:c r="B254" s="82" t="str">
        <x:v>Bart Lemmen</x:v>
      </x:c>
      <x:c r="C254" s="143" t="str"/>
      <x:c r="D254" s="82" t="str">
        <x:v>オランダ</x:v>
      </x:c>
      <x:c r="E254" s="82" t="str">
        <x:v>現役</x:v>
      </x:c>
      <x:c r="F254" s="82" t="str">
        <x:v>TT・ルーラー型</x:v>
      </x:c>
      <x:c r="G254" s="82" t="str">
        <x:v>クラシック型</x:v>
      </x:c>
      <x:c r="H254" s="85" t="n">
        <x:v>67</x:v>
      </x:c>
      <x:c r="I254" s="85" t="n">
        <x:v>77</x:v>
      </x:c>
      <x:c r="J254" s="91" t="str">
        <x:v>TTスペシャリスト / 平坦アシスト / 集団コントローラー / ブレイクアウェイキラー / 横風要員 / 逃げ屋</x:v>
      </x:c>
      <x:c r="K254" s="91" t="str"/>
      <x:c r="L254" s="91" t="str">
        <x:v>TT・ルーラー型 / クラシック型</x:v>
      </x:c>
      <x:c r="M254" s="88" t="n">
        <x:v>4800</x:v>
      </x:c>
      <x:c r="N254" s="85" t="n">
        <x:v>66</x:v>
      </x:c>
      <x:c r="O254" s="85" t="n">
        <x:v>67</x:v>
      </x:c>
      <x:c r="P254" s="85" t="n">
        <x:v>66</x:v>
      </x:c>
      <x:c r="Q254" s="85" t="n">
        <x:v>80</x:v>
      </x:c>
      <x:c r="R254" s="85" t="n">
        <x:v>69</x:v>
      </x:c>
      <x:c r="S254" s="85" t="n">
        <x:v>76</x:v>
      </x:c>
      <x:c r="T254" s="85" t="n">
        <x:v>75</x:v>
      </x:c>
      <x:c r="U254" s="85" t="n">
        <x:v>78</x:v>
      </x:c>
      <x:c r="V254" s="85" t="n">
        <x:v>65</x:v>
      </x:c>
      <x:c r="W254" s="85" t="n">
        <x:v>55</x:v>
      </x:c>
      <x:c r="X254" s="85" t="n">
        <x:v>71</x:v>
      </x:c>
      <x:c r="Y254" s="85" t="n">
        <x:v>71</x:v>
      </x:c>
      <x:c r="Z254" s="85" t="n">
        <x:v>79</x:v>
      </x:c>
      <x:c r="AA254" s="85" t="n">
        <x:v>66</x:v>
      </x:c>
      <x:c r="AB254" s="85" t="n">
        <x:v>65</x:v>
      </x:c>
      <x:c r="AC254" s="82" t="n">
        <x:v>0</x:v>
      </x:c>
      <x:c r="AD254" s="82" t="n">
        <x:v>0</x:v>
      </x:c>
      <x:c r="AE254" s="82" t="n">
        <x:v>0</x:v>
      </x:c>
      <x:c r="AF254" s="82" t="n">
        <x:v>0</x:v>
      </x:c>
      <x:c r="AG254" s="91" t="str">
        <x:v>要実績照合</x:v>
      </x:c>
      <x:c r="AH254" s="91" t="str">
        <x:v>現役300名補充時の脚質暫定値。パリ〜ルーベ／ロンド個人成績の追加照合が必要</x:v>
      </x:c>
      <x:c r="AI254" s="91" t="str">
        <x:v>https://www.paris-roubaix.fr/en/history</x:v>
      </x:c>
      <x:c r="AJ254" s="91" t="str">
        <x:v>能力・適性・Credit整合済</x:v>
      </x:c>
      <x:c r="AK25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4" s="91" t="str">
        <x:v>https://en.wikipedia.org/wiki/Bart_Lemmen</x:v>
      </x:c>
    </x:row>
    <x:row r="255" ht="24" customHeight="1">
      <x:c r="A255" s="82" t="n">
        <x:v>251</x:v>
      </x:c>
      <x:c r="B255" s="82" t="str">
        <x:v>Davide Piganzoli</x:v>
      </x:c>
      <x:c r="C255" s="143" t="str"/>
      <x:c r="D255" s="82" t="str">
        <x:v>イタリア</x:v>
      </x:c>
      <x:c r="E255" s="82" t="str">
        <x:v>現役</x:v>
      </x:c>
      <x:c r="F255" s="82" t="str">
        <x:v>TT・ルーラー型</x:v>
      </x:c>
      <x:c r="G255" s="82" t="str">
        <x:v>総合型</x:v>
      </x:c>
      <x:c r="H255" s="85" t="n">
        <x:v>67</x:v>
      </x:c>
      <x:c r="I255" s="85" t="n">
        <x:v>77</x:v>
      </x:c>
      <x:c r="J255" s="91" t="str">
        <x:v>平坦アシスト / TT牽引 / 集団コントローラー / ポジションキーパー</x:v>
      </x:c>
      <x:c r="K255" s="91" t="str"/>
      <x:c r="L255" s="91" t="str">
        <x:v>TT・ルーラー型 / 総合型</x:v>
      </x:c>
      <x:c r="M255" s="88" t="n">
        <x:v>3900</x:v>
      </x:c>
      <x:c r="N255" s="85" t="n">
        <x:v>60</x:v>
      </x:c>
      <x:c r="O255" s="85" t="n">
        <x:v>65</x:v>
      </x:c>
      <x:c r="P255" s="85" t="n">
        <x:v>61</x:v>
      </x:c>
      <x:c r="Q255" s="85" t="n">
        <x:v>79</x:v>
      </x:c>
      <x:c r="R255" s="85" t="n">
        <x:v>67</x:v>
      </x:c>
      <x:c r="S255" s="85" t="n">
        <x:v>70</x:v>
      </x:c>
      <x:c r="T255" s="85" t="n">
        <x:v>70</x:v>
      </x:c>
      <x:c r="U255" s="85" t="n">
        <x:v>76</x:v>
      </x:c>
      <x:c r="V255" s="85" t="n">
        <x:v>70</x:v>
      </x:c>
      <x:c r="W255" s="85" t="n">
        <x:v>61</x:v>
      </x:c>
      <x:c r="X255" s="85" t="n">
        <x:v>64</x:v>
      </x:c>
      <x:c r="Y255" s="85" t="n">
        <x:v>67</x:v>
      </x:c>
      <x:c r="Z255" s="85" t="n">
        <x:v>81</x:v>
      </x:c>
      <x:c r="AA255" s="85" t="n">
        <x:v>66</x:v>
      </x:c>
      <x:c r="AB255" s="85" t="n">
        <x:v>64</x:v>
      </x:c>
      <x:c r="AC255" s="82" t="n">
        <x:v>0</x:v>
      </x:c>
      <x:c r="AD255" s="82" t="n">
        <x:v>0</x:v>
      </x:c>
      <x:c r="AE255" s="82" t="n">
        <x:v>0</x:v>
      </x:c>
      <x:c r="AF255" s="82" t="n">
        <x:v>0</x:v>
      </x:c>
      <x:c r="AG255" s="91" t="str">
        <x:v>要実績照合</x:v>
      </x:c>
      <x:c r="AH255" s="91" t="str">
        <x:v>現役300名補充時の脚質暫定値。パリ〜ルーベ／ロンド個人成績の追加照合が必要</x:v>
      </x:c>
      <x:c r="AI255" s="91" t="str">
        <x:v>https://www.paris-roubaix.fr/en/history</x:v>
      </x:c>
      <x:c r="AJ255" s="91" t="str">
        <x:v>能力・適性・Credit整合済</x:v>
      </x:c>
      <x:c r="AK255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5" s="91" t="str">
        <x:v>https://en.wikipedia.org/wiki/Davide_Piganzoli</x:v>
      </x:c>
    </x:row>
    <x:row r="256" ht="24" customHeight="1">
      <x:c r="A256" s="82" t="n">
        <x:v>252</x:v>
      </x:c>
      <x:c r="B256" s="82" t="str">
        <x:v>Harold Martín López</x:v>
      </x:c>
      <x:c r="C256" s="143" t="str"/>
      <x:c r="D256" s="82" t="str">
        <x:v>エクアドル</x:v>
      </x:c>
      <x:c r="E256" s="82" t="str">
        <x:v>現役</x:v>
      </x:c>
      <x:c r="F256" s="82" t="str">
        <x:v>クライマー</x:v>
      </x:c>
      <x:c r="G256" s="82" t="str">
        <x:v>TT・ルーラー型</x:v>
      </x:c>
      <x:c r="H256" s="85" t="n">
        <x:v>67</x:v>
      </x:c>
      <x:c r="I256" s="85" t="n">
        <x:v>71</x:v>
      </x:c>
      <x:c r="J256" s="91" t="str">
        <x:v>山岳賞ハンター / 山岳アシスト</x:v>
      </x:c>
      <x:c r="K256" s="91" t="str"/>
      <x:c r="L256" s="91" t="str">
        <x:v>クライマー / TT・ルーラー型</x:v>
      </x:c>
      <x:c r="M256" s="88" t="n">
        <x:v>3450</x:v>
      </x:c>
      <x:c r="N256" s="85" t="n">
        <x:v>52</x:v>
      </x:c>
      <x:c r="O256" s="85" t="n">
        <x:v>66</x:v>
      </x:c>
      <x:c r="P256" s="85" t="n">
        <x:v>67</x:v>
      </x:c>
      <x:c r="Q256" s="85" t="n">
        <x:v>62</x:v>
      </x:c>
      <x:c r="R256" s="85" t="n">
        <x:v>74</x:v>
      </x:c>
      <x:c r="S256" s="85" t="n">
        <x:v>70</x:v>
      </x:c>
      <x:c r="T256" s="85" t="n">
        <x:v>66</x:v>
      </x:c>
      <x:c r="U256" s="85" t="n">
        <x:v>62</x:v>
      </x:c>
      <x:c r="V256" s="85" t="n">
        <x:v>57</x:v>
      </x:c>
      <x:c r="W256" s="85" t="n">
        <x:v>52</x:v>
      </x:c>
      <x:c r="X256" s="85" t="n">
        <x:v>73</x:v>
      </x:c>
      <x:c r="Y256" s="85" t="n">
        <x:v>73</x:v>
      </x:c>
      <x:c r="Z256" s="85" t="n">
        <x:v>69</x:v>
      </x:c>
      <x:c r="AA256" s="85" t="n">
        <x:v>67</x:v>
      </x:c>
      <x:c r="AB256" s="85" t="n">
        <x:v>71</x:v>
      </x:c>
      <x:c r="AC256" s="82" t="n">
        <x:v>0</x:v>
      </x:c>
      <x:c r="AD256" s="82" t="n">
        <x:v>0</x:v>
      </x:c>
      <x:c r="AE256" s="82" t="n">
        <x:v>0</x:v>
      </x:c>
      <x:c r="AF256" s="82" t="n">
        <x:v>0</x:v>
      </x:c>
      <x:c r="AG256" s="91" t="str">
        <x:v>要実績照合</x:v>
      </x:c>
      <x:c r="AH256" s="91" t="str">
        <x:v>現役300名補充時の脚質暫定値。パリ〜ルーベ／ロンド個人成績の追加照合が必要</x:v>
      </x:c>
      <x:c r="AI256" s="91" t="str">
        <x:v>https://www.paris-roubaix.fr/en/history</x:v>
      </x:c>
      <x:c r="AJ256" s="91" t="str">
        <x:v>能力・適性・Credit整合済</x:v>
      </x:c>
      <x:c r="AK256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6" s="91" t="str">
        <x:v>https://en.wikipedia.org/wiki/Harold_Mart%C3%ADn_L%C3%B3pez</x:v>
      </x:c>
    </x:row>
    <x:row r="257" ht="24" customHeight="1">
      <x:c r="A257" s="82" t="n">
        <x:v>253</x:v>
      </x:c>
      <x:c r="B257" s="82" t="str">
        <x:v>Henri-François Renard-Haquin</x:v>
      </x:c>
      <x:c r="C257" s="143" t="str"/>
      <x:c r="D257" s="82" t="str">
        <x:v>フランス</x:v>
      </x:c>
      <x:c r="E257" s="82" t="str">
        <x:v>現役</x:v>
      </x:c>
      <x:c r="F257" s="82" t="str">
        <x:v>クラシック型</x:v>
      </x:c>
      <x:c r="G257" s="82" t="str">
        <x:v>クライマー</x:v>
      </x:c>
      <x:c r="H257" s="85" t="n">
        <x:v>67</x:v>
      </x:c>
      <x:c r="I257" s="85" t="n">
        <x:v>70</x:v>
      </x:c>
      <x:c r="J257" s="91" t="str">
        <x:v>山岳賞ハンター / 石畳護衛 / 下り牽引</x:v>
      </x:c>
      <x:c r="K257" s="91" t="str"/>
      <x:c r="L257" s="91" t="str">
        <x:v>クラシック型 / クライマー</x:v>
      </x:c>
      <x:c r="M257" s="88" t="n">
        <x:v>3350</x:v>
      </x:c>
      <x:c r="N257" s="85" t="n">
        <x:v>72</x:v>
      </x:c>
      <x:c r="O257" s="85" t="n">
        <x:v>68</x:v>
      </x:c>
      <x:c r="P257" s="85" t="n">
        <x:v>70</x:v>
      </x:c>
      <x:c r="Q257" s="85" t="n">
        <x:v>70</x:v>
      </x:c>
      <x:c r="R257" s="85" t="n">
        <x:v>59</x:v>
      </x:c>
      <x:c r="S257" s="85" t="n">
        <x:v>71</x:v>
      </x:c>
      <x:c r="T257" s="85" t="n">
        <x:v>71</x:v>
      </x:c>
      <x:c r="U257" s="85" t="n">
        <x:v>74</x:v>
      </x:c>
      <x:c r="V257" s="85" t="n">
        <x:v>74</x:v>
      </x:c>
      <x:c r="W257" s="85" t="n">
        <x:v>66</x:v>
      </x:c>
      <x:c r="X257" s="85" t="n">
        <x:v>63</x:v>
      </x:c>
      <x:c r="Y257" s="85" t="n">
        <x:v>66</x:v>
      </x:c>
      <x:c r="Z257" s="85" t="n">
        <x:v>65</x:v>
      </x:c>
      <x:c r="AA257" s="85" t="n">
        <x:v>65</x:v>
      </x:c>
      <x:c r="AB257" s="85" t="n">
        <x:v>69</x:v>
      </x:c>
      <x:c r="AC257" s="82" t="n">
        <x:v>0</x:v>
      </x:c>
      <x:c r="AD257" s="82" t="n">
        <x:v>0</x:v>
      </x:c>
      <x:c r="AE257" s="82" t="n">
        <x:v>0</x:v>
      </x:c>
      <x:c r="AF257" s="82" t="n">
        <x:v>0</x:v>
      </x:c>
      <x:c r="AG257" s="91" t="str">
        <x:v>要実績照合</x:v>
      </x:c>
      <x:c r="AH257" s="91" t="str">
        <x:v>現役300名補充時の脚質暫定値。パリ〜ルーベ／ロンド個人成績の追加照合が必要</x:v>
      </x:c>
      <x:c r="AI257" s="91" t="str">
        <x:v>https://www.paris-roubaix.fr/en/history</x:v>
      </x:c>
      <x:c r="AJ257" s="91" t="str">
        <x:v>能力・適性・Credit整合済</x:v>
      </x:c>
      <x:c r="AK25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7" s="91" t="str">
        <x:v>https://en.wikipedia.org/wiki/Henri-Fran%C3%A7ois_Renard-Haquin</x:v>
      </x:c>
    </x:row>
    <x:row r="258" ht="24" customHeight="1">
      <x:c r="A258" s="82" t="n">
        <x:v>254</x:v>
      </x:c>
      <x:c r="B258" s="82" t="str">
        <x:v>Lennert Belmans</x:v>
      </x:c>
      <x:c r="C258" s="143" t="str"/>
      <x:c r="D258" s="82" t="str">
        <x:v>ベルギー</x:v>
      </x:c>
      <x:c r="E258" s="82" t="str">
        <x:v>現役</x:v>
      </x:c>
      <x:c r="F258" s="82" t="str">
        <x:v>クラシック型</x:v>
      </x:c>
      <x:c r="G258" s="82" t="str">
        <x:v>TT・ルーラー型</x:v>
      </x:c>
      <x:c r="H258" s="85" t="n">
        <x:v>67</x:v>
      </x:c>
      <x:c r="I258" s="85" t="n">
        <x:v>71</x:v>
      </x:c>
      <x:c r="J258" s="91" t="str">
        <x:v>石畳護衛 / 集団コントローラー</x:v>
      </x:c>
      <x:c r="K258" s="91" t="str"/>
      <x:c r="L258" s="91" t="str">
        <x:v>クラシック型 / TT・ルーラー型</x:v>
      </x:c>
      <x:c r="M258" s="88" t="n">
        <x:v>3300</x:v>
      </x:c>
      <x:c r="N258" s="85" t="n">
        <x:v>72</x:v>
      </x:c>
      <x:c r="O258" s="85" t="n">
        <x:v>69</x:v>
      </x:c>
      <x:c r="P258" s="85" t="n">
        <x:v>68</x:v>
      </x:c>
      <x:c r="Q258" s="85" t="n">
        <x:v>72</x:v>
      </x:c>
      <x:c r="R258" s="85" t="n">
        <x:v>61</x:v>
      </x:c>
      <x:c r="S258" s="85" t="n">
        <x:v>70</x:v>
      </x:c>
      <x:c r="T258" s="85" t="n">
        <x:v>69</x:v>
      </x:c>
      <x:c r="U258" s="85" t="n">
        <x:v>69</x:v>
      </x:c>
      <x:c r="V258" s="85" t="n">
        <x:v>71</x:v>
      </x:c>
      <x:c r="W258" s="85" t="n">
        <x:v>71</x:v>
      </x:c>
      <x:c r="X258" s="85" t="n">
        <x:v>60</x:v>
      </x:c>
      <x:c r="Y258" s="85" t="n">
        <x:v>59</x:v>
      </x:c>
      <x:c r="Z258" s="85" t="n">
        <x:v>71</x:v>
      </x:c>
      <x:c r="AA258" s="85" t="n">
        <x:v>67</x:v>
      </x:c>
      <x:c r="AB258" s="85" t="n">
        <x:v>69</x:v>
      </x:c>
      <x:c r="AC258" s="82" t="n">
        <x:v>0</x:v>
      </x:c>
      <x:c r="AD258" s="82" t="n">
        <x:v>0</x:v>
      </x:c>
      <x:c r="AE258" s="82" t="n">
        <x:v>0</x:v>
      </x:c>
      <x:c r="AF258" s="82" t="n">
        <x:v>0</x:v>
      </x:c>
      <x:c r="AG258" s="91" t="str">
        <x:v>要実績照合</x:v>
      </x:c>
      <x:c r="AH258" s="91" t="str">
        <x:v>現役300名補充時の脚質暫定値。パリ〜ルーベ／ロンド個人成績の追加照合が必要</x:v>
      </x:c>
      <x:c r="AI258" s="91" t="str">
        <x:v>https://www.paris-roubaix.fr/en/history</x:v>
      </x:c>
      <x:c r="AJ258" s="91" t="str">
        <x:v>能力・適性・Credit整合済</x:v>
      </x:c>
      <x:c r="AK25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8" s="91" t="str">
        <x:v>https://en.wikipedia.org/wiki/Lennert_Belmans</x:v>
      </x:c>
    </x:row>
    <x:row r="259" ht="24" customHeight="1">
      <x:c r="A259" s="82" t="n">
        <x:v>255</x:v>
      </x:c>
      <x:c r="B259" s="82" t="str">
        <x:v>Bastien Tronchon</x:v>
      </x:c>
      <x:c r="C259" s="143" t="str"/>
      <x:c r="D259" s="82" t="str">
        <x:v>フランス</x:v>
      </x:c>
      <x:c r="E259" s="82" t="str">
        <x:v>現役</x:v>
      </x:c>
      <x:c r="F259" s="82" t="str">
        <x:v>パンチャー</x:v>
      </x:c>
      <x:c r="G259" s="82" t="str">
        <x:v>スプリンター</x:v>
      </x:c>
      <x:c r="H259" s="85" t="n">
        <x:v>67</x:v>
      </x:c>
      <x:c r="I259" s="85" t="n">
        <x:v>66</x:v>
      </x:c>
      <x:c r="J259" s="91" t="str">
        <x:v>ステージハンター / 山岳賞ハンター / スプリントトレイン</x:v>
      </x:c>
      <x:c r="K259" s="91" t="str"/>
      <x:c r="L259" s="91" t="str">
        <x:v>パンチャー / スプリンター</x:v>
      </x:c>
      <x:c r="M259" s="88" t="n">
        <x:v>3300</x:v>
      </x:c>
      <x:c r="N259" s="85" t="n">
        <x:v>68</x:v>
      </x:c>
      <x:c r="O259" s="85" t="n">
        <x:v>73</x:v>
      </x:c>
      <x:c r="P259" s="85" t="n">
        <x:v>77</x:v>
      </x:c>
      <x:c r="Q259" s="85" t="n">
        <x:v>66</x:v>
      </x:c>
      <x:c r="R259" s="85" t="n">
        <x:v>71</x:v>
      </x:c>
      <x:c r="S259" s="85" t="n">
        <x:v>64</x:v>
      </x:c>
      <x:c r="T259" s="85" t="n">
        <x:v>64</x:v>
      </x:c>
      <x:c r="U259" s="85" t="n">
        <x:v>69</x:v>
      </x:c>
      <x:c r="V259" s="85" t="n">
        <x:v>71</x:v>
      </x:c>
      <x:c r="W259" s="85" t="n">
        <x:v>56</x:v>
      </x:c>
      <x:c r="X259" s="85" t="n">
        <x:v>64</x:v>
      </x:c>
      <x:c r="Y259" s="85" t="n">
        <x:v>65</x:v>
      </x:c>
      <x:c r="Z259" s="85" t="n">
        <x:v>60</x:v>
      </x:c>
      <x:c r="AA259" s="85" t="n">
        <x:v>72</x:v>
      </x:c>
      <x:c r="AB259" s="85" t="n">
        <x:v>71</x:v>
      </x:c>
      <x:c r="AC259" s="82" t="n">
        <x:v>0</x:v>
      </x:c>
      <x:c r="AD259" s="82" t="n">
        <x:v>0</x:v>
      </x:c>
      <x:c r="AE259" s="82" t="n">
        <x:v>0</x:v>
      </x:c>
      <x:c r="AF259" s="82" t="n">
        <x:v>0</x:v>
      </x:c>
      <x:c r="AG259" s="91" t="str">
        <x:v>要実績照合</x:v>
      </x:c>
      <x:c r="AH259" s="91" t="str">
        <x:v>現役300名補充時の脚質暫定値。パリ〜ルーベ／ロンド個人成績の追加照合が必要</x:v>
      </x:c>
      <x:c r="AI259" s="91" t="str">
        <x:v>https://www.paris-roubaix.fr/en/history</x:v>
      </x:c>
      <x:c r="AJ259" s="91" t="str">
        <x:v>能力・適性・Credit整合済</x:v>
      </x:c>
      <x:c r="AK259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59" s="91" t="str">
        <x:v>https://en.wikipedia.org/wiki/Bastien_Tronchon</x:v>
      </x:c>
    </x:row>
    <x:row r="260" ht="24" customHeight="1">
      <x:c r="A260" s="82" t="n">
        <x:v>256</x:v>
      </x:c>
      <x:c r="B260" s="82" t="str">
        <x:v>Laurens De Plus</x:v>
      </x:c>
      <x:c r="C260" s="143" t="str"/>
      <x:c r="D260" s="82" t="str">
        <x:v>ベルギー</x:v>
      </x:c>
      <x:c r="E260" s="82" t="str">
        <x:v>現役</x:v>
      </x:c>
      <x:c r="F260" s="82" t="str">
        <x:v>クライマー</x:v>
      </x:c>
      <x:c r="G260" s="82" t="str">
        <x:v>総合型</x:v>
      </x:c>
      <x:c r="H260" s="85" t="n">
        <x:v>66</x:v>
      </x:c>
      <x:c r="I260" s="85" t="n">
        <x:v>76</x:v>
      </x:c>
      <x:c r="J260" s="91" t="str">
        <x:v>山岳賞ハンター / 山岳アシスト / 集団コントローラー</x:v>
      </x:c>
      <x:c r="K260" s="91" t="str"/>
      <x:c r="L260" s="91" t="str">
        <x:v>山岳耐久 / 総合安定</x:v>
      </x:c>
      <x:c r="M260" s="88" t="n">
        <x:v>3750</x:v>
      </x:c>
      <x:c r="N260" s="85" t="n">
        <x:v>56</x:v>
      </x:c>
      <x:c r="O260" s="85" t="n">
        <x:v>67</x:v>
      </x:c>
      <x:c r="P260" s="85" t="n">
        <x:v>70</x:v>
      </x:c>
      <x:c r="Q260" s="85" t="n">
        <x:v>65</x:v>
      </x:c>
      <x:c r="R260" s="85" t="n">
        <x:v>75</x:v>
      </x:c>
      <x:c r="S260" s="85" t="n">
        <x:v>70</x:v>
      </x:c>
      <x:c r="T260" s="85" t="n">
        <x:v>70</x:v>
      </x:c>
      <x:c r="U260" s="85" t="n">
        <x:v>64</x:v>
      </x:c>
      <x:c r="V260" s="85" t="n">
        <x:v>66</x:v>
      </x:c>
      <x:c r="W260" s="85" t="n">
        <x:v>50</x:v>
      </x:c>
      <x:c r="X260" s="85" t="n">
        <x:v>75</x:v>
      </x:c>
      <x:c r="Y260" s="85" t="n">
        <x:v>76</x:v>
      </x:c>
      <x:c r="Z260" s="85" t="n">
        <x:v>72</x:v>
      </x:c>
      <x:c r="AA260" s="85" t="n">
        <x:v>65</x:v>
      </x:c>
      <x:c r="AB260" s="85" t="n">
        <x:v>71</x:v>
      </x:c>
      <x:c r="AC260" s="82" t="n">
        <x:v>0</x:v>
      </x:c>
      <x:c r="AD260" s="82" t="n">
        <x:v>0</x:v>
      </x:c>
      <x:c r="AE260" s="82" t="n">
        <x:v>0</x:v>
      </x:c>
      <x:c r="AF260" s="82" t="n">
        <x:v>0</x:v>
      </x:c>
      <x:c r="AG260" s="91" t="str">
        <x:v>要出走確認</x:v>
      </x:c>
      <x:c r="AH260" s="91" t="str">
        <x:v>1960〜2026完走順位との一致なし。未出走または表記差を要確認</x:v>
      </x:c>
      <x:c r="AI260" s="91" t="str">
        <x:v>https://bikeraceinfo.com/classics/paris-roubaix/paris-roubaix-index.html</x:v>
      </x:c>
      <x:c r="AJ260" s="91" t="str">
        <x:v>能力・適性・Credit整合済</x:v>
      </x:c>
      <x:c r="AK26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0" s="91" t="str">
        <x:v>https://en.wikipedia.org/wiki/Special:Search?search=Laurens%20De%20Plus%20cyclist</x:v>
      </x:c>
    </x:row>
    <x:row r="261" ht="24" customHeight="1">
      <x:c r="A261" s="82" t="n">
        <x:v>257</x:v>
      </x:c>
      <x:c r="B261" s="82" t="str">
        <x:v>Alessandro Covi</x:v>
      </x:c>
      <x:c r="C261" s="143" t="str"/>
      <x:c r="D261" s="82" t="str">
        <x:v>イタリア</x:v>
      </x:c>
      <x:c r="E261" s="82" t="str">
        <x:v>現役</x:v>
      </x:c>
      <x:c r="F261" s="82" t="str">
        <x:v>TT・ルーラー型</x:v>
      </x:c>
      <x:c r="G261" s="82" t="str">
        <x:v>スプリンター</x:v>
      </x:c>
      <x:c r="H261" s="85" t="n">
        <x:v>66</x:v>
      </x:c>
      <x:c r="I261" s="85" t="n">
        <x:v>77</x:v>
      </x:c>
      <x:c r="J261" s="91" t="str">
        <x:v>スプリントトレイン / 平坦アシスト / TT牽引 / 集団コントローラー</x:v>
      </x:c>
      <x:c r="K261" s="91" t="str"/>
      <x:c r="L261" s="91" t="str">
        <x:v>TT・ルーラー型 / スプリンター</x:v>
      </x:c>
      <x:c r="M261" s="88" t="n">
        <x:v>3650</x:v>
      </x:c>
      <x:c r="N261" s="85" t="n">
        <x:v>67</x:v>
      </x:c>
      <x:c r="O261" s="85" t="n">
        <x:v>61</x:v>
      </x:c>
      <x:c r="P261" s="85" t="n">
        <x:v>64</x:v>
      </x:c>
      <x:c r="Q261" s="85" t="n">
        <x:v>75</x:v>
      </x:c>
      <x:c r="R261" s="85" t="n">
        <x:v>63</x:v>
      </x:c>
      <x:c r="S261" s="85" t="n">
        <x:v>71</x:v>
      </x:c>
      <x:c r="T261" s="85" t="n">
        <x:v>72</x:v>
      </x:c>
      <x:c r="U261" s="85" t="n">
        <x:v>70</x:v>
      </x:c>
      <x:c r="V261" s="85" t="n">
        <x:v>67</x:v>
      </x:c>
      <x:c r="W261" s="85" t="n">
        <x:v>55</x:v>
      </x:c>
      <x:c r="X261" s="85" t="n">
        <x:v>64</x:v>
      </x:c>
      <x:c r="Y261" s="85" t="n">
        <x:v>69</x:v>
      </x:c>
      <x:c r="Z261" s="85" t="n">
        <x:v>82</x:v>
      </x:c>
      <x:c r="AA261" s="85" t="n">
        <x:v>64</x:v>
      </x:c>
      <x:c r="AB261" s="85" t="n">
        <x:v>65</x:v>
      </x:c>
      <x:c r="AC261" s="82" t="n">
        <x:v>0</x:v>
      </x:c>
      <x:c r="AD261" s="82" t="n">
        <x:v>0</x:v>
      </x:c>
      <x:c r="AE261" s="82" t="n">
        <x:v>0</x:v>
      </x:c>
      <x:c r="AF261" s="82" t="n">
        <x:v>0</x:v>
      </x:c>
      <x:c r="AG261" s="91" t="str">
        <x:v>要実績照合</x:v>
      </x:c>
      <x:c r="AH261" s="91" t="str">
        <x:v>現役300名補充時の脚質暫定値。パリ〜ルーベ／ロンド個人成績の追加照合が必要</x:v>
      </x:c>
      <x:c r="AI261" s="91" t="str">
        <x:v>https://www.paris-roubaix.fr/en/history</x:v>
      </x:c>
      <x:c r="AJ261" s="91" t="str">
        <x:v>能力・適性・Credit整合済</x:v>
      </x:c>
      <x:c r="AK261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1" s="91" t="str">
        <x:v>https://en.wikipedia.org/wiki/Alessandro_Covi</x:v>
      </x:c>
    </x:row>
    <x:row r="262" ht="24" customHeight="1">
      <x:c r="A262" s="82" t="n">
        <x:v>258</x:v>
      </x:c>
      <x:c r="B262" s="82" t="str">
        <x:v>Darren van Bekkum</x:v>
      </x:c>
      <x:c r="C262" s="143" t="str"/>
      <x:c r="D262" s="82" t="str">
        <x:v>オランダ</x:v>
      </x:c>
      <x:c r="E262" s="82" t="str">
        <x:v>現役</x:v>
      </x:c>
      <x:c r="F262" s="82" t="str">
        <x:v>クライマー</x:v>
      </x:c>
      <x:c r="G262" s="82" t="str">
        <x:v>クラシック型</x:v>
      </x:c>
      <x:c r="H262" s="85" t="n">
        <x:v>66</x:v>
      </x:c>
      <x:c r="I262" s="85" t="n">
        <x:v>71</x:v>
      </x:c>
      <x:c r="J262" s="91" t="str">
        <x:v>山岳賞ハンター / 山岳アシスト / 山岳番手</x:v>
      </x:c>
      <x:c r="K262" s="91" t="str"/>
      <x:c r="L262" s="91" t="str">
        <x:v>クライマー / クラシック型</x:v>
      </x:c>
      <x:c r="M262" s="88" t="n">
        <x:v>3250</x:v>
      </x:c>
      <x:c r="N262" s="85" t="n">
        <x:v>52</x:v>
      </x:c>
      <x:c r="O262" s="85" t="n">
        <x:v>59</x:v>
      </x:c>
      <x:c r="P262" s="85" t="n">
        <x:v>67</x:v>
      </x:c>
      <x:c r="Q262" s="85" t="n">
        <x:v>59</x:v>
      </x:c>
      <x:c r="R262" s="85" t="n">
        <x:v>75</x:v>
      </x:c>
      <x:c r="S262" s="85" t="n">
        <x:v>69</x:v>
      </x:c>
      <x:c r="T262" s="85" t="n">
        <x:v>68</x:v>
      </x:c>
      <x:c r="U262" s="85" t="n">
        <x:v>60</x:v>
      </x:c>
      <x:c r="V262" s="85" t="n">
        <x:v>65</x:v>
      </x:c>
      <x:c r="W262" s="85" t="n">
        <x:v>54</x:v>
      </x:c>
      <x:c r="X262" s="85" t="n">
        <x:v>71</x:v>
      </x:c>
      <x:c r="Y262" s="85" t="n">
        <x:v>72</x:v>
      </x:c>
      <x:c r="Z262" s="85" t="n">
        <x:v>69</x:v>
      </x:c>
      <x:c r="AA262" s="85" t="n">
        <x:v>63</x:v>
      </x:c>
      <x:c r="AB262" s="85" t="n">
        <x:v>69</x:v>
      </x:c>
      <x:c r="AC262" s="82" t="n">
        <x:v>0</x:v>
      </x:c>
      <x:c r="AD262" s="82" t="n">
        <x:v>0</x:v>
      </x:c>
      <x:c r="AE262" s="82" t="n">
        <x:v>0</x:v>
      </x:c>
      <x:c r="AF262" s="82" t="n">
        <x:v>0</x:v>
      </x:c>
      <x:c r="AG262" s="91" t="str">
        <x:v>要実績照合</x:v>
      </x:c>
      <x:c r="AH262" s="91" t="str">
        <x:v>現役300名補充時の脚質暫定値。パリ〜ルーベ／ロンド個人成績の追加照合が必要</x:v>
      </x:c>
      <x:c r="AI262" s="91" t="str">
        <x:v>https://www.paris-roubaix.fr/en/history</x:v>
      </x:c>
      <x:c r="AJ262" s="91" t="str">
        <x:v>能力・適性・Credit整合済</x:v>
      </x:c>
      <x:c r="AK262" s="91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2" s="91" t="str">
        <x:v>https://en.wikipedia.org/wiki/Darren_van_Bekkum</x:v>
      </x:c>
    </x:row>
    <x:row r="263" ht="24" customHeight="1">
      <x:c r="A263" s="82" t="n">
        <x:v>259</x:v>
      </x:c>
      <x:c r="B263" s="82" t="str">
        <x:v>Anton Kuzmin</x:v>
      </x:c>
      <x:c r="C263" s="143" t="str"/>
      <x:c r="D263" s="82" t="str">
        <x:v>カザフスタン</x:v>
      </x:c>
      <x:c r="E263" s="82" t="str">
        <x:v>現役</x:v>
      </x:c>
      <x:c r="F263" s="82" t="str">
        <x:v>TT・ルーラー型</x:v>
      </x:c>
      <x:c r="G263" s="82" t="str">
        <x:v>総合型</x:v>
      </x:c>
      <x:c r="H263" s="85" t="n">
        <x:v>66</x:v>
      </x:c>
      <x:c r="I263" s="85" t="n">
        <x:v>73</x:v>
      </x:c>
      <x:c r="J263" s="91" t="str">
        <x:v>TT牽引 / 集団コントローラー / 横風分断</x:v>
      </x:c>
      <x:c r="K263" s="91" t="str"/>
      <x:c r="L263" s="91" t="str">
        <x:v>TT・ルーラー型 / 総合型</x:v>
      </x:c>
      <x:c r="M263" s="88" t="n">
        <x:v>3150</x:v>
      </x:c>
      <x:c r="N263" s="85" t="n">
        <x:v>58</x:v>
      </x:c>
      <x:c r="O263" s="85" t="n">
        <x:v>62</x:v>
      </x:c>
      <x:c r="P263" s="85" t="n">
        <x:v>59</x:v>
      </x:c>
      <x:c r="Q263" s="85" t="n">
        <x:v>75</x:v>
      </x:c>
      <x:c r="R263" s="85" t="n">
        <x:v>63</x:v>
      </x:c>
      <x:c r="S263" s="85" t="n">
        <x:v>68</x:v>
      </x:c>
      <x:c r="T263" s="85" t="n">
        <x:v>68</x:v>
      </x:c>
      <x:c r="U263" s="85" t="n">
        <x:v>72</x:v>
      </x:c>
      <x:c r="V263" s="85" t="n">
        <x:v>62</x:v>
      </x:c>
      <x:c r="W263" s="85" t="n">
        <x:v>53</x:v>
      </x:c>
      <x:c r="X263" s="85" t="n">
        <x:v>61</x:v>
      </x:c>
      <x:c r="Y263" s="85" t="n">
        <x:v>61</x:v>
      </x:c>
      <x:c r="Z263" s="85" t="n">
        <x:v>77</x:v>
      </x:c>
      <x:c r="AA263" s="85" t="n">
        <x:v>64</x:v>
      </x:c>
      <x:c r="AB263" s="85" t="n">
        <x:v>64</x:v>
      </x:c>
      <x:c r="AC263" s="82" t="n">
        <x:v>0</x:v>
      </x:c>
      <x:c r="AD263" s="82" t="n">
        <x:v>0</x:v>
      </x:c>
      <x:c r="AE263" s="82" t="n">
        <x:v>0</x:v>
      </x:c>
      <x:c r="AF263" s="82" t="n">
        <x:v>0</x:v>
      </x:c>
      <x:c r="AG263" s="91" t="str">
        <x:v>要実績照合</x:v>
      </x:c>
      <x:c r="AH263" s="91" t="str">
        <x:v>現役300名補充時の脚質暫定値。パリ〜ルーベ／ロンド個人成績の追加照合が必要</x:v>
      </x:c>
      <x:c r="AI263" s="91" t="str">
        <x:v>https://www.paris-roubaix.fr/en/history</x:v>
      </x:c>
      <x:c r="AJ263" s="91" t="str">
        <x:v>能力・適性・Credit整合済</x:v>
      </x:c>
      <x:c r="AK263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3" s="91" t="str">
        <x:v>https://en.wikipedia.org/wiki/Anton_Kuzmin</x:v>
      </x:c>
    </x:row>
    <x:row r="264" ht="24" customHeight="1">
      <x:c r="A264" s="82" t="n">
        <x:v>260</x:v>
      </x:c>
      <x:c r="B264" s="82" t="str">
        <x:v>Alessandro Borgo</x:v>
      </x:c>
      <x:c r="C264" s="143" t="str"/>
      <x:c r="D264" s="82" t="str">
        <x:v>イタリア</x:v>
      </x:c>
      <x:c r="E264" s="82" t="str">
        <x:v>現役</x:v>
      </x:c>
      <x:c r="F264" s="82" t="str">
        <x:v>TT・ルーラー型</x:v>
      </x:c>
      <x:c r="G264" s="82" t="str">
        <x:v>クラシック型</x:v>
      </x:c>
      <x:c r="H264" s="85" t="n">
        <x:v>66</x:v>
      </x:c>
      <x:c r="I264" s="85" t="n">
        <x:v>73</x:v>
      </x:c>
      <x:c r="J264" s="91" t="str">
        <x:v>TT牽引 / 集団コントローラー</x:v>
      </x:c>
      <x:c r="K264" s="91" t="str"/>
      <x:c r="L264" s="91" t="str">
        <x:v>TT・ルーラー型 / クラシック型</x:v>
      </x:c>
      <x:c r="M264" s="88" t="n">
        <x:v>3100</x:v>
      </x:c>
      <x:c r="N264" s="85" t="n">
        <x:v>59</x:v>
      </x:c>
      <x:c r="O264" s="85" t="n">
        <x:v>61</x:v>
      </x:c>
      <x:c r="P264" s="85" t="n">
        <x:v>58</x:v>
      </x:c>
      <x:c r="Q264" s="85" t="n">
        <x:v>73</x:v>
      </x:c>
      <x:c r="R264" s="85" t="n">
        <x:v>63</x:v>
      </x:c>
      <x:c r="S264" s="85" t="n">
        <x:v>70</x:v>
      </x:c>
      <x:c r="T264" s="85" t="n">
        <x:v>69</x:v>
      </x:c>
      <x:c r="U264" s="85" t="n">
        <x:v>70</x:v>
      </x:c>
      <x:c r="V264" s="85" t="n">
        <x:v>64</x:v>
      </x:c>
      <x:c r="W264" s="85" t="n">
        <x:v>54</x:v>
      </x:c>
      <x:c r="X264" s="85" t="n">
        <x:v>63</x:v>
      </x:c>
      <x:c r="Y264" s="85" t="n">
        <x:v>61</x:v>
      </x:c>
      <x:c r="Z264" s="85" t="n">
        <x:v>74</x:v>
      </x:c>
      <x:c r="AA264" s="85" t="n">
        <x:v>59</x:v>
      </x:c>
      <x:c r="AB264" s="85" t="n">
        <x:v>63</x:v>
      </x:c>
      <x:c r="AC264" s="82" t="n">
        <x:v>0</x:v>
      </x:c>
      <x:c r="AD264" s="82" t="n">
        <x:v>0</x:v>
      </x:c>
      <x:c r="AE264" s="82" t="n">
        <x:v>0</x:v>
      </x:c>
      <x:c r="AF264" s="82" t="n">
        <x:v>0</x:v>
      </x:c>
      <x:c r="AG264" s="91" t="str">
        <x:v>要実績照合</x:v>
      </x:c>
      <x:c r="AH264" s="91" t="str">
        <x:v>現役300名補充時の脚質暫定値。パリ〜ルーベ／ロンド個人成績の追加照合が必要</x:v>
      </x:c>
      <x:c r="AI264" s="91" t="str">
        <x:v>https://www.paris-roubaix.fr/en/history</x:v>
      </x:c>
      <x:c r="AJ264" s="91" t="str">
        <x:v>能力・適性・Credit整合済</x:v>
      </x:c>
      <x:c r="AK264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4" s="91" t="str">
        <x:v>https://en.wikipedia.org/wiki/Alessandro_Borgo</x:v>
      </x:c>
    </x:row>
    <x:row r="265" ht="24" customHeight="1">
      <x:c r="A265" s="82" t="n">
        <x:v>261</x:v>
      </x:c>
      <x:c r="B265" s="82" t="str">
        <x:v>Luke Plapp</x:v>
      </x:c>
      <x:c r="C265" s="143" t="str"/>
      <x:c r="D265" s="82" t="str">
        <x:v>オーストラリア</x:v>
      </x:c>
      <x:c r="E265" s="82" t="str">
        <x:v>現役</x:v>
      </x:c>
      <x:c r="F265" s="82" t="str">
        <x:v>TT・ルーラー型</x:v>
      </x:c>
      <x:c r="G265" s="82" t="str">
        <x:v>総合型</x:v>
      </x:c>
      <x:c r="H265" s="85" t="n">
        <x:v>65</x:v>
      </x:c>
      <x:c r="I265" s="85" t="n">
        <x:v>79</x:v>
      </x:c>
      <x:c r="J265" s="91" t="str">
        <x:v>ロードキャプテン / 平坦アシスト / TT牽引 / 集団コントローラー</x:v>
      </x:c>
      <x:c r="K265" s="91" t="str"/>
      <x:c r="L265" s="91" t="str">
        <x:v>巡航力 / 総合安定</x:v>
      </x:c>
      <x:c r="M265" s="88" t="n">
        <x:v>3650</x:v>
      </x:c>
      <x:c r="N265" s="85" t="n">
        <x:v>64</x:v>
      </x:c>
      <x:c r="O265" s="85" t="n">
        <x:v>63</x:v>
      </x:c>
      <x:c r="P265" s="85" t="n">
        <x:v>65</x:v>
      </x:c>
      <x:c r="Q265" s="85" t="n">
        <x:v>78</x:v>
      </x:c>
      <x:c r="R265" s="85" t="n">
        <x:v>70</x:v>
      </x:c>
      <x:c r="S265" s="85" t="n">
        <x:v>70</x:v>
      </x:c>
      <x:c r="T265" s="85" t="n">
        <x:v>70</x:v>
      </x:c>
      <x:c r="U265" s="85" t="n">
        <x:v>72</x:v>
      </x:c>
      <x:c r="V265" s="85" t="n">
        <x:v>67</x:v>
      </x:c>
      <x:c r="W265" s="85" t="n">
        <x:v>50</x:v>
      </x:c>
      <x:c r="X265" s="85" t="n">
        <x:v>68</x:v>
      </x:c>
      <x:c r="Y265" s="85" t="n">
        <x:v>68</x:v>
      </x:c>
      <x:c r="Z265" s="85" t="n">
        <x:v>77</x:v>
      </x:c>
      <x:c r="AA265" s="85" t="n">
        <x:v>63</x:v>
      </x:c>
      <x:c r="AB265" s="85" t="n">
        <x:v>64</x:v>
      </x:c>
      <x:c r="AC265" s="82" t="n">
        <x:v>0</x:v>
      </x:c>
      <x:c r="AD265" s="82" t="n">
        <x:v>0</x:v>
      </x:c>
      <x:c r="AE265" s="82" t="n">
        <x:v>0</x:v>
      </x:c>
      <x:c r="AF265" s="82" t="n">
        <x:v>0</x:v>
      </x:c>
      <x:c r="AG265" s="91" t="str">
        <x:v>要出走確認</x:v>
      </x:c>
      <x:c r="AH265" s="91" t="str">
        <x:v>1960〜2026完走順位との一致なし。未出走または表記差を要確認</x:v>
      </x:c>
      <x:c r="AI265" s="91" t="str">
        <x:v>https://bikeraceinfo.com/classics/paris-roubaix/paris-roubaix-index.html</x:v>
      </x:c>
      <x:c r="AJ265" s="91" t="str">
        <x:v>能力・適性・Credit整合済</x:v>
      </x:c>
      <x:c r="AK26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5" s="91" t="str">
        <x:v>https://en.wikipedia.org/wiki/Special:Search?search=Luke%20Plapp%20cyclist</x:v>
      </x:c>
    </x:row>
    <x:row r="266" ht="24" customHeight="1">
      <x:c r="A266" s="82" t="n">
        <x:v>262</x:v>
      </x:c>
      <x:c r="B266" s="82" t="str">
        <x:v>Adam Yates</x:v>
      </x:c>
      <x:c r="C266" s="143" t="str"/>
      <x:c r="D266" s="82" t="str">
        <x:v>イギリス</x:v>
      </x:c>
      <x:c r="E266" s="82" t="str">
        <x:v>現役</x:v>
      </x:c>
      <x:c r="F266" s="82" t="str">
        <x:v>クライマー</x:v>
      </x:c>
      <x:c r="G266" s="82" t="str">
        <x:v>総合型</x:v>
      </x:c>
      <x:c r="H266" s="85" t="n">
        <x:v>65</x:v>
      </x:c>
      <x:c r="I266" s="85" t="n">
        <x:v>76</x:v>
      </x:c>
      <x:c r="J266" s="91" t="str">
        <x:v>山岳賞ハンター / 山岳アシスト / 集団コントローラー</x:v>
      </x:c>
      <x:c r="K266" s="91" t="str"/>
      <x:c r="L266" s="91" t="str">
        <x:v>山岳耐久 / 総合安定</x:v>
      </x:c>
      <x:c r="M266" s="88" t="n">
        <x:v>3600</x:v>
      </x:c>
      <x:c r="N266" s="85" t="n">
        <x:v>56</x:v>
      </x:c>
      <x:c r="O266" s="85" t="n">
        <x:v>67</x:v>
      </x:c>
      <x:c r="P266" s="85" t="n">
        <x:v>69</x:v>
      </x:c>
      <x:c r="Q266" s="85" t="n">
        <x:v>65</x:v>
      </x:c>
      <x:c r="R266" s="85" t="n">
        <x:v>75</x:v>
      </x:c>
      <x:c r="S266" s="85" t="n">
        <x:v>70</x:v>
      </x:c>
      <x:c r="T266" s="85" t="n">
        <x:v>69</x:v>
      </x:c>
      <x:c r="U266" s="85" t="n">
        <x:v>63</x:v>
      </x:c>
      <x:c r="V266" s="85" t="n">
        <x:v>65</x:v>
      </x:c>
      <x:c r="W266" s="85" t="n">
        <x:v>50</x:v>
      </x:c>
      <x:c r="X266" s="85" t="n">
        <x:v>75</x:v>
      </x:c>
      <x:c r="Y266" s="85" t="n">
        <x:v>75</x:v>
      </x:c>
      <x:c r="Z266" s="85" t="n">
        <x:v>72</x:v>
      </x:c>
      <x:c r="AA266" s="85" t="n">
        <x:v>65</x:v>
      </x:c>
      <x:c r="AB266" s="85" t="n">
        <x:v>70</x:v>
      </x:c>
      <x:c r="AC266" s="82" t="n">
        <x:v>0</x:v>
      </x:c>
      <x:c r="AD266" s="82" t="n">
        <x:v>0</x:v>
      </x:c>
      <x:c r="AE266" s="82" t="n">
        <x:v>0</x:v>
      </x:c>
      <x:c r="AF266" s="82" t="n">
        <x:v>0</x:v>
      </x:c>
      <x:c r="AG266" s="91" t="str">
        <x:v>要出走確認</x:v>
      </x:c>
      <x:c r="AH266" s="91" t="str">
        <x:v>1960〜2026完走順位との一致なし。未出走または表記差を要確認</x:v>
      </x:c>
      <x:c r="AI266" s="91" t="str">
        <x:v>https://bikeraceinfo.com/classics/paris-roubaix/paris-roubaix-index.html</x:v>
      </x:c>
      <x:c r="AJ266" s="91" t="str">
        <x:v>能力・適性・Credit整合済</x:v>
      </x:c>
      <x:c r="AK26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6" s="91" t="str">
        <x:v>https://en.wikipedia.org/wiki/Special:Search?search=Adam%20Yates%20cyclist</x:v>
      </x:c>
    </x:row>
    <x:row r="267" ht="24" customHeight="1">
      <x:c r="A267" s="82" t="n">
        <x:v>263</x:v>
      </x:c>
      <x:c r="B267" s="82" t="str">
        <x:v>Anders Halland Johannessen</x:v>
      </x:c>
      <x:c r="C267" s="143" t="str"/>
      <x:c r="D267" s="82" t="str">
        <x:v>ノルウェー</x:v>
      </x:c>
      <x:c r="E267" s="82" t="str">
        <x:v>現役</x:v>
      </x:c>
      <x:c r="F267" s="82" t="str">
        <x:v>TT・ルーラー型</x:v>
      </x:c>
      <x:c r="G267" s="82" t="str">
        <x:v>クラシック型</x:v>
      </x:c>
      <x:c r="H267" s="85" t="n">
        <x:v>65</x:v>
      </x:c>
      <x:c r="I267" s="85" t="n">
        <x:v>72</x:v>
      </x:c>
      <x:c r="J267" s="91" t="str">
        <x:v>平坦ペースメーカー / 集団コントローラー</x:v>
      </x:c>
      <x:c r="K267" s="91" t="str"/>
      <x:c r="L267" s="91" t="str">
        <x:v>TT・ルーラー型 / クラシック型</x:v>
      </x:c>
      <x:c r="M267" s="88" t="n">
        <x:v>2950</x:v>
      </x:c>
      <x:c r="N267" s="85" t="n">
        <x:v>58</x:v>
      </x:c>
      <x:c r="O267" s="85" t="n">
        <x:v>58</x:v>
      </x:c>
      <x:c r="P267" s="85" t="n">
        <x:v>61</x:v>
      </x:c>
      <x:c r="Q267" s="85" t="n">
        <x:v>73</x:v>
      </x:c>
      <x:c r="R267" s="85" t="n">
        <x:v>64</x:v>
      </x:c>
      <x:c r="S267" s="85" t="n">
        <x:v>68</x:v>
      </x:c>
      <x:c r="T267" s="85" t="n">
        <x:v>72</x:v>
      </x:c>
      <x:c r="U267" s="85" t="n">
        <x:v>71</x:v>
      </x:c>
      <x:c r="V267" s="85" t="n">
        <x:v>59</x:v>
      </x:c>
      <x:c r="W267" s="85" t="n">
        <x:v>51</x:v>
      </x:c>
      <x:c r="X267" s="85" t="n">
        <x:v>63</x:v>
      </x:c>
      <x:c r="Y267" s="85" t="n">
        <x:v>60</x:v>
      </x:c>
      <x:c r="Z267" s="85" t="n">
        <x:v>72</x:v>
      </x:c>
      <x:c r="AA267" s="85" t="n">
        <x:v>61</x:v>
      </x:c>
      <x:c r="AB267" s="85" t="n">
        <x:v>60</x:v>
      </x:c>
      <x:c r="AC267" s="82" t="n">
        <x:v>0</x:v>
      </x:c>
      <x:c r="AD267" s="82" t="n">
        <x:v>0</x:v>
      </x:c>
      <x:c r="AE267" s="82" t="n">
        <x:v>0</x:v>
      </x:c>
      <x:c r="AF267" s="82" t="n">
        <x:v>0</x:v>
      </x:c>
      <x:c r="AG267" s="91" t="str">
        <x:v>要実績照合</x:v>
      </x:c>
      <x:c r="AH267" s="91" t="str">
        <x:v>現役300名補充時の脚質暫定値。パリ〜ルーベ／ロンド個人成績の追加照合が必要</x:v>
      </x:c>
      <x:c r="AI267" s="91" t="str">
        <x:v>https://www.paris-roubaix.fr/en/history</x:v>
      </x:c>
      <x:c r="AJ267" s="91" t="str">
        <x:v>能力・適性・Credit整合済</x:v>
      </x:c>
      <x:c r="AK267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7" s="91" t="str">
        <x:v>https://en.wikipedia.org/wiki/Anders_Halland_Johannessen</x:v>
      </x:c>
    </x:row>
    <x:row r="268" ht="24" customHeight="1">
      <x:c r="A268" s="82" t="n">
        <x:v>264</x:v>
      </x:c>
      <x:c r="B268" s="82" t="str">
        <x:v>Tobias Foss</x:v>
      </x:c>
      <x:c r="C268" s="143" t="str">
        <x:v>北欧のクロノ王</x:v>
      </x:c>
      <x:c r="D268" s="82" t="str">
        <x:v>ノルウェー</x:v>
      </x:c>
      <x:c r="E268" s="82" t="str">
        <x:v>現役</x:v>
      </x:c>
      <x:c r="F268" s="82" t="str">
        <x:v>TT・ルーラー型</x:v>
      </x:c>
      <x:c r="G268" s="82" t="str">
        <x:v>総合型</x:v>
      </x:c>
      <x:c r="H268" s="85" t="n">
        <x:v>64</x:v>
      </x:c>
      <x:c r="I268" s="85" t="n">
        <x:v>80</x:v>
      </x:c>
      <x:c r="J268" s="91" t="str">
        <x:v>ロードキャプテン / TTスペシャリスト / 平坦アシスト / 集団コントローラー / ブレイクアウェイキラー / トラブル復帰牽引</x:v>
      </x:c>
      <x:c r="K268" s="91" t="str"/>
      <x:c r="L268" s="91" t="str">
        <x:v>巡航力 / 総合安定</x:v>
      </x:c>
      <x:c r="M268" s="88" t="n">
        <x:v>4950</x:v>
      </x:c>
      <x:c r="N268" s="85" t="n">
        <x:v>64</x:v>
      </x:c>
      <x:c r="O268" s="85" t="n">
        <x:v>62</x:v>
      </x:c>
      <x:c r="P268" s="85" t="n">
        <x:v>64</x:v>
      </x:c>
      <x:c r="Q268" s="85" t="n">
        <x:v>78</x:v>
      </x:c>
      <x:c r="R268" s="85" t="n">
        <x:v>69</x:v>
      </x:c>
      <x:c r="S268" s="85" t="n">
        <x:v>70</x:v>
      </x:c>
      <x:c r="T268" s="85" t="n">
        <x:v>70</x:v>
      </x:c>
      <x:c r="U268" s="85" t="n">
        <x:v>72</x:v>
      </x:c>
      <x:c r="V268" s="85" t="n">
        <x:v>66</x:v>
      </x:c>
      <x:c r="W268" s="85" t="n">
        <x:v>50</x:v>
      </x:c>
      <x:c r="X268" s="85" t="n">
        <x:v>67</x:v>
      </x:c>
      <x:c r="Y268" s="85" t="n">
        <x:v>67</x:v>
      </x:c>
      <x:c r="Z268" s="85" t="n">
        <x:v>78</x:v>
      </x:c>
      <x:c r="AA268" s="85" t="n">
        <x:v>62</x:v>
      </x:c>
      <x:c r="AB268" s="85" t="n">
        <x:v>63</x:v>
      </x:c>
      <x:c r="AC268" s="82" t="n">
        <x:v>0</x:v>
      </x:c>
      <x:c r="AD268" s="82" t="n">
        <x:v>0</x:v>
      </x:c>
      <x:c r="AE268" s="82" t="n">
        <x:v>0</x:v>
      </x:c>
      <x:c r="AF268" s="82" t="n">
        <x:v>0</x:v>
      </x:c>
      <x:c r="AG268" s="91" t="str">
        <x:v>要出走確認</x:v>
      </x:c>
      <x:c r="AH268" s="91" t="str">
        <x:v>1960〜2026完走順位との一致なし。未出走または表記差を要確認</x:v>
      </x:c>
      <x:c r="AI268" s="91" t="str">
        <x:v>https://bikeraceinfo.com/classics/paris-roubaix/paris-roubaix-index.html</x:v>
      </x:c>
      <x:c r="AJ268" s="91" t="str">
        <x:v>能力・適性・Credit整合済</x:v>
      </x:c>
      <x:c r="AK268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8" s="91" t="str">
        <x:v>https://en.wikipedia.org/wiki/Special:Search?search=Tobias%20Foss%20cyclist</x:v>
      </x:c>
    </x:row>
    <x:row r="269" ht="24" customHeight="1">
      <x:c r="A269" s="82" t="n">
        <x:v>265</x:v>
      </x:c>
      <x:c r="B269" s="82" t="str">
        <x:v>Damiano Caruso</x:v>
      </x:c>
      <x:c r="C269" s="143" t="str"/>
      <x:c r="D269" s="82" t="str">
        <x:v>イタリア</x:v>
      </x:c>
      <x:c r="E269" s="82" t="str">
        <x:v>現役</x:v>
      </x:c>
      <x:c r="F269" s="82" t="str">
        <x:v>クライマー</x:v>
      </x:c>
      <x:c r="G269" s="82" t="str">
        <x:v>総合型</x:v>
      </x:c>
      <x:c r="H269" s="85" t="n">
        <x:v>64</x:v>
      </x:c>
      <x:c r="I269" s="85" t="n">
        <x:v>76</x:v>
      </x:c>
      <x:c r="J269" s="91" t="str">
        <x:v>山岳賞ハンター / 山岳アシスト / 集団コントローラー</x:v>
      </x:c>
      <x:c r="K269" s="91" t="str"/>
      <x:c r="L269" s="91" t="str">
        <x:v>山岳耐久 / 総合安定</x:v>
      </x:c>
      <x:c r="M269" s="88" t="n">
        <x:v>3550</x:v>
      </x:c>
      <x:c r="N269" s="85" t="n">
        <x:v>56</x:v>
      </x:c>
      <x:c r="O269" s="85" t="n">
        <x:v>67</x:v>
      </x:c>
      <x:c r="P269" s="85" t="n">
        <x:v>69</x:v>
      </x:c>
      <x:c r="Q269" s="85" t="n">
        <x:v>65</x:v>
      </x:c>
      <x:c r="R269" s="85" t="n">
        <x:v>75</x:v>
      </x:c>
      <x:c r="S269" s="85" t="n">
        <x:v>70</x:v>
      </x:c>
      <x:c r="T269" s="85" t="n">
        <x:v>69</x:v>
      </x:c>
      <x:c r="U269" s="85" t="n">
        <x:v>63</x:v>
      </x:c>
      <x:c r="V269" s="85" t="n">
        <x:v>63</x:v>
      </x:c>
      <x:c r="W269" s="85" t="n">
        <x:v>50</x:v>
      </x:c>
      <x:c r="X269" s="85" t="n">
        <x:v>75</x:v>
      </x:c>
      <x:c r="Y269" s="85" t="n">
        <x:v>75</x:v>
      </x:c>
      <x:c r="Z269" s="85" t="n">
        <x:v>72</x:v>
      </x:c>
      <x:c r="AA269" s="85" t="n">
        <x:v>64</x:v>
      </x:c>
      <x:c r="AB269" s="85" t="n">
        <x:v>70</x:v>
      </x:c>
      <x:c r="AC269" s="82" t="n">
        <x:v>0</x:v>
      </x:c>
      <x:c r="AD269" s="82" t="n">
        <x:v>0</x:v>
      </x:c>
      <x:c r="AE269" s="82" t="n">
        <x:v>0</x:v>
      </x:c>
      <x:c r="AF269" s="82" t="n">
        <x:v>0</x:v>
      </x:c>
      <x:c r="AG269" s="91" t="str">
        <x:v>要出走確認</x:v>
      </x:c>
      <x:c r="AH269" s="91" t="str">
        <x:v>1960〜2026完走順位との一致なし。未出走または表記差を要確認</x:v>
      </x:c>
      <x:c r="AI269" s="91" t="str">
        <x:v>https://bikeraceinfo.com/classics/paris-roubaix/paris-roubaix-index.html</x:v>
      </x:c>
      <x:c r="AJ269" s="91" t="str">
        <x:v>能力・適性・Credit整合済</x:v>
      </x:c>
      <x:c r="AK26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69" s="91" t="str">
        <x:v>https://en.wikipedia.org/wiki/Special:Search?search=Damiano%20Caruso%20cyclist</x:v>
      </x:c>
    </x:row>
    <x:row r="270" ht="24" customHeight="1">
      <x:c r="A270" s="82" t="n">
        <x:v>266</x:v>
      </x:c>
      <x:c r="B270" s="82" t="str">
        <x:v>Carlos Verona</x:v>
      </x:c>
      <x:c r="C270" s="143" t="str"/>
      <x:c r="D270" s="82" t="str">
        <x:v>スペイン</x:v>
      </x:c>
      <x:c r="E270" s="82" t="str">
        <x:v>現役</x:v>
      </x:c>
      <x:c r="F270" s="82" t="str">
        <x:v>クライマー</x:v>
      </x:c>
      <x:c r="G270" s="82" t="str">
        <x:v>総合型</x:v>
      </x:c>
      <x:c r="H270" s="85" t="n">
        <x:v>64</x:v>
      </x:c>
      <x:c r="I270" s="85" t="n">
        <x:v>75</x:v>
      </x:c>
      <x:c r="J270" s="91" t="str">
        <x:v>山岳賞ハンター / 山岳アシスト / 山岳番手 / 集団コントローラー</x:v>
      </x:c>
      <x:c r="K270" s="91" t="str"/>
      <x:c r="L270" s="91" t="str">
        <x:v>山岳耐久 / 総合安定</x:v>
      </x:c>
      <x:c r="M270" s="88" t="n">
        <x:v>3350</x:v>
      </x:c>
      <x:c r="N270" s="85" t="n">
        <x:v>56</x:v>
      </x:c>
      <x:c r="O270" s="85" t="n">
        <x:v>66</x:v>
      </x:c>
      <x:c r="P270" s="85" t="n">
        <x:v>69</x:v>
      </x:c>
      <x:c r="Q270" s="85" t="n">
        <x:v>64</x:v>
      </x:c>
      <x:c r="R270" s="85" t="n">
        <x:v>74</x:v>
      </x:c>
      <x:c r="S270" s="85" t="n">
        <x:v>69</x:v>
      </x:c>
      <x:c r="T270" s="85" t="n">
        <x:v>69</x:v>
      </x:c>
      <x:c r="U270" s="85" t="n">
        <x:v>63</x:v>
      </x:c>
      <x:c r="V270" s="85" t="n">
        <x:v>63</x:v>
      </x:c>
      <x:c r="W270" s="85" t="n">
        <x:v>50</x:v>
      </x:c>
      <x:c r="X270" s="85" t="n">
        <x:v>75</x:v>
      </x:c>
      <x:c r="Y270" s="85" t="n">
        <x:v>75</x:v>
      </x:c>
      <x:c r="Z270" s="85" t="n">
        <x:v>71</x:v>
      </x:c>
      <x:c r="AA270" s="85" t="n">
        <x:v>64</x:v>
      </x:c>
      <x:c r="AB270" s="85" t="n">
        <x:v>70</x:v>
      </x:c>
      <x:c r="AC270" s="82" t="n">
        <x:v>0</x:v>
      </x:c>
      <x:c r="AD270" s="82" t="n">
        <x:v>0</x:v>
      </x:c>
      <x:c r="AE270" s="82" t="n">
        <x:v>0</x:v>
      </x:c>
      <x:c r="AF270" s="82" t="n">
        <x:v>0</x:v>
      </x:c>
      <x:c r="AG270" s="91" t="str">
        <x:v>要出走確認</x:v>
      </x:c>
      <x:c r="AH270" s="91" t="str">
        <x:v>1960〜2026完走順位との一致なし。未出走または表記差を要確認</x:v>
      </x:c>
      <x:c r="AI270" s="91" t="str">
        <x:v>https://bikeraceinfo.com/classics/paris-roubaix/paris-roubaix-index.html</x:v>
      </x:c>
      <x:c r="AJ270" s="91" t="str">
        <x:v>能力・適性・Credit整合済</x:v>
      </x:c>
      <x:c r="AK27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0" s="91" t="str">
        <x:v>https://en.wikipedia.org/wiki/Special:Search?search=Carlos%20Verona%20cyclist</x:v>
      </x:c>
    </x:row>
    <x:row r="271" ht="24" customHeight="1">
      <x:c r="A271" s="82" t="n">
        <x:v>267</x:v>
      </x:c>
      <x:c r="B271" s="82" t="str">
        <x:v>Mike Teunissen</x:v>
      </x:c>
      <x:c r="C271" s="143" t="str"/>
      <x:c r="D271" s="82" t="str">
        <x:v>オランダ</x:v>
      </x:c>
      <x:c r="E271" s="82" t="str">
        <x:v>現役</x:v>
      </x:c>
      <x:c r="F271" s="82" t="str">
        <x:v>スプリンター</x:v>
      </x:c>
      <x:c r="G271" s="82" t="str">
        <x:v>TT・ルーラー型</x:v>
      </x:c>
      <x:c r="H271" s="85" t="n">
        <x:v>64</x:v>
      </x:c>
      <x:c r="I271" s="85" t="n">
        <x:v>75</x:v>
      </x:c>
      <x:c r="J271" s="91" t="str">
        <x:v>リードアウト / 最終発射台 / スプリントトレイン</x:v>
      </x:c>
      <x:c r="K271" s="91" t="str"/>
      <x:c r="L271" s="91" t="str">
        <x:v>最高速 / TT適性</x:v>
      </x:c>
      <x:c r="M271" s="88" t="n">
        <x:v>3300</x:v>
      </x:c>
      <x:c r="N271" s="85" t="n">
        <x:v>79</x:v>
      </x:c>
      <x:c r="O271" s="85" t="n">
        <x:v>76</x:v>
      </x:c>
      <x:c r="P271" s="85" t="n">
        <x:v>65</x:v>
      </x:c>
      <x:c r="Q271" s="85" t="n">
        <x:v>71</x:v>
      </x:c>
      <x:c r="R271" s="85" t="n">
        <x:v>58</x:v>
      </x:c>
      <x:c r="S271" s="85" t="n">
        <x:v>63</x:v>
      </x:c>
      <x:c r="T271" s="85" t="n">
        <x:v>62</x:v>
      </x:c>
      <x:c r="U271" s="85" t="n">
        <x:v>66</x:v>
      </x:c>
      <x:c r="V271" s="85" t="n">
        <x:v>67</x:v>
      </x:c>
      <x:c r="W271" s="85" t="n">
        <x:v>77</x:v>
      </x:c>
      <x:c r="X271" s="85" t="n">
        <x:v>65</x:v>
      </x:c>
      <x:c r="Y271" s="85" t="n">
        <x:v>65</x:v>
      </x:c>
      <x:c r="Z271" s="85" t="n">
        <x:v>69</x:v>
      </x:c>
      <x:c r="AA271" s="85" t="n">
        <x:v>70</x:v>
      </x:c>
      <x:c r="AB271" s="85" t="n">
        <x:v>63</x:v>
      </x:c>
      <x:c r="AC271" s="82" t="n">
        <x:v>7</x:v>
      </x:c>
      <x:c r="AD271" s="82" t="n">
        <x:v>3</x:v>
      </x:c>
      <x:c r="AE271" s="82" t="n">
        <x:v>2</x:v>
      </x:c>
      <x:c r="AF271" s="82" t="n">
        <x:v>0</x:v>
      </x:c>
      <x:c r="AG271" s="91" t="str">
        <x:v>結果照合済</x:v>
      </x:c>
      <x:c r="AH271" s="91" t="str">
        <x:v>最高7位 / 完走3回 / Top10 2回 / 優勝0回</x:v>
      </x:c>
      <x:c r="AI271" s="91" t="str">
        <x:v>https://bikeraceinfo.com/classics/paris-roubaix/pr2019.html</x:v>
      </x:c>
      <x:c r="AJ271" s="91" t="str">
        <x:v>能力・適性・Credit整合済</x:v>
      </x:c>
      <x:c r="AK27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1" s="91" t="str">
        <x:v>https://en.wikipedia.org/wiki/Special:Search?search=Mike%20Teunissen%20cyclist</x:v>
      </x:c>
    </x:row>
    <x:row r="272" ht="24" customHeight="1">
      <x:c r="A272" s="82" t="n">
        <x:v>268</x:v>
      </x:c>
      <x:c r="B272" s="82" t="str">
        <x:v>Baptiste Veistroffer</x:v>
      </x:c>
      <x:c r="C272" s="143" t="str"/>
      <x:c r="D272" s="82" t="str">
        <x:v>フランス</x:v>
      </x:c>
      <x:c r="E272" s="82" t="str">
        <x:v>現役</x:v>
      </x:c>
      <x:c r="F272" s="82" t="str">
        <x:v>TT・ルーラー型</x:v>
      </x:c>
      <x:c r="G272" s="82" t="str">
        <x:v>クラシック型</x:v>
      </x:c>
      <x:c r="H272" s="85" t="n">
        <x:v>64</x:v>
      </x:c>
      <x:c r="I272" s="85" t="n">
        <x:v>73</x:v>
      </x:c>
      <x:c r="J272" s="91" t="str">
        <x:v>ロードキャプテン / TT牽引 / 横風分断</x:v>
      </x:c>
      <x:c r="K272" s="91" t="str"/>
      <x:c r="L272" s="91" t="str">
        <x:v>TT・ルーラー型 / クラシック型</x:v>
      </x:c>
      <x:c r="M272" s="88" t="n">
        <x:v>2950</x:v>
      </x:c>
      <x:c r="N272" s="85" t="n">
        <x:v>60</x:v>
      </x:c>
      <x:c r="O272" s="85" t="n">
        <x:v>57</x:v>
      </x:c>
      <x:c r="P272" s="85" t="n">
        <x:v>62</x:v>
      </x:c>
      <x:c r="Q272" s="85" t="n">
        <x:v>74</x:v>
      </x:c>
      <x:c r="R272" s="85" t="n">
        <x:v>67</x:v>
      </x:c>
      <x:c r="S272" s="85" t="n">
        <x:v>68</x:v>
      </x:c>
      <x:c r="T272" s="85" t="n">
        <x:v>66</x:v>
      </x:c>
      <x:c r="U272" s="85" t="n">
        <x:v>70</x:v>
      </x:c>
      <x:c r="V272" s="85" t="n">
        <x:v>61</x:v>
      </x:c>
      <x:c r="W272" s="85" t="n">
        <x:v>54</x:v>
      </x:c>
      <x:c r="X272" s="85" t="n">
        <x:v>66</x:v>
      </x:c>
      <x:c r="Y272" s="85" t="n">
        <x:v>63</x:v>
      </x:c>
      <x:c r="Z272" s="85" t="n">
        <x:v>74</x:v>
      </x:c>
      <x:c r="AA272" s="85" t="n">
        <x:v>63</x:v>
      </x:c>
      <x:c r="AB272" s="85" t="n">
        <x:v>63</x:v>
      </x:c>
      <x:c r="AC272" s="82" t="n">
        <x:v>0</x:v>
      </x:c>
      <x:c r="AD272" s="82" t="n">
        <x:v>0</x:v>
      </x:c>
      <x:c r="AE272" s="82" t="n">
        <x:v>0</x:v>
      </x:c>
      <x:c r="AF272" s="82" t="n">
        <x:v>0</x:v>
      </x:c>
      <x:c r="AG272" s="91" t="str">
        <x:v>要実績照合</x:v>
      </x:c>
      <x:c r="AH272" s="91" t="str">
        <x:v>現役300名補充時の脚質暫定値。パリ〜ルーベ／ロンド個人成績の追加照合が必要</x:v>
      </x:c>
      <x:c r="AI272" s="91" t="str">
        <x:v>https://www.paris-roubaix.fr/en/history</x:v>
      </x:c>
      <x:c r="AJ272" s="91" t="str">
        <x:v>能力・適性・Credit整合済</x:v>
      </x:c>
      <x:c r="AK272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2" s="91" t="str">
        <x:v>https://en.wikipedia.org/wiki/Baptiste_Veistroffer</x:v>
      </x:c>
    </x:row>
    <x:row r="273" ht="24" customHeight="1">
      <x:c r="A273" s="82" t="n">
        <x:v>269</x:v>
      </x:c>
      <x:c r="B273" s="82" t="str">
        <x:v>Bob Jungels</x:v>
      </x:c>
      <x:c r="C273" s="143" t="str"/>
      <x:c r="D273" s="82" t="str">
        <x:v>ルクセンブルク</x:v>
      </x:c>
      <x:c r="E273" s="82" t="str">
        <x:v>現役</x:v>
      </x:c>
      <x:c r="F273" s="82" t="str">
        <x:v>TT・ルーラー型</x:v>
      </x:c>
      <x:c r="G273" s="82" t="str">
        <x:v>総合型</x:v>
      </x:c>
      <x:c r="H273" s="85" t="n">
        <x:v>63</x:v>
      </x:c>
      <x:c r="I273" s="85" t="n">
        <x:v>80</x:v>
      </x:c>
      <x:c r="J273" s="91" t="str">
        <x:v>ロードキャプテン / 平坦アシスト / 平坦ペースメーカー / TT牽引 / 集団コントローラー</x:v>
      </x:c>
      <x:c r="K273" s="91" t="str"/>
      <x:c r="L273" s="91" t="str">
        <x:v>巡航力 / 総合安定 / 逃げ屋</x:v>
      </x:c>
      <x:c r="M273" s="88" t="n">
        <x:v>3450</x:v>
      </x:c>
      <x:c r="N273" s="85" t="n">
        <x:v>64</x:v>
      </x:c>
      <x:c r="O273" s="85" t="n">
        <x:v>63</x:v>
      </x:c>
      <x:c r="P273" s="85" t="n">
        <x:v>66</x:v>
      </x:c>
      <x:c r="Q273" s="85" t="n">
        <x:v>77</x:v>
      </x:c>
      <x:c r="R273" s="85" t="n">
        <x:v>70</x:v>
      </x:c>
      <x:c r="S273" s="85" t="n">
        <x:v>70</x:v>
      </x:c>
      <x:c r="T273" s="85" t="n">
        <x:v>70</x:v>
      </x:c>
      <x:c r="U273" s="85" t="n">
        <x:v>72</x:v>
      </x:c>
      <x:c r="V273" s="85" t="n">
        <x:v>66</x:v>
      </x:c>
      <x:c r="W273" s="85" t="n">
        <x:v>50</x:v>
      </x:c>
      <x:c r="X273" s="85" t="n">
        <x:v>68</x:v>
      </x:c>
      <x:c r="Y273" s="85" t="n">
        <x:v>68</x:v>
      </x:c>
      <x:c r="Z273" s="85" t="n">
        <x:v>78</x:v>
      </x:c>
      <x:c r="AA273" s="85" t="n">
        <x:v>62</x:v>
      </x:c>
      <x:c r="AB273" s="85" t="n">
        <x:v>65</x:v>
      </x:c>
      <x:c r="AC273" s="82" t="n">
        <x:v>0</x:v>
      </x:c>
      <x:c r="AD273" s="82" t="n">
        <x:v>0</x:v>
      </x:c>
      <x:c r="AE273" s="82" t="n">
        <x:v>0</x:v>
      </x:c>
      <x:c r="AF273" s="82" t="n">
        <x:v>0</x:v>
      </x:c>
      <x:c r="AG273" s="91" t="str">
        <x:v>要出走確認</x:v>
      </x:c>
      <x:c r="AH273" s="91" t="str">
        <x:v>1960〜2026完走順位との一致なし。未出走または表記差を要確認</x:v>
      </x:c>
      <x:c r="AI273" s="91" t="str">
        <x:v>https://bikeraceinfo.com/classics/paris-roubaix/paris-roubaix-index.html</x:v>
      </x:c>
      <x:c r="AJ273" s="91" t="str">
        <x:v>能力・適性・Credit整合済</x:v>
      </x:c>
      <x:c r="AK27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3" s="91" t="str">
        <x:v>https://en.wikipedia.org/wiki/Special:Search?search=Bob%20Jungels%20cyclist</x:v>
      </x:c>
    </x:row>
    <x:row r="274" ht="24" customHeight="1">
      <x:c r="A274" s="82" t="n">
        <x:v>270</x:v>
      </x:c>
      <x:c r="B274" s="82" t="str">
        <x:v>Santiago Buitrago</x:v>
      </x:c>
      <x:c r="C274" s="143" t="str"/>
      <x:c r="D274" s="82" t="str">
        <x:v>コロンビア</x:v>
      </x:c>
      <x:c r="E274" s="82" t="str">
        <x:v>現役</x:v>
      </x:c>
      <x:c r="F274" s="82" t="str">
        <x:v>クライマー</x:v>
      </x:c>
      <x:c r="G274" s="82" t="str">
        <x:v>総合型</x:v>
      </x:c>
      <x:c r="H274" s="85" t="n">
        <x:v>63</x:v>
      </x:c>
      <x:c r="I274" s="85" t="n">
        <x:v>77</x:v>
      </x:c>
      <x:c r="J274" s="91" t="str">
        <x:v>山岳賞ハンター / 山岳アシスト / 山岳ペースメーカー / 集団コントローラー</x:v>
      </x:c>
      <x:c r="K274" s="91" t="str"/>
      <x:c r="L274" s="91" t="str">
        <x:v>山岳耐久 / 総合安定</x:v>
      </x:c>
      <x:c r="M274" s="88" t="n">
        <x:v>3450</x:v>
      </x:c>
      <x:c r="N274" s="85" t="n">
        <x:v>56</x:v>
      </x:c>
      <x:c r="O274" s="85" t="n">
        <x:v>67</x:v>
      </x:c>
      <x:c r="P274" s="85" t="n">
        <x:v>69</x:v>
      </x:c>
      <x:c r="Q274" s="85" t="n">
        <x:v>65</x:v>
      </x:c>
      <x:c r="R274" s="85" t="n">
        <x:v>75</x:v>
      </x:c>
      <x:c r="S274" s="85" t="n">
        <x:v>70</x:v>
      </x:c>
      <x:c r="T274" s="85" t="n">
        <x:v>69</x:v>
      </x:c>
      <x:c r="U274" s="85" t="n">
        <x:v>63</x:v>
      </x:c>
      <x:c r="V274" s="85" t="n">
        <x:v>64</x:v>
      </x:c>
      <x:c r="W274" s="85" t="n">
        <x:v>50</x:v>
      </x:c>
      <x:c r="X274" s="85" t="n">
        <x:v>75</x:v>
      </x:c>
      <x:c r="Y274" s="85" t="n">
        <x:v>75</x:v>
      </x:c>
      <x:c r="Z274" s="85" t="n">
        <x:v>73</x:v>
      </x:c>
      <x:c r="AA274" s="85" t="n">
        <x:v>64</x:v>
      </x:c>
      <x:c r="AB274" s="85" t="n">
        <x:v>70</x:v>
      </x:c>
      <x:c r="AC274" s="82" t="n">
        <x:v>0</x:v>
      </x:c>
      <x:c r="AD274" s="82" t="n">
        <x:v>0</x:v>
      </x:c>
      <x:c r="AE274" s="82" t="n">
        <x:v>0</x:v>
      </x:c>
      <x:c r="AF274" s="82" t="n">
        <x:v>0</x:v>
      </x:c>
      <x:c r="AG274" s="91" t="str">
        <x:v>要出走確認</x:v>
      </x:c>
      <x:c r="AH274" s="91" t="str">
        <x:v>1960〜2026完走順位との一致なし。未出走または表記差を要確認</x:v>
      </x:c>
      <x:c r="AI274" s="91" t="str">
        <x:v>https://bikeraceinfo.com/classics/paris-roubaix/paris-roubaix-index.html</x:v>
      </x:c>
      <x:c r="AJ274" s="91" t="str">
        <x:v>能力・適性・Credit整合済</x:v>
      </x:c>
      <x:c r="AK274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4" s="91" t="str">
        <x:v>https://en.wikipedia.org/wiki/Special:Search?search=Santiago%20Buitrago%20cyclist</x:v>
      </x:c>
    </x:row>
    <x:row r="275" ht="24" customHeight="1">
      <x:c r="A275" s="82" t="n">
        <x:v>271</x:v>
      </x:c>
      <x:c r="B275" s="82" t="str">
        <x:v>Wilco Kelderman</x:v>
      </x:c>
      <x:c r="C275" s="143" t="str"/>
      <x:c r="D275" s="82" t="str">
        <x:v>オランダ</x:v>
      </x:c>
      <x:c r="E275" s="82" t="str">
        <x:v>現役</x:v>
      </x:c>
      <x:c r="F275" s="82" t="str">
        <x:v>クライマー</x:v>
      </x:c>
      <x:c r="G275" s="82" t="str">
        <x:v>総合型</x:v>
      </x:c>
      <x:c r="H275" s="85" t="n">
        <x:v>63</x:v>
      </x:c>
      <x:c r="I275" s="85" t="n">
        <x:v>77</x:v>
      </x:c>
      <x:c r="J275" s="91" t="str">
        <x:v>山岳賞ハンター / 山岳アシスト / 集団コントローラー</x:v>
      </x:c>
      <x:c r="K275" s="91" t="str"/>
      <x:c r="L275" s="91" t="str">
        <x:v>山岳耐久 / 総合安定</x:v>
      </x:c>
      <x:c r="M275" s="88" t="n">
        <x:v>3400</x:v>
      </x:c>
      <x:c r="N275" s="85" t="n">
        <x:v>56</x:v>
      </x:c>
      <x:c r="O275" s="85" t="n">
        <x:v>66</x:v>
      </x:c>
      <x:c r="P275" s="85" t="n">
        <x:v>69</x:v>
      </x:c>
      <x:c r="Q275" s="85" t="n">
        <x:v>64</x:v>
      </x:c>
      <x:c r="R275" s="85" t="n">
        <x:v>75</x:v>
      </x:c>
      <x:c r="S275" s="85" t="n">
        <x:v>70</x:v>
      </x:c>
      <x:c r="T275" s="85" t="n">
        <x:v>69</x:v>
      </x:c>
      <x:c r="U275" s="85" t="n">
        <x:v>63</x:v>
      </x:c>
      <x:c r="V275" s="85" t="n">
        <x:v>63</x:v>
      </x:c>
      <x:c r="W275" s="85" t="n">
        <x:v>50</x:v>
      </x:c>
      <x:c r="X275" s="85" t="n">
        <x:v>75</x:v>
      </x:c>
      <x:c r="Y275" s="85" t="n">
        <x:v>75</x:v>
      </x:c>
      <x:c r="Z275" s="85" t="n">
        <x:v>73</x:v>
      </x:c>
      <x:c r="AA275" s="85" t="n">
        <x:v>64</x:v>
      </x:c>
      <x:c r="AB275" s="85" t="n">
        <x:v>70</x:v>
      </x:c>
      <x:c r="AC275" s="82" t="n">
        <x:v>0</x:v>
      </x:c>
      <x:c r="AD275" s="82" t="n">
        <x:v>0</x:v>
      </x:c>
      <x:c r="AE275" s="82" t="n">
        <x:v>0</x:v>
      </x:c>
      <x:c r="AF275" s="82" t="n">
        <x:v>0</x:v>
      </x:c>
      <x:c r="AG275" s="91" t="str">
        <x:v>要出走確認</x:v>
      </x:c>
      <x:c r="AH275" s="91" t="str">
        <x:v>1960〜2026完走順位との一致なし。未出走または表記差を要確認</x:v>
      </x:c>
      <x:c r="AI275" s="91" t="str">
        <x:v>https://bikeraceinfo.com/classics/paris-roubaix/paris-roubaix-index.html</x:v>
      </x:c>
      <x:c r="AJ275" s="91" t="str">
        <x:v>能力・適性・Credit整合済</x:v>
      </x:c>
      <x:c r="AK27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5" s="91" t="str">
        <x:v>https://en.wikipedia.org/wiki/Special:Search?search=Wilco%20Kelderman%20cyclist</x:v>
      </x:c>
    </x:row>
    <x:row r="276" ht="24" customHeight="1">
      <x:c r="A276" s="82" t="n">
        <x:v>272</x:v>
      </x:c>
      <x:c r="B276" s="82" t="str">
        <x:v>Thymen Arensman</x:v>
      </x:c>
      <x:c r="C276" s="143" t="str"/>
      <x:c r="D276" s="82" t="str">
        <x:v>オランダ</x:v>
      </x:c>
      <x:c r="E276" s="82" t="str">
        <x:v>現役</x:v>
      </x:c>
      <x:c r="F276" s="82" t="str">
        <x:v>クライマー</x:v>
      </x:c>
      <x:c r="G276" s="82" t="str">
        <x:v>総合型</x:v>
      </x:c>
      <x:c r="H276" s="85" t="n">
        <x:v>63</x:v>
      </x:c>
      <x:c r="I276" s="85" t="n">
        <x:v>75</x:v>
      </x:c>
      <x:c r="J276" s="91" t="str">
        <x:v>山岳賞ハンター / 山岳アシスト / 集団コントローラー</x:v>
      </x:c>
      <x:c r="K276" s="91" t="str"/>
      <x:c r="L276" s="91" t="str">
        <x:v>山岳耐久 / 総合安定</x:v>
      </x:c>
      <x:c r="M276" s="88" t="n">
        <x:v>3150</x:v>
      </x:c>
      <x:c r="N276" s="85" t="n">
        <x:v>56</x:v>
      </x:c>
      <x:c r="O276" s="85" t="n">
        <x:v>65</x:v>
      </x:c>
      <x:c r="P276" s="85" t="n">
        <x:v>68</x:v>
      </x:c>
      <x:c r="Q276" s="85" t="n">
        <x:v>63</x:v>
      </x:c>
      <x:c r="R276" s="85" t="n">
        <x:v>74</x:v>
      </x:c>
      <x:c r="S276" s="85" t="n">
        <x:v>69</x:v>
      </x:c>
      <x:c r="T276" s="85" t="n">
        <x:v>68</x:v>
      </x:c>
      <x:c r="U276" s="85" t="n">
        <x:v>61</x:v>
      </x:c>
      <x:c r="V276" s="85" t="n">
        <x:v>62</x:v>
      </x:c>
      <x:c r="W276" s="85" t="n">
        <x:v>50</x:v>
      </x:c>
      <x:c r="X276" s="85" t="n">
        <x:v>73</x:v>
      </x:c>
      <x:c r="Y276" s="85" t="n">
        <x:v>74</x:v>
      </x:c>
      <x:c r="Z276" s="85" t="n">
        <x:v>71</x:v>
      </x:c>
      <x:c r="AA276" s="85" t="n">
        <x:v>63</x:v>
      </x:c>
      <x:c r="AB276" s="85" t="n">
        <x:v>68</x:v>
      </x:c>
      <x:c r="AC276" s="82" t="n">
        <x:v>0</x:v>
      </x:c>
      <x:c r="AD276" s="82" t="n">
        <x:v>0</x:v>
      </x:c>
      <x:c r="AE276" s="82" t="n">
        <x:v>0</x:v>
      </x:c>
      <x:c r="AF276" s="82" t="n">
        <x:v>0</x:v>
      </x:c>
      <x:c r="AG276" s="91" t="str">
        <x:v>要出走確認</x:v>
      </x:c>
      <x:c r="AH276" s="91" t="str">
        <x:v>1960〜2026完走順位との一致なし。未出走または表記差を要確認</x:v>
      </x:c>
      <x:c r="AI276" s="91" t="str">
        <x:v>https://bikeraceinfo.com/classics/paris-roubaix/paris-roubaix-index.html</x:v>
      </x:c>
      <x:c r="AJ276" s="91" t="str">
        <x:v>能力・適性・Credit整合済</x:v>
      </x:c>
      <x:c r="AK27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6" s="91" t="str">
        <x:v>https://en.wikipedia.org/wiki/Special:Search?search=Thymen%20Arensman%20cyclist</x:v>
      </x:c>
    </x:row>
    <x:row r="277" ht="24" customHeight="1">
      <x:c r="A277" s="82" t="n">
        <x:v>273</x:v>
      </x:c>
      <x:c r="B277" s="82" t="str">
        <x:v>Taco van der Hoorn</x:v>
      </x:c>
      <x:c r="C277" s="143" t="str"/>
      <x:c r="D277" s="82" t="str">
        <x:v>オランダ</x:v>
      </x:c>
      <x:c r="E277" s="82" t="str">
        <x:v>現役</x:v>
      </x:c>
      <x:c r="F277" s="82" t="str">
        <x:v>クラシック型</x:v>
      </x:c>
      <x:c r="G277" s="82" t="str">
        <x:v>パンチャー</x:v>
      </x:c>
      <x:c r="H277" s="85" t="n">
        <x:v>63</x:v>
      </x:c>
      <x:c r="I277" s="85" t="n">
        <x:v>78</x:v>
      </x:c>
      <x:c r="J277" s="91" t="str">
        <x:v>ロードキャプテン / 平坦アシスト / 石畳護衛</x:v>
      </x:c>
      <x:c r="K277" s="91" t="str"/>
      <x:c r="L277" s="91" t="str">
        <x:v>バイクコントロール / 反復加速 / 逃げ屋</x:v>
      </x:c>
      <x:c r="M277" s="88" t="n">
        <x:v>3000</x:v>
      </x:c>
      <x:c r="N277" s="85" t="n">
        <x:v>73</x:v>
      </x:c>
      <x:c r="O277" s="85" t="n">
        <x:v>72</x:v>
      </x:c>
      <x:c r="P277" s="85" t="n">
        <x:v>74</x:v>
      </x:c>
      <x:c r="Q277" s="85" t="n">
        <x:v>72</x:v>
      </x:c>
      <x:c r="R277" s="85" t="n">
        <x:v>67</x:v>
      </x:c>
      <x:c r="S277" s="85" t="n">
        <x:v>69</x:v>
      </x:c>
      <x:c r="T277" s="85" t="n">
        <x:v>73</x:v>
      </x:c>
      <x:c r="U277" s="85" t="n">
        <x:v>73</x:v>
      </x:c>
      <x:c r="V277" s="85" t="n">
        <x:v>77</x:v>
      </x:c>
      <x:c r="W277" s="85" t="n">
        <x:v>50</x:v>
      </x:c>
      <x:c r="X277" s="85" t="n">
        <x:v>67</x:v>
      </x:c>
      <x:c r="Y277" s="85" t="n">
        <x:v>67</x:v>
      </x:c>
      <x:c r="Z277" s="85" t="n">
        <x:v>75</x:v>
      </x:c>
      <x:c r="AA277" s="85" t="n">
        <x:v>66</x:v>
      </x:c>
      <x:c r="AB277" s="85" t="n">
        <x:v>74</x:v>
      </x:c>
      <x:c r="AC277" s="82" t="n">
        <x:v>0</x:v>
      </x:c>
      <x:c r="AD277" s="82" t="n">
        <x:v>0</x:v>
      </x:c>
      <x:c r="AE277" s="82" t="n">
        <x:v>0</x:v>
      </x:c>
      <x:c r="AF277" s="82" t="n">
        <x:v>0</x:v>
      </x:c>
      <x:c r="AG277" s="91" t="str">
        <x:v>要出走確認</x:v>
      </x:c>
      <x:c r="AH277" s="91" t="str">
        <x:v>1960〜2026完走順位との一致なし。未出走または表記差を要確認</x:v>
      </x:c>
      <x:c r="AI277" s="91" t="str">
        <x:v>https://bikeraceinfo.com/classics/paris-roubaix/paris-roubaix-index.html</x:v>
      </x:c>
      <x:c r="AJ277" s="91" t="str">
        <x:v>能力・適性・Credit整合済</x:v>
      </x:c>
      <x:c r="AK27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7" s="91" t="str">
        <x:v>https://en.wikipedia.org/wiki/Special:Search?search=Taco%20van%20der%20Hoorn%20cyclist</x:v>
      </x:c>
    </x:row>
    <x:row r="278" ht="24" customHeight="1">
      <x:c r="A278" s="82" t="n">
        <x:v>274</x:v>
      </x:c>
      <x:c r="B278" s="82" t="str">
        <x:v>Jordan Labrosse</x:v>
      </x:c>
      <x:c r="C278" s="143" t="str"/>
      <x:c r="D278" s="82" t="str">
        <x:v>フランス</x:v>
      </x:c>
      <x:c r="E278" s="82" t="str">
        <x:v>現役</x:v>
      </x:c>
      <x:c r="F278" s="82" t="str">
        <x:v>TT・ルーラー型</x:v>
      </x:c>
      <x:c r="G278" s="82" t="str">
        <x:v>クラシック型</x:v>
      </x:c>
      <x:c r="H278" s="85" t="n">
        <x:v>63</x:v>
      </x:c>
      <x:c r="I278" s="85" t="n">
        <x:v>71</x:v>
      </x:c>
      <x:c r="J278" s="91" t="str">
        <x:v>集団コントローラー</x:v>
      </x:c>
      <x:c r="K278" s="91" t="str"/>
      <x:c r="L278" s="91" t="str">
        <x:v>TT・ルーラー型 / クラシック型</x:v>
      </x:c>
      <x:c r="M278" s="88" t="n">
        <x:v>2800</x:v>
      </x:c>
      <x:c r="N278" s="85" t="n">
        <x:v>63</x:v>
      </x:c>
      <x:c r="O278" s="85" t="n">
        <x:v>60</x:v>
      </x:c>
      <x:c r="P278" s="85" t="n">
        <x:v>57</x:v>
      </x:c>
      <x:c r="Q278" s="85" t="n">
        <x:v>72</x:v>
      </x:c>
      <x:c r="R278" s="85" t="n">
        <x:v>59</x:v>
      </x:c>
      <x:c r="S278" s="85" t="n">
        <x:v>66</x:v>
      </x:c>
      <x:c r="T278" s="85" t="n">
        <x:v>64</x:v>
      </x:c>
      <x:c r="U278" s="85" t="n">
        <x:v>70</x:v>
      </x:c>
      <x:c r="V278" s="85" t="n">
        <x:v>60</x:v>
      </x:c>
      <x:c r="W278" s="85" t="n">
        <x:v>57</x:v>
      </x:c>
      <x:c r="X278" s="85" t="n">
        <x:v>61</x:v>
      </x:c>
      <x:c r="Y278" s="85" t="n">
        <x:v>63</x:v>
      </x:c>
      <x:c r="Z278" s="85" t="n">
        <x:v>74</x:v>
      </x:c>
      <x:c r="AA278" s="85" t="n">
        <x:v>57</x:v>
      </x:c>
      <x:c r="AB278" s="85" t="n">
        <x:v>57</x:v>
      </x:c>
      <x:c r="AC278" s="82" t="n">
        <x:v>0</x:v>
      </x:c>
      <x:c r="AD278" s="82" t="n">
        <x:v>0</x:v>
      </x:c>
      <x:c r="AE278" s="82" t="n">
        <x:v>0</x:v>
      </x:c>
      <x:c r="AF278" s="82" t="n">
        <x:v>0</x:v>
      </x:c>
      <x:c r="AG278" s="91" t="str">
        <x:v>要実績照合</x:v>
      </x:c>
      <x:c r="AH278" s="91" t="str">
        <x:v>現役300名補充時の脚質暫定値。パリ〜ルーベ／ロンド個人成績の追加照合が必要</x:v>
      </x:c>
      <x:c r="AI278" s="91" t="str">
        <x:v>https://www.paris-roubaix.fr/en/history</x:v>
      </x:c>
      <x:c r="AJ278" s="91" t="str">
        <x:v>能力・適性・Credit整合済</x:v>
      </x:c>
      <x:c r="AK278" s="91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8" s="91" t="str">
        <x:v>https://en.wikipedia.org/wiki/Jordan_Labrosse</x:v>
      </x:c>
    </x:row>
    <x:row r="279" ht="24" customHeight="1">
      <x:c r="A279" s="82" t="n">
        <x:v>275</x:v>
      </x:c>
      <x:c r="B279" s="82" t="str">
        <x:v>Tao Geoghegan Hart</x:v>
      </x:c>
      <x:c r="C279" s="143" t="str"/>
      <x:c r="D279" s="82" t="str">
        <x:v>イギリス</x:v>
      </x:c>
      <x:c r="E279" s="82" t="str">
        <x:v>現役</x:v>
      </x:c>
      <x:c r="F279" s="82" t="str">
        <x:v>クライマー</x:v>
      </x:c>
      <x:c r="G279" s="82" t="str">
        <x:v>総合型</x:v>
      </x:c>
      <x:c r="H279" s="85" t="n">
        <x:v>62</x:v>
      </x:c>
      <x:c r="I279" s="85" t="n">
        <x:v>77</x:v>
      </x:c>
      <x:c r="J279" s="91" t="str">
        <x:v>山岳賞ハンター / 山岳アシスト / 山岳番手 / 集団コントローラー / サテライトライダー</x:v>
      </x:c>
      <x:c r="K279" s="91" t="str"/>
      <x:c r="L279" s="91" t="str">
        <x:v>山岳耐久 / 総合安定</x:v>
      </x:c>
      <x:c r="M279" s="88" t="n">
        <x:v>3350</x:v>
      </x:c>
      <x:c r="N279" s="85" t="n">
        <x:v>56</x:v>
      </x:c>
      <x:c r="O279" s="85" t="n">
        <x:v>67</x:v>
      </x:c>
      <x:c r="P279" s="85" t="n">
        <x:v>69</x:v>
      </x:c>
      <x:c r="Q279" s="85" t="n">
        <x:v>66</x:v>
      </x:c>
      <x:c r="R279" s="85" t="n">
        <x:v>75</x:v>
      </x:c>
      <x:c r="S279" s="85" t="n">
        <x:v>71</x:v>
      </x:c>
      <x:c r="T279" s="85" t="n">
        <x:v>70</x:v>
      </x:c>
      <x:c r="U279" s="85" t="n">
        <x:v>63</x:v>
      </x:c>
      <x:c r="V279" s="85" t="n">
        <x:v>65</x:v>
      </x:c>
      <x:c r="W279" s="85" t="n">
        <x:v>50</x:v>
      </x:c>
      <x:c r="X279" s="85" t="n">
        <x:v>75</x:v>
      </x:c>
      <x:c r="Y279" s="85" t="n">
        <x:v>76</x:v>
      </x:c>
      <x:c r="Z279" s="85" t="n">
        <x:v>72</x:v>
      </x:c>
      <x:c r="AA279" s="85" t="n">
        <x:v>65</x:v>
      </x:c>
      <x:c r="AB279" s="85" t="n">
        <x:v>70</x:v>
      </x:c>
      <x:c r="AC279" s="82" t="n">
        <x:v>0</x:v>
      </x:c>
      <x:c r="AD279" s="82" t="n">
        <x:v>0</x:v>
      </x:c>
      <x:c r="AE279" s="82" t="n">
        <x:v>0</x:v>
      </x:c>
      <x:c r="AF279" s="82" t="n">
        <x:v>0</x:v>
      </x:c>
      <x:c r="AG279" s="91" t="str">
        <x:v>要出走確認</x:v>
      </x:c>
      <x:c r="AH279" s="91" t="str">
        <x:v>1960〜2026完走順位との一致なし。未出走または表記差を要確認</x:v>
      </x:c>
      <x:c r="AI279" s="91" t="str">
        <x:v>https://bikeraceinfo.com/classics/paris-roubaix/paris-roubaix-index.html</x:v>
      </x:c>
      <x:c r="AJ279" s="91" t="str">
        <x:v>能力・適性・Credit整合済</x:v>
      </x:c>
      <x:c r="AK27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79" s="91" t="str">
        <x:v>https://en.wikipedia.org/wiki/Special:Search?search=Tao%20Geoghegan%20Hart%20cyclist</x:v>
      </x:c>
    </x:row>
    <x:row r="280" ht="24" customHeight="1">
      <x:c r="A280" s="82" t="n">
        <x:v>276</x:v>
      </x:c>
      <x:c r="B280" s="82" t="str">
        <x:v>Remi Cavagna</x:v>
      </x:c>
      <x:c r="C280" s="143" t="str"/>
      <x:c r="D280" s="82" t="str">
        <x:v>フランス</x:v>
      </x:c>
      <x:c r="E280" s="82" t="str">
        <x:v>現役</x:v>
      </x:c>
      <x:c r="F280" s="82" t="str">
        <x:v>TT・ルーラー型</x:v>
      </x:c>
      <x:c r="G280" s="82" t="str">
        <x:v>総合型</x:v>
      </x:c>
      <x:c r="H280" s="85" t="n">
        <x:v>62</x:v>
      </x:c>
      <x:c r="I280" s="85" t="n">
        <x:v>78</x:v>
      </x:c>
      <x:c r="J280" s="91" t="str">
        <x:v>ロードキャプテン / 平坦アシスト / TT牽引 / 集団コントローラー / 横風分断</x:v>
      </x:c>
      <x:c r="K280" s="91" t="str"/>
      <x:c r="L280" s="91" t="str">
        <x:v>巡航力 / 総合安定</x:v>
      </x:c>
      <x:c r="M280" s="88" t="n">
        <x:v>3150</x:v>
      </x:c>
      <x:c r="N280" s="85" t="n">
        <x:v>64</x:v>
      </x:c>
      <x:c r="O280" s="85" t="n">
        <x:v>62</x:v>
      </x:c>
      <x:c r="P280" s="85" t="n">
        <x:v>64</x:v>
      </x:c>
      <x:c r="Q280" s="85" t="n">
        <x:v>76</x:v>
      </x:c>
      <x:c r="R280" s="85" t="n">
        <x:v>69</x:v>
      </x:c>
      <x:c r="S280" s="85" t="n">
        <x:v>69</x:v>
      </x:c>
      <x:c r="T280" s="85" t="n">
        <x:v>70</x:v>
      </x:c>
      <x:c r="U280" s="85" t="n">
        <x:v>71</x:v>
      </x:c>
      <x:c r="V280" s="85" t="n">
        <x:v>64</x:v>
      </x:c>
      <x:c r="W280" s="85" t="n">
        <x:v>50</x:v>
      </x:c>
      <x:c r="X280" s="85" t="n">
        <x:v>67</x:v>
      </x:c>
      <x:c r="Y280" s="85" t="n">
        <x:v>67</x:v>
      </x:c>
      <x:c r="Z280" s="85" t="n">
        <x:v>77</x:v>
      </x:c>
      <x:c r="AA280" s="85" t="n">
        <x:v>61</x:v>
      </x:c>
      <x:c r="AB280" s="85" t="n">
        <x:v>62</x:v>
      </x:c>
      <x:c r="AC280" s="82" t="n">
        <x:v>0</x:v>
      </x:c>
      <x:c r="AD280" s="82" t="n">
        <x:v>0</x:v>
      </x:c>
      <x:c r="AE280" s="82" t="n">
        <x:v>0</x:v>
      </x:c>
      <x:c r="AF280" s="82" t="n">
        <x:v>0</x:v>
      </x:c>
      <x:c r="AG280" s="91" t="str">
        <x:v>要出走確認</x:v>
      </x:c>
      <x:c r="AH280" s="91" t="str">
        <x:v>1960〜2026完走順位との一致なし。未出走または表記差を要確認</x:v>
      </x:c>
      <x:c r="AI280" s="91" t="str">
        <x:v>https://bikeraceinfo.com/classics/paris-roubaix/paris-roubaix-index.html</x:v>
      </x:c>
      <x:c r="AJ280" s="91" t="str">
        <x:v>能力・適性・Credit整合済</x:v>
      </x:c>
      <x:c r="AK28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0" s="91" t="str">
        <x:v>https://en.wikipedia.org/wiki/Special:Search?search=Remi%20Cavagna%20cyclist</x:v>
      </x:c>
    </x:row>
    <x:row r="281" ht="24" customHeight="1">
      <x:c r="A281" s="82" t="n">
        <x:v>277</x:v>
      </x:c>
      <x:c r="B281" s="82" t="str">
        <x:v>Brandon McNulty</x:v>
      </x:c>
      <x:c r="C281" s="143" t="str"/>
      <x:c r="D281" s="82" t="str">
        <x:v>アメリカ</x:v>
      </x:c>
      <x:c r="E281" s="82" t="str">
        <x:v>現役</x:v>
      </x:c>
      <x:c r="F281" s="82" t="str">
        <x:v>クライマー</x:v>
      </x:c>
      <x:c r="G281" s="82" t="str">
        <x:v>総合型</x:v>
      </x:c>
      <x:c r="H281" s="85" t="n">
        <x:v>62</x:v>
      </x:c>
      <x:c r="I281" s="85" t="n">
        <x:v>76</x:v>
      </x:c>
      <x:c r="J281" s="91" t="str">
        <x:v>山岳賞ハンター / 山岳アシスト / 集団コントローラー</x:v>
      </x:c>
      <x:c r="K281" s="91" t="str"/>
      <x:c r="L281" s="91" t="str">
        <x:v>山岳耐久 / 総合安定</x:v>
      </x:c>
      <x:c r="M281" s="88" t="n">
        <x:v>3100</x:v>
      </x:c>
      <x:c r="N281" s="85" t="n">
        <x:v>56</x:v>
      </x:c>
      <x:c r="O281" s="85" t="n">
        <x:v>66</x:v>
      </x:c>
      <x:c r="P281" s="85" t="n">
        <x:v>68</x:v>
      </x:c>
      <x:c r="Q281" s="85" t="n">
        <x:v>64</x:v>
      </x:c>
      <x:c r="R281" s="85" t="n">
        <x:v>74</x:v>
      </x:c>
      <x:c r="S281" s="85" t="n">
        <x:v>69</x:v>
      </x:c>
      <x:c r="T281" s="85" t="n">
        <x:v>68</x:v>
      </x:c>
      <x:c r="U281" s="85" t="n">
        <x:v>62</x:v>
      </x:c>
      <x:c r="V281" s="85" t="n">
        <x:v>62</x:v>
      </x:c>
      <x:c r="W281" s="85" t="n">
        <x:v>50</x:v>
      </x:c>
      <x:c r="X281" s="85" t="n">
        <x:v>74</x:v>
      </x:c>
      <x:c r="Y281" s="85" t="n">
        <x:v>74</x:v>
      </x:c>
      <x:c r="Z281" s="85" t="n">
        <x:v>71</x:v>
      </x:c>
      <x:c r="AA281" s="85" t="n">
        <x:v>63</x:v>
      </x:c>
      <x:c r="AB281" s="85" t="n">
        <x:v>69</x:v>
      </x:c>
      <x:c r="AC281" s="82" t="n">
        <x:v>0</x:v>
      </x:c>
      <x:c r="AD281" s="82" t="n">
        <x:v>0</x:v>
      </x:c>
      <x:c r="AE281" s="82" t="n">
        <x:v>0</x:v>
      </x:c>
      <x:c r="AF281" s="82" t="n">
        <x:v>0</x:v>
      </x:c>
      <x:c r="AG281" s="91" t="str">
        <x:v>要出走確認</x:v>
      </x:c>
      <x:c r="AH281" s="91" t="str">
        <x:v>1960〜2026完走順位との一致なし。未出走または表記差を要確認</x:v>
      </x:c>
      <x:c r="AI281" s="91" t="str">
        <x:v>https://bikeraceinfo.com/classics/paris-roubaix/paris-roubaix-index.html</x:v>
      </x:c>
      <x:c r="AJ281" s="91" t="str">
        <x:v>能力・適性・Credit整合済</x:v>
      </x:c>
      <x:c r="AK28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1" s="91" t="str">
        <x:v>https://en.wikipedia.org/wiki/Special:Search?search=Brandon%20McNulty%20cyclist</x:v>
      </x:c>
    </x:row>
    <x:row r="282" ht="24" customHeight="1">
      <x:c r="A282" s="82" t="n">
        <x:v>278</x:v>
      </x:c>
      <x:c r="B282" s="82" t="str">
        <x:v>Luka Mezgec</x:v>
      </x:c>
      <x:c r="C282" s="143" t="str"/>
      <x:c r="D282" s="82" t="str">
        <x:v>スロベニア</x:v>
      </x:c>
      <x:c r="E282" s="82" t="str">
        <x:v>現役</x:v>
      </x:c>
      <x:c r="F282" s="82" t="str">
        <x:v>スプリンター</x:v>
      </x:c>
      <x:c r="G282" s="82" t="str">
        <x:v>TT・ルーラー型</x:v>
      </x:c>
      <x:c r="H282" s="85" t="n">
        <x:v>62</x:v>
      </x:c>
      <x:c r="I282" s="85" t="n">
        <x:v>76</x:v>
      </x:c>
      <x:c r="J282" s="91" t="str">
        <x:v>リードアウト / 最終発射台 / スプリントトレイン / 集団コントローラー</x:v>
      </x:c>
      <x:c r="K282" s="91" t="str"/>
      <x:c r="L282" s="91" t="str">
        <x:v>最高速 / TT適性</x:v>
      </x:c>
      <x:c r="M282" s="88" t="n">
        <x:v>3100</x:v>
      </x:c>
      <x:c r="N282" s="85" t="n">
        <x:v>79</x:v>
      </x:c>
      <x:c r="O282" s="85" t="n">
        <x:v>76</x:v>
      </x:c>
      <x:c r="P282" s="85" t="n">
        <x:v>65</x:v>
      </x:c>
      <x:c r="Q282" s="85" t="n">
        <x:v>71</x:v>
      </x:c>
      <x:c r="R282" s="85" t="n">
        <x:v>58</x:v>
      </x:c>
      <x:c r="S282" s="85" t="n">
        <x:v>62</x:v>
      </x:c>
      <x:c r="T282" s="85" t="n">
        <x:v>62</x:v>
      </x:c>
      <x:c r="U282" s="85" t="n">
        <x:v>66</x:v>
      </x:c>
      <x:c r="V282" s="85" t="n">
        <x:v>67</x:v>
      </x:c>
      <x:c r="W282" s="85" t="n">
        <x:v>50</x:v>
      </x:c>
      <x:c r="X282" s="85" t="n">
        <x:v>65</x:v>
      </x:c>
      <x:c r="Y282" s="85" t="n">
        <x:v>65</x:v>
      </x:c>
      <x:c r="Z282" s="85" t="n">
        <x:v>69</x:v>
      </x:c>
      <x:c r="AA282" s="85" t="n">
        <x:v>70</x:v>
      </x:c>
      <x:c r="AB282" s="85" t="n">
        <x:v>63</x:v>
      </x:c>
      <x:c r="AC282" s="82" t="n">
        <x:v>0</x:v>
      </x:c>
      <x:c r="AD282" s="82" t="n">
        <x:v>0</x:v>
      </x:c>
      <x:c r="AE282" s="82" t="n">
        <x:v>0</x:v>
      </x:c>
      <x:c r="AF282" s="82" t="n">
        <x:v>0</x:v>
      </x:c>
      <x:c r="AG282" s="91" t="str">
        <x:v>要出走確認</x:v>
      </x:c>
      <x:c r="AH282" s="91" t="str">
        <x:v>1960〜2026完走順位との一致なし。未出走または表記差を要確認</x:v>
      </x:c>
      <x:c r="AI282" s="91" t="str">
        <x:v>https://bikeraceinfo.com/classics/paris-roubaix/paris-roubaix-index.html</x:v>
      </x:c>
      <x:c r="AJ282" s="91" t="str">
        <x:v>能力・適性・Credit整合済</x:v>
      </x:c>
      <x:c r="AK282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2" s="91" t="str">
        <x:v>https://en.wikipedia.org/wiki/Special:Search?search=Luka%20Mezgec%20cyclist</x:v>
      </x:c>
    </x:row>
    <x:row r="283" ht="24" customHeight="1">
      <x:c r="A283" s="82" t="n">
        <x:v>279</x:v>
      </x:c>
      <x:c r="B283" s="82" t="str">
        <x:v>Pavel Sivakov</x:v>
      </x:c>
      <x:c r="C283" s="143" t="str"/>
      <x:c r="D283" s="82" t="str">
        <x:v>フランス</x:v>
      </x:c>
      <x:c r="E283" s="82" t="str">
        <x:v>現役</x:v>
      </x:c>
      <x:c r="F283" s="82" t="str">
        <x:v>クライマー</x:v>
      </x:c>
      <x:c r="G283" s="82" t="str">
        <x:v>総合型</x:v>
      </x:c>
      <x:c r="H283" s="85" t="n">
        <x:v>62</x:v>
      </x:c>
      <x:c r="I283" s="85" t="n">
        <x:v>75</x:v>
      </x:c>
      <x:c r="J283" s="91" t="str">
        <x:v>山岳賞ハンター / 山岳アシスト / 集団コントローラー</x:v>
      </x:c>
      <x:c r="K283" s="91" t="str"/>
      <x:c r="L283" s="91" t="str">
        <x:v>山岳耐久 / 総合安定</x:v>
      </x:c>
      <x:c r="M283" s="88" t="n">
        <x:v>3100</x:v>
      </x:c>
      <x:c r="N283" s="85" t="n">
        <x:v>56</x:v>
      </x:c>
      <x:c r="O283" s="85" t="n">
        <x:v>66</x:v>
      </x:c>
      <x:c r="P283" s="85" t="n">
        <x:v>68</x:v>
      </x:c>
      <x:c r="Q283" s="85" t="n">
        <x:v>64</x:v>
      </x:c>
      <x:c r="R283" s="85" t="n">
        <x:v>74</x:v>
      </x:c>
      <x:c r="S283" s="85" t="n">
        <x:v>69</x:v>
      </x:c>
      <x:c r="T283" s="85" t="n">
        <x:v>68</x:v>
      </x:c>
      <x:c r="U283" s="85" t="n">
        <x:v>61</x:v>
      </x:c>
      <x:c r="V283" s="85" t="n">
        <x:v>62</x:v>
      </x:c>
      <x:c r="W283" s="85" t="n">
        <x:v>50</x:v>
      </x:c>
      <x:c r="X283" s="85" t="n">
        <x:v>74</x:v>
      </x:c>
      <x:c r="Y283" s="85" t="n">
        <x:v>74</x:v>
      </x:c>
      <x:c r="Z283" s="85" t="n">
        <x:v>71</x:v>
      </x:c>
      <x:c r="AA283" s="85" t="n">
        <x:v>63</x:v>
      </x:c>
      <x:c r="AB283" s="85" t="n">
        <x:v>68</x:v>
      </x:c>
      <x:c r="AC283" s="82" t="n">
        <x:v>0</x:v>
      </x:c>
      <x:c r="AD283" s="82" t="n">
        <x:v>0</x:v>
      </x:c>
      <x:c r="AE283" s="82" t="n">
        <x:v>0</x:v>
      </x:c>
      <x:c r="AF283" s="82" t="n">
        <x:v>0</x:v>
      </x:c>
      <x:c r="AG283" s="91" t="str">
        <x:v>要出走確認</x:v>
      </x:c>
      <x:c r="AH283" s="91" t="str">
        <x:v>1960〜2026完走順位との一致なし。未出走または表記差を要確認</x:v>
      </x:c>
      <x:c r="AI283" s="91" t="str">
        <x:v>https://bikeraceinfo.com/classics/paris-roubaix/paris-roubaix-index.html</x:v>
      </x:c>
      <x:c r="AJ283" s="91" t="str">
        <x:v>能力・適性・Credit整合済</x:v>
      </x:c>
      <x:c r="AK28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3" s="91" t="str">
        <x:v>https://en.wikipedia.org/wiki/Special:Search?search=Pavel%20Sivakov%20cyclist</x:v>
      </x:c>
    </x:row>
    <x:row r="284" ht="24" customHeight="1">
      <x:c r="A284" s="82" t="n">
        <x:v>280</x:v>
      </x:c>
      <x:c r="B284" s="82" t="str">
        <x:v>Danny van Poppel</x:v>
      </x:c>
      <x:c r="C284" s="143" t="str"/>
      <x:c r="D284" s="82" t="str">
        <x:v>オランダ</x:v>
      </x:c>
      <x:c r="E284" s="82" t="str">
        <x:v>現役</x:v>
      </x:c>
      <x:c r="F284" s="82" t="str">
        <x:v>スプリンター</x:v>
      </x:c>
      <x:c r="G284" s="82" t="str">
        <x:v>TT・ルーラー型</x:v>
      </x:c>
      <x:c r="H284" s="85" t="n">
        <x:v>62</x:v>
      </x:c>
      <x:c r="I284" s="85" t="n">
        <x:v>74</x:v>
      </x:c>
      <x:c r="J284" s="91" t="str">
        <x:v>リードアウト / 最終発射台 / スプリントトレイン / 横風分断</x:v>
      </x:c>
      <x:c r="K284" s="91" t="str"/>
      <x:c r="L284" s="91" t="str">
        <x:v>最高速 / TT適性</x:v>
      </x:c>
      <x:c r="M284" s="88" t="n">
        <x:v>3050</x:v>
      </x:c>
      <x:c r="N284" s="85" t="n">
        <x:v>79</x:v>
      </x:c>
      <x:c r="O284" s="85" t="n">
        <x:v>75</x:v>
      </x:c>
      <x:c r="P284" s="85" t="n">
        <x:v>65</x:v>
      </x:c>
      <x:c r="Q284" s="85" t="n">
        <x:v>71</x:v>
      </x:c>
      <x:c r="R284" s="85" t="n">
        <x:v>58</x:v>
      </x:c>
      <x:c r="S284" s="85" t="n">
        <x:v>62</x:v>
      </x:c>
      <x:c r="T284" s="85" t="n">
        <x:v>62</x:v>
      </x:c>
      <x:c r="U284" s="85" t="n">
        <x:v>65</x:v>
      </x:c>
      <x:c r="V284" s="85" t="n">
        <x:v>66</x:v>
      </x:c>
      <x:c r="W284" s="85" t="n">
        <x:v>69</x:v>
      </x:c>
      <x:c r="X284" s="85" t="n">
        <x:v>64</x:v>
      </x:c>
      <x:c r="Y284" s="85" t="n">
        <x:v>64</x:v>
      </x:c>
      <x:c r="Z284" s="85" t="n">
        <x:v>68</x:v>
      </x:c>
      <x:c r="AA284" s="85" t="n">
        <x:v>70</x:v>
      </x:c>
      <x:c r="AB284" s="85" t="n">
        <x:v>62</x:v>
      </x:c>
      <x:c r="AC284" s="82" t="n">
        <x:v>45</x:v>
      </x:c>
      <x:c r="AD284" s="82" t="n">
        <x:v>1</x:v>
      </x:c>
      <x:c r="AE284" s="82" t="n">
        <x:v>0</x:v>
      </x:c>
      <x:c r="AF284" s="82" t="n">
        <x:v>0</x:v>
      </x:c>
      <x:c r="AG284" s="91" t="str">
        <x:v>結果照合済</x:v>
      </x:c>
      <x:c r="AH284" s="91" t="str">
        <x:v>最高45位 / 完走1回 / Top10 0回 / 優勝0回</x:v>
      </x:c>
      <x:c r="AI284" s="91" t="str">
        <x:v>https://bikeraceinfo.com/classics/paris-roubaix/pr2015.html</x:v>
      </x:c>
      <x:c r="AJ284" s="91" t="str">
        <x:v>能力・適性・Credit整合済</x:v>
      </x:c>
      <x:c r="AK284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4" s="91" t="str">
        <x:v>https://en.wikipedia.org/wiki/Special:Search?search=Danny%20van%20Poppel%20cyclist</x:v>
      </x:c>
    </x:row>
    <x:row r="285" ht="24" customHeight="1">
      <x:c r="A285" s="82" t="n">
        <x:v>281</x:v>
      </x:c>
      <x:c r="B285" s="82" t="str">
        <x:v>Simone Consonni</x:v>
      </x:c>
      <x:c r="C285" s="143" t="str"/>
      <x:c r="D285" s="82" t="str">
        <x:v>イタリア</x:v>
      </x:c>
      <x:c r="E285" s="82" t="str">
        <x:v>現役</x:v>
      </x:c>
      <x:c r="F285" s="82" t="str">
        <x:v>スプリンター</x:v>
      </x:c>
      <x:c r="G285" s="82" t="str">
        <x:v>TT・ルーラー型</x:v>
      </x:c>
      <x:c r="H285" s="85" t="n">
        <x:v>62</x:v>
      </x:c>
      <x:c r="I285" s="85" t="n">
        <x:v>74</x:v>
      </x:c>
      <x:c r="J285" s="91" t="str">
        <x:v>リードアウト / 最終発射台 / スプリントトレイン / 横風分断</x:v>
      </x:c>
      <x:c r="K285" s="91" t="str"/>
      <x:c r="L285" s="91" t="str">
        <x:v>最高速 / TT適性</x:v>
      </x:c>
      <x:c r="M285" s="88" t="n">
        <x:v>2950</x:v>
      </x:c>
      <x:c r="N285" s="85" t="n">
        <x:v>78</x:v>
      </x:c>
      <x:c r="O285" s="85" t="n">
        <x:v>74</x:v>
      </x:c>
      <x:c r="P285" s="85" t="n">
        <x:v>65</x:v>
      </x:c>
      <x:c r="Q285" s="85" t="n">
        <x:v>70</x:v>
      </x:c>
      <x:c r="R285" s="85" t="n">
        <x:v>58</x:v>
      </x:c>
      <x:c r="S285" s="85" t="n">
        <x:v>61</x:v>
      </x:c>
      <x:c r="T285" s="85" t="n">
        <x:v>61</x:v>
      </x:c>
      <x:c r="U285" s="85" t="n">
        <x:v>65</x:v>
      </x:c>
      <x:c r="V285" s="85" t="n">
        <x:v>65</x:v>
      </x:c>
      <x:c r="W285" s="85" t="n">
        <x:v>64</x:v>
      </x:c>
      <x:c r="X285" s="85" t="n">
        <x:v>63</x:v>
      </x:c>
      <x:c r="Y285" s="85" t="n">
        <x:v>63</x:v>
      </x:c>
      <x:c r="Z285" s="85" t="n">
        <x:v>68</x:v>
      </x:c>
      <x:c r="AA285" s="85" t="n">
        <x:v>70</x:v>
      </x:c>
      <x:c r="AB285" s="85" t="n">
        <x:v>61</x:v>
      </x:c>
      <x:c r="AC285" s="82" t="n">
        <x:v>101</x:v>
      </x:c>
      <x:c r="AD285" s="82" t="n">
        <x:v>1</x:v>
      </x:c>
      <x:c r="AE285" s="82" t="n">
        <x:v>0</x:v>
      </x:c>
      <x:c r="AF285" s="82" t="n">
        <x:v>0</x:v>
      </x:c>
      <x:c r="AG285" s="91" t="str">
        <x:v>結果照合済</x:v>
      </x:c>
      <x:c r="AH285" s="91" t="str">
        <x:v>最高101位 / 完走1回 / Top10 0回 / 優勝0回</x:v>
      </x:c>
      <x:c r="AI285" s="91" t="str">
        <x:v>https://bikeraceinfo.com/classics/paris-roubaix/pr2018.html</x:v>
      </x:c>
      <x:c r="AJ285" s="91" t="str">
        <x:v>能力・適性・Credit整合済</x:v>
      </x:c>
      <x:c r="AK28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5" s="91" t="str">
        <x:v>https://en.wikipedia.org/wiki/Special:Search?search=Simone%20Consonni%20cyclist</x:v>
      </x:c>
    </x:row>
    <x:row r="286" ht="24" customHeight="1">
      <x:c r="A286" s="82" t="n">
        <x:v>282</x:v>
      </x:c>
      <x:c r="B286" s="82" t="str">
        <x:v>Davide Ballerini</x:v>
      </x:c>
      <x:c r="C286" s="143" t="str"/>
      <x:c r="D286" s="82" t="str">
        <x:v>イタリア</x:v>
      </x:c>
      <x:c r="E286" s="82" t="str">
        <x:v>現役</x:v>
      </x:c>
      <x:c r="F286" s="82" t="str">
        <x:v>スプリンター</x:v>
      </x:c>
      <x:c r="G286" s="82" t="str">
        <x:v>TT・ルーラー型</x:v>
      </x:c>
      <x:c r="H286" s="85" t="n">
        <x:v>62</x:v>
      </x:c>
      <x:c r="I286" s="85" t="n">
        <x:v>73</x:v>
      </x:c>
      <x:c r="J286" s="91" t="str">
        <x:v>リードアウト / 最終発射台 / スプリントトレイン</x:v>
      </x:c>
      <x:c r="K286" s="91" t="str"/>
      <x:c r="L286" s="91" t="str">
        <x:v>最高速 / TT適性</x:v>
      </x:c>
      <x:c r="M286" s="88" t="n">
        <x:v>2900</x:v>
      </x:c>
      <x:c r="N286" s="85" t="n">
        <x:v>78</x:v>
      </x:c>
      <x:c r="O286" s="85" t="n">
        <x:v>74</x:v>
      </x:c>
      <x:c r="P286" s="85" t="n">
        <x:v>65</x:v>
      </x:c>
      <x:c r="Q286" s="85" t="n">
        <x:v>70</x:v>
      </x:c>
      <x:c r="R286" s="85" t="n">
        <x:v>58</x:v>
      </x:c>
      <x:c r="S286" s="85" t="n">
        <x:v>61</x:v>
      </x:c>
      <x:c r="T286" s="85" t="n">
        <x:v>60</x:v>
      </x:c>
      <x:c r="U286" s="85" t="n">
        <x:v>65</x:v>
      </x:c>
      <x:c r="V286" s="85" t="n">
        <x:v>64</x:v>
      </x:c>
      <x:c r="W286" s="85" t="n">
        <x:v>69</x:v>
      </x:c>
      <x:c r="X286" s="85" t="n">
        <x:v>63</x:v>
      </x:c>
      <x:c r="Y286" s="85" t="n">
        <x:v>62</x:v>
      </x:c>
      <x:c r="Z286" s="85" t="n">
        <x:v>67</x:v>
      </x:c>
      <x:c r="AA286" s="85" t="n">
        <x:v>69</x:v>
      </x:c>
      <x:c r="AB286" s="85" t="n">
        <x:v>61</x:v>
      </x:c>
      <x:c r="AC286" s="82" t="n">
        <x:v>31</x:v>
      </x:c>
      <x:c r="AD286" s="82" t="n">
        <x:v>2</x:v>
      </x:c>
      <x:c r="AE286" s="82" t="n">
        <x:v>0</x:v>
      </x:c>
      <x:c r="AF286" s="82" t="n">
        <x:v>0</x:v>
      </x:c>
      <x:c r="AG286" s="91" t="str">
        <x:v>結果照合済</x:v>
      </x:c>
      <x:c r="AH286" s="91" t="str">
        <x:v>最高31位 / 完走2回 / Top10 0回 / 優勝0回</x:v>
      </x:c>
      <x:c r="AI286" s="91" t="str">
        <x:v>https://bikeraceinfo.com/classics/paris-roubaix/pr2019.html</x:v>
      </x:c>
      <x:c r="AJ286" s="91" t="str">
        <x:v>能力・適性・Credit整合済</x:v>
      </x:c>
      <x:c r="AK28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6" s="91" t="str">
        <x:v>https://en.wikipedia.org/wiki/Special:Search?search=Davide%20Ballerini%20cyclist</x:v>
      </x:c>
    </x:row>
    <x:row r="287" ht="24" customHeight="1">
      <x:c r="A287" s="82" t="n">
        <x:v>283</x:v>
      </x:c>
      <x:c r="B287" s="82" t="str">
        <x:v>Florian Vermeersch</x:v>
      </x:c>
      <x:c r="C287" s="143" t="str"/>
      <x:c r="D287" s="82" t="str">
        <x:v>ベルギー</x:v>
      </x:c>
      <x:c r="E287" s="82" t="str">
        <x:v>現役</x:v>
      </x:c>
      <x:c r="F287" s="82" t="str">
        <x:v>クラシック型</x:v>
      </x:c>
      <x:c r="G287" s="82" t="str">
        <x:v>パンチャー</x:v>
      </x:c>
      <x:c r="H287" s="85" t="n">
        <x:v>62</x:v>
      </x:c>
      <x:c r="I287" s="85" t="n">
        <x:v>78</x:v>
      </x:c>
      <x:c r="J287" s="91" t="str">
        <x:v>ロードキャプテン / 平坦アシスト / 石畳護衛 / 横風分断</x:v>
      </x:c>
      <x:c r="K287" s="91" t="str"/>
      <x:c r="L287" s="91" t="str">
        <x:v>バイクコントロール / 反復加速</x:v>
      </x:c>
      <x:c r="M287" s="88" t="n">
        <x:v>2850</x:v>
      </x:c>
      <x:c r="N287" s="85" t="n">
        <x:v>73</x:v>
      </x:c>
      <x:c r="O287" s="85" t="n">
        <x:v>71</x:v>
      </x:c>
      <x:c r="P287" s="85" t="n">
        <x:v>73</x:v>
      </x:c>
      <x:c r="Q287" s="85" t="n">
        <x:v>72</x:v>
      </x:c>
      <x:c r="R287" s="85" t="n">
        <x:v>67</x:v>
      </x:c>
      <x:c r="S287" s="85" t="n">
        <x:v>67</x:v>
      </x:c>
      <x:c r="T287" s="85" t="n">
        <x:v>71</x:v>
      </x:c>
      <x:c r="U287" s="85" t="n">
        <x:v>72</x:v>
      </x:c>
      <x:c r="V287" s="85" t="n">
        <x:v>75</x:v>
      </x:c>
      <x:c r="W287" s="85" t="n">
        <x:v>50</x:v>
      </x:c>
      <x:c r="X287" s="85" t="n">
        <x:v>66</x:v>
      </x:c>
      <x:c r="Y287" s="85" t="n">
        <x:v>65</x:v>
      </x:c>
      <x:c r="Z287" s="85" t="n">
        <x:v>74</x:v>
      </x:c>
      <x:c r="AA287" s="85" t="n">
        <x:v>65</x:v>
      </x:c>
      <x:c r="AB287" s="85" t="n">
        <x:v>72</x:v>
      </x:c>
      <x:c r="AC287" s="82" t="n">
        <x:v>0</x:v>
      </x:c>
      <x:c r="AD287" s="82" t="n">
        <x:v>0</x:v>
      </x:c>
      <x:c r="AE287" s="82" t="n">
        <x:v>0</x:v>
      </x:c>
      <x:c r="AF287" s="82" t="n">
        <x:v>0</x:v>
      </x:c>
      <x:c r="AG287" s="91" t="str">
        <x:v>要出走確認</x:v>
      </x:c>
      <x:c r="AH287" s="91" t="str">
        <x:v>1960〜2026完走順位との一致なし。未出走または表記差を要確認</x:v>
      </x:c>
      <x:c r="AI287" s="91" t="str">
        <x:v>https://bikeraceinfo.com/classics/paris-roubaix/paris-roubaix-index.html</x:v>
      </x:c>
      <x:c r="AJ287" s="91" t="str">
        <x:v>能力・適性・Credit整合済</x:v>
      </x:c>
      <x:c r="AK28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7" s="91" t="str">
        <x:v>https://en.wikipedia.org/wiki/Special:Search?search=Florian%20Vermeersch%20cyclist</x:v>
      </x:c>
    </x:row>
    <x:row r="288" ht="24" customHeight="1">
      <x:c r="A288" s="82" t="n">
        <x:v>284</x:v>
      </x:c>
      <x:c r="B288" s="82" t="str">
        <x:v>Dylan van Baarle</x:v>
      </x:c>
      <x:c r="C288" s="143" t="str"/>
      <x:c r="D288" s="82" t="str">
        <x:v>オランダ</x:v>
      </x:c>
      <x:c r="E288" s="82" t="str">
        <x:v>現役</x:v>
      </x:c>
      <x:c r="F288" s="82" t="str">
        <x:v>TT・ルーラー型</x:v>
      </x:c>
      <x:c r="G288" s="82" t="str">
        <x:v>クラシック型</x:v>
      </x:c>
      <x:c r="H288" s="85" t="n">
        <x:v>61</x:v>
      </x:c>
      <x:c r="I288" s="85" t="n">
        <x:v>80</x:v>
      </x:c>
      <x:c r="J288" s="91" t="str">
        <x:v>平坦アシスト / TT牽引 / ブレイクアウェイキラー / トラブル復帰牽引</x:v>
      </x:c>
      <x:c r="K288" s="91" t="str"/>
      <x:c r="L288" s="91" t="str">
        <x:v>巡航力 / 悪路耐性</x:v>
      </x:c>
      <x:c r="M288" s="88" t="n">
        <x:v>3900</x:v>
      </x:c>
      <x:c r="N288" s="85" t="n">
        <x:v>68</x:v>
      </x:c>
      <x:c r="O288" s="85" t="n">
        <x:v>64</x:v>
      </x:c>
      <x:c r="P288" s="85" t="n">
        <x:v>64</x:v>
      </x:c>
      <x:c r="Q288" s="85" t="n">
        <x:v>79</x:v>
      </x:c>
      <x:c r="R288" s="85" t="n">
        <x:v>68</x:v>
      </x:c>
      <x:c r="S288" s="85" t="n">
        <x:v>71</x:v>
      </x:c>
      <x:c r="T288" s="85" t="n">
        <x:v>71</x:v>
      </x:c>
      <x:c r="U288" s="85" t="n">
        <x:v>72</x:v>
      </x:c>
      <x:c r="V288" s="85" t="n">
        <x:v>66</x:v>
      </x:c>
      <x:c r="W288" s="85" t="n">
        <x:v>74</x:v>
      </x:c>
      <x:c r="X288" s="85" t="n">
        <x:v>65</x:v>
      </x:c>
      <x:c r="Y288" s="85" t="n">
        <x:v>65</x:v>
      </x:c>
      <x:c r="Z288" s="85" t="n">
        <x:v>79</x:v>
      </x:c>
      <x:c r="AA288" s="85" t="n">
        <x:v>62</x:v>
      </x:c>
      <x:c r="AB288" s="85" t="n">
        <x:v>65</x:v>
      </x:c>
      <x:c r="AC288" s="82" t="n">
        <x:v>19</x:v>
      </x:c>
      <x:c r="AD288" s="82" t="n">
        <x:v>5</x:v>
      </x:c>
      <x:c r="AE288" s="82" t="n">
        <x:v>0</x:v>
      </x:c>
      <x:c r="AF288" s="82" t="n">
        <x:v>0</x:v>
      </x:c>
      <x:c r="AG288" s="91" t="str">
        <x:v>結果照合済</x:v>
      </x:c>
      <x:c r="AH288" s="91" t="str">
        <x:v>最高19位 / 完走5回 / Top10 0回 / 優勝0回</x:v>
      </x:c>
      <x:c r="AI288" s="91" t="str">
        <x:v>https://bikeraceinfo.com/classics/paris-roubaix/pr2018.html</x:v>
      </x:c>
      <x:c r="AJ288" s="91" t="str">
        <x:v>能力・適性・Credit整合済</x:v>
      </x:c>
      <x:c r="AK288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8" s="91" t="str">
        <x:v>https://en.wikipedia.org/wiki/Special:Search?search=Dylan%20van%20Baarle%20cyclist</x:v>
      </x:c>
    </x:row>
    <x:row r="289" ht="24" customHeight="1">
      <x:c r="A289" s="82" t="n">
        <x:v>285</x:v>
      </x:c>
      <x:c r="B289" s="82" t="str">
        <x:v>Edoardo Affini</x:v>
      </x:c>
      <x:c r="C289" s="143" t="str"/>
      <x:c r="D289" s="82" t="str">
        <x:v>イタリア</x:v>
      </x:c>
      <x:c r="E289" s="82" t="str">
        <x:v>現役</x:v>
      </x:c>
      <x:c r="F289" s="82" t="str">
        <x:v>TT・ルーラー型</x:v>
      </x:c>
      <x:c r="G289" s="82" t="str">
        <x:v>総合型</x:v>
      </x:c>
      <x:c r="H289" s="85" t="n">
        <x:v>61</x:v>
      </x:c>
      <x:c r="I289" s="85" t="n">
        <x:v>80</x:v>
      </x:c>
      <x:c r="J289" s="91" t="str">
        <x:v>ロードキャプテン / TTスペシャリスト / 平坦アシスト / 平坦ペースメーカー / 集団コントローラー / ブレイクアウェイキラー / トラブル復帰牽引</x:v>
      </x:c>
      <x:c r="K289" s="91" t="str"/>
      <x:c r="L289" s="91" t="str">
        <x:v>巡航力 / 総合安定</x:v>
      </x:c>
      <x:c r="M289" s="88" t="n">
        <x:v>3650</x:v>
      </x:c>
      <x:c r="N289" s="85" t="n">
        <x:v>64</x:v>
      </x:c>
      <x:c r="O289" s="85" t="n">
        <x:v>62</x:v>
      </x:c>
      <x:c r="P289" s="85" t="n">
        <x:v>64</x:v>
      </x:c>
      <x:c r="Q289" s="85" t="n">
        <x:v>78</x:v>
      </x:c>
      <x:c r="R289" s="85" t="n">
        <x:v>69</x:v>
      </x:c>
      <x:c r="S289" s="85" t="n">
        <x:v>70</x:v>
      </x:c>
      <x:c r="T289" s="85" t="n">
        <x:v>70</x:v>
      </x:c>
      <x:c r="U289" s="85" t="n">
        <x:v>72</x:v>
      </x:c>
      <x:c r="V289" s="85" t="n">
        <x:v>66</x:v>
      </x:c>
      <x:c r="W289" s="85" t="n">
        <x:v>64</x:v>
      </x:c>
      <x:c r="X289" s="85" t="n">
        <x:v>67</x:v>
      </x:c>
      <x:c r="Y289" s="85" t="n">
        <x:v>67</x:v>
      </x:c>
      <x:c r="Z289" s="85" t="n">
        <x:v>79</x:v>
      </x:c>
      <x:c r="AA289" s="85" t="n">
        <x:v>62</x:v>
      </x:c>
      <x:c r="AB289" s="85" t="n">
        <x:v>63</x:v>
      </x:c>
      <x:c r="AC289" s="82" t="n">
        <x:v>99</x:v>
      </x:c>
      <x:c r="AD289" s="82" t="n">
        <x:v>1</x:v>
      </x:c>
      <x:c r="AE289" s="82" t="n">
        <x:v>0</x:v>
      </x:c>
      <x:c r="AF289" s="82" t="n">
        <x:v>0</x:v>
      </x:c>
      <x:c r="AG289" s="91" t="str">
        <x:v>結果照合済</x:v>
      </x:c>
      <x:c r="AH289" s="91" t="str">
        <x:v>最高99位 / 完走1回 / Top10 0回 / 優勝0回</x:v>
      </x:c>
      <x:c r="AI289" s="91" t="str">
        <x:v>https://bikeraceinfo.com/classics/paris-roubaix/pr2019.html</x:v>
      </x:c>
      <x:c r="AJ289" s="91" t="str">
        <x:v>能力・適性・Credit整合済</x:v>
      </x:c>
      <x:c r="AK28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89" s="91" t="str">
        <x:v>https://en.wikipedia.org/wiki/Special:Search?search=Edoardo%20Affini%20cyclist</x:v>
      </x:c>
    </x:row>
    <x:row r="290" ht="24" customHeight="1">
      <x:c r="A290" s="82" t="n">
        <x:v>286</x:v>
      </x:c>
      <x:c r="B290" s="82" t="str">
        <x:v>Nils Politt</x:v>
      </x:c>
      <x:c r="C290" s="143" t="str"/>
      <x:c r="D290" s="82" t="str">
        <x:v>ドイツ</x:v>
      </x:c>
      <x:c r="E290" s="82" t="str">
        <x:v>現役</x:v>
      </x:c>
      <x:c r="F290" s="82" t="str">
        <x:v>TT・ルーラー型</x:v>
      </x:c>
      <x:c r="G290" s="82" t="str">
        <x:v>クラシック型</x:v>
      </x:c>
      <x:c r="H290" s="85" t="n">
        <x:v>61</x:v>
      </x:c>
      <x:c r="I290" s="85" t="n">
        <x:v>78</x:v>
      </x:c>
      <x:c r="J290" s="91" t="str">
        <x:v>平坦アシスト / TT牽引 / 石畳護衛 / 横風要員 / 横風分断</x:v>
      </x:c>
      <x:c r="K290" s="91" t="str"/>
      <x:c r="L290" s="91" t="str">
        <x:v>巡航力 / 悪路耐性</x:v>
      </x:c>
      <x:c r="M290" s="88" t="n">
        <x:v>3200</x:v>
      </x:c>
      <x:c r="N290" s="85" t="n">
        <x:v>68</x:v>
      </x:c>
      <x:c r="O290" s="85" t="n">
        <x:v>64</x:v>
      </x:c>
      <x:c r="P290" s="85" t="n">
        <x:v>64</x:v>
      </x:c>
      <x:c r="Q290" s="85" t="n">
        <x:v>78</x:v>
      </x:c>
      <x:c r="R290" s="85" t="n">
        <x:v>68</x:v>
      </x:c>
      <x:c r="S290" s="85" t="n">
        <x:v>69</x:v>
      </x:c>
      <x:c r="T290" s="85" t="n">
        <x:v>70</x:v>
      </x:c>
      <x:c r="U290" s="85" t="n">
        <x:v>72</x:v>
      </x:c>
      <x:c r="V290" s="85" t="n">
        <x:v>67</x:v>
      </x:c>
      <x:c r="W290" s="85" t="n">
        <x:v>76</x:v>
      </x:c>
      <x:c r="X290" s="85" t="n">
        <x:v>65</x:v>
      </x:c>
      <x:c r="Y290" s="85" t="n">
        <x:v>66</x:v>
      </x:c>
      <x:c r="Z290" s="85" t="n">
        <x:v>76</x:v>
      </x:c>
      <x:c r="AA290" s="85" t="n">
        <x:v>62</x:v>
      </x:c>
      <x:c r="AB290" s="85" t="n">
        <x:v>64</x:v>
      </x:c>
      <x:c r="AC290" s="82" t="n">
        <x:v>2</x:v>
      </x:c>
      <x:c r="AD290" s="82" t="n">
        <x:v>3</x:v>
      </x:c>
      <x:c r="AE290" s="82" t="n">
        <x:v>3</x:v>
      </x:c>
      <x:c r="AF290" s="82" t="n">
        <x:v>0</x:v>
      </x:c>
      <x:c r="AG290" s="91" t="str">
        <x:v>結果照合済</x:v>
      </x:c>
      <x:c r="AH290" s="91" t="str">
        <x:v>最高2位 / 完走3回 / Top10 3回 / 優勝0回</x:v>
      </x:c>
      <x:c r="AI290" s="91" t="str">
        <x:v>https://bikeraceinfo.com/classics/paris-roubaix/pr2019.html</x:v>
      </x:c>
      <x:c r="AJ290" s="91" t="str">
        <x:v>能力・適性・Credit整合済</x:v>
      </x:c>
      <x:c r="AK29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0" s="91" t="str">
        <x:v>https://en.wikipedia.org/wiki/Special:Search?search=Nils%20Politt%20cyclist</x:v>
      </x:c>
    </x:row>
    <x:row r="291" ht="24" customHeight="1">
      <x:c r="A291" s="82" t="n">
        <x:v>287</x:v>
      </x:c>
      <x:c r="B291" s="82" t="str">
        <x:v>Magnus Sheffield</x:v>
      </x:c>
      <x:c r="C291" s="143" t="str"/>
      <x:c r="D291" s="82" t="str">
        <x:v>アメリカ</x:v>
      </x:c>
      <x:c r="E291" s="82" t="str">
        <x:v>現役</x:v>
      </x:c>
      <x:c r="F291" s="82" t="str">
        <x:v>TT・ルーラー型</x:v>
      </x:c>
      <x:c r="G291" s="82" t="str">
        <x:v>総合型</x:v>
      </x:c>
      <x:c r="H291" s="85" t="n">
        <x:v>61</x:v>
      </x:c>
      <x:c r="I291" s="85" t="n">
        <x:v>79</x:v>
      </x:c>
      <x:c r="J291" s="91" t="str">
        <x:v>ロードキャプテン / 平坦アシスト / 平坦ペースメーカー / TT牽引 / 集団コントローラー</x:v>
      </x:c>
      <x:c r="K291" s="91" t="str"/>
      <x:c r="L291" s="91" t="str">
        <x:v>巡航力 / 総合安定</x:v>
      </x:c>
      <x:c r="M291" s="88" t="n">
        <x:v>3150</x:v>
      </x:c>
      <x:c r="N291" s="85" t="n">
        <x:v>64</x:v>
      </x:c>
      <x:c r="O291" s="85" t="n">
        <x:v>62</x:v>
      </x:c>
      <x:c r="P291" s="85" t="n">
        <x:v>64</x:v>
      </x:c>
      <x:c r="Q291" s="85" t="n">
        <x:v>77</x:v>
      </x:c>
      <x:c r="R291" s="85" t="n">
        <x:v>69</x:v>
      </x:c>
      <x:c r="S291" s="85" t="n">
        <x:v>70</x:v>
      </x:c>
      <x:c r="T291" s="85" t="n">
        <x:v>70</x:v>
      </x:c>
      <x:c r="U291" s="85" t="n">
        <x:v>71</x:v>
      </x:c>
      <x:c r="V291" s="85" t="n">
        <x:v>64</x:v>
      </x:c>
      <x:c r="W291" s="85" t="n">
        <x:v>50</x:v>
      </x:c>
      <x:c r="X291" s="85" t="n">
        <x:v>67</x:v>
      </x:c>
      <x:c r="Y291" s="85" t="n">
        <x:v>67</x:v>
      </x:c>
      <x:c r="Z291" s="85" t="n">
        <x:v>77</x:v>
      </x:c>
      <x:c r="AA291" s="85" t="n">
        <x:v>61</x:v>
      </x:c>
      <x:c r="AB291" s="85" t="n">
        <x:v>63</x:v>
      </x:c>
      <x:c r="AC291" s="82" t="n">
        <x:v>0</x:v>
      </x:c>
      <x:c r="AD291" s="82" t="n">
        <x:v>0</x:v>
      </x:c>
      <x:c r="AE291" s="82" t="n">
        <x:v>0</x:v>
      </x:c>
      <x:c r="AF291" s="82" t="n">
        <x:v>0</x:v>
      </x:c>
      <x:c r="AG291" s="91" t="str">
        <x:v>要出走確認</x:v>
      </x:c>
      <x:c r="AH291" s="91" t="str">
        <x:v>1960〜2026完走順位との一致なし。未出走または表記差を要確認</x:v>
      </x:c>
      <x:c r="AI291" s="91" t="str">
        <x:v>https://bikeraceinfo.com/classics/paris-roubaix/paris-roubaix-index.html</x:v>
      </x:c>
      <x:c r="AJ291" s="91" t="str">
        <x:v>能力・適性・Credit整合済</x:v>
      </x:c>
      <x:c r="AK29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1" s="91" t="str">
        <x:v>https://en.wikipedia.org/wiki/Special:Search?search=Magnus%20Sheffield%20cyclist</x:v>
      </x:c>
    </x:row>
    <x:row r="292" ht="24" customHeight="1">
      <x:c r="A292" s="82" t="n">
        <x:v>288</x:v>
      </x:c>
      <x:c r="B292" s="82" t="str">
        <x:v>Christophe Laporte</x:v>
      </x:c>
      <x:c r="C292" s="143" t="str"/>
      <x:c r="D292" s="82" t="str">
        <x:v>フランス</x:v>
      </x:c>
      <x:c r="E292" s="82" t="str">
        <x:v>現役</x:v>
      </x:c>
      <x:c r="F292" s="82" t="str">
        <x:v>スプリンター</x:v>
      </x:c>
      <x:c r="G292" s="82" t="str">
        <x:v>TT・ルーラー型</x:v>
      </x:c>
      <x:c r="H292" s="85" t="n">
        <x:v>61</x:v>
      </x:c>
      <x:c r="I292" s="85" t="n">
        <x:v>74</x:v>
      </x:c>
      <x:c r="J292" s="91" t="str">
        <x:v>リードアウト / 最終発射台 / スプリントトレイン</x:v>
      </x:c>
      <x:c r="K292" s="91" t="str"/>
      <x:c r="L292" s="91" t="str">
        <x:v>最高速 / TT適性</x:v>
      </x:c>
      <x:c r="M292" s="88" t="n">
        <x:v>3150</x:v>
      </x:c>
      <x:c r="N292" s="85" t="n">
        <x:v>77</x:v>
      </x:c>
      <x:c r="O292" s="85" t="n">
        <x:v>73</x:v>
      </x:c>
      <x:c r="P292" s="85" t="n">
        <x:v>62</x:v>
      </x:c>
      <x:c r="Q292" s="85" t="n">
        <x:v>69</x:v>
      </x:c>
      <x:c r="R292" s="85" t="n">
        <x:v>58</x:v>
      </x:c>
      <x:c r="S292" s="85" t="n">
        <x:v>61</x:v>
      </x:c>
      <x:c r="T292" s="85" t="n">
        <x:v>60</x:v>
      </x:c>
      <x:c r="U292" s="85" t="n">
        <x:v>65</x:v>
      </x:c>
      <x:c r="V292" s="85" t="n">
        <x:v>64</x:v>
      </x:c>
      <x:c r="W292" s="85" t="n">
        <x:v>76</x:v>
      </x:c>
      <x:c r="X292" s="85" t="n">
        <x:v>62</x:v>
      </x:c>
      <x:c r="Y292" s="85" t="n">
        <x:v>62</x:v>
      </x:c>
      <x:c r="Z292" s="85" t="n">
        <x:v>66</x:v>
      </x:c>
      <x:c r="AA292" s="85" t="n">
        <x:v>68</x:v>
      </x:c>
      <x:c r="AB292" s="85" t="n">
        <x:v>61</x:v>
      </x:c>
      <x:c r="AC292" s="82" t="n">
        <x:v>5</x:v>
      </x:c>
      <x:c r="AD292" s="82" t="n">
        <x:v>4</x:v>
      </x:c>
      <x:c r="AE292" s="82" t="n">
        <x:v>1</x:v>
      </x:c>
      <x:c r="AF292" s="82" t="n">
        <x:v>0</x:v>
      </x:c>
      <x:c r="AG292" s="91" t="str">
        <x:v>結果照合済</x:v>
      </x:c>
      <x:c r="AH292" s="91" t="str">
        <x:v>最高5位 / 完走4回 / Top10 1回 / 優勝0回</x:v>
      </x:c>
      <x:c r="AI292" s="91" t="str">
        <x:v>https://bikeraceinfo.com/classics/paris-roubaix/pr2026.html</x:v>
      </x:c>
      <x:c r="AJ292" s="91" t="str">
        <x:v>能力・適性・Credit整合済</x:v>
      </x:c>
      <x:c r="AK292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2" s="91" t="str">
        <x:v>https://en.wikipedia.org/wiki/Special:Search?search=Christophe%20Laporte%20cyclist</x:v>
      </x:c>
    </x:row>
    <x:row r="293" ht="24" customHeight="1">
      <x:c r="A293" s="82" t="n">
        <x:v>289</x:v>
      </x:c>
      <x:c r="B293" s="82" t="str">
        <x:v>Marc Soler</x:v>
      </x:c>
      <x:c r="C293" s="143" t="str"/>
      <x:c r="D293" s="82" t="str">
        <x:v>スペイン</x:v>
      </x:c>
      <x:c r="E293" s="82" t="str">
        <x:v>現役</x:v>
      </x:c>
      <x:c r="F293" s="82" t="str">
        <x:v>クライマー</x:v>
      </x:c>
      <x:c r="G293" s="82" t="str">
        <x:v>総合型</x:v>
      </x:c>
      <x:c r="H293" s="85" t="n">
        <x:v>61</x:v>
      </x:c>
      <x:c r="I293" s="85" t="n">
        <x:v>76</x:v>
      </x:c>
      <x:c r="J293" s="91" t="str">
        <x:v>山岳賞ハンター / 山岳アシスト / 集団コントローラー</x:v>
      </x:c>
      <x:c r="K293" s="91" t="str"/>
      <x:c r="L293" s="91" t="str">
        <x:v>山岳耐久 / 総合安定</x:v>
      </x:c>
      <x:c r="M293" s="88" t="n">
        <x:v>3100</x:v>
      </x:c>
      <x:c r="N293" s="85" t="n">
        <x:v>56</x:v>
      </x:c>
      <x:c r="O293" s="85" t="n">
        <x:v>66</x:v>
      </x:c>
      <x:c r="P293" s="85" t="n">
        <x:v>68</x:v>
      </x:c>
      <x:c r="Q293" s="85" t="n">
        <x:v>64</x:v>
      </x:c>
      <x:c r="R293" s="85" t="n">
        <x:v>74</x:v>
      </x:c>
      <x:c r="S293" s="85" t="n">
        <x:v>69</x:v>
      </x:c>
      <x:c r="T293" s="85" t="n">
        <x:v>68</x:v>
      </x:c>
      <x:c r="U293" s="85" t="n">
        <x:v>62</x:v>
      </x:c>
      <x:c r="V293" s="85" t="n">
        <x:v>62</x:v>
      </x:c>
      <x:c r="W293" s="85" t="n">
        <x:v>50</x:v>
      </x:c>
      <x:c r="X293" s="85" t="n">
        <x:v>74</x:v>
      </x:c>
      <x:c r="Y293" s="85" t="n">
        <x:v>74</x:v>
      </x:c>
      <x:c r="Z293" s="85" t="n">
        <x:v>72</x:v>
      </x:c>
      <x:c r="AA293" s="85" t="n">
        <x:v>64</x:v>
      </x:c>
      <x:c r="AB293" s="85" t="n">
        <x:v>69</x:v>
      </x:c>
      <x:c r="AC293" s="82" t="n">
        <x:v>0</x:v>
      </x:c>
      <x:c r="AD293" s="82" t="n">
        <x:v>0</x:v>
      </x:c>
      <x:c r="AE293" s="82" t="n">
        <x:v>0</x:v>
      </x:c>
      <x:c r="AF293" s="82" t="n">
        <x:v>0</x:v>
      </x:c>
      <x:c r="AG293" s="91" t="str">
        <x:v>要出走確認</x:v>
      </x:c>
      <x:c r="AH293" s="91" t="str">
        <x:v>1960〜2026完走順位との一致なし。未出走または表記差を要確認</x:v>
      </x:c>
      <x:c r="AI293" s="91" t="str">
        <x:v>https://bikeraceinfo.com/classics/paris-roubaix/paris-roubaix-index.html</x:v>
      </x:c>
      <x:c r="AJ293" s="91" t="str">
        <x:v>能力・適性・Credit整合済</x:v>
      </x:c>
      <x:c r="AK29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3" s="91" t="str">
        <x:v>https://en.wikipedia.org/wiki/Special:Search?search=Marc%20Soler%20cyclist</x:v>
      </x:c>
    </x:row>
    <x:row r="294" ht="24" customHeight="1">
      <x:c r="A294" s="82" t="n">
        <x:v>290</x:v>
      </x:c>
      <x:c r="B294" s="82" t="str">
        <x:v>Edward Theuns</x:v>
      </x:c>
      <x:c r="C294" s="143" t="str"/>
      <x:c r="D294" s="82" t="str">
        <x:v>ベルギー</x:v>
      </x:c>
      <x:c r="E294" s="82" t="str">
        <x:v>現役</x:v>
      </x:c>
      <x:c r="F294" s="82" t="str">
        <x:v>スプリンター</x:v>
      </x:c>
      <x:c r="G294" s="82" t="str">
        <x:v>TT・ルーラー型</x:v>
      </x:c>
      <x:c r="H294" s="85" t="n">
        <x:v>61</x:v>
      </x:c>
      <x:c r="I294" s="85" t="n">
        <x:v>75</x:v>
      </x:c>
      <x:c r="J294" s="91" t="str">
        <x:v>リードアウト / 最終発射台 / スプリントトレイン</x:v>
      </x:c>
      <x:c r="K294" s="91" t="str"/>
      <x:c r="L294" s="91" t="str">
        <x:v>最高速 / TT適性</x:v>
      </x:c>
      <x:c r="M294" s="88" t="n">
        <x:v>3000</x:v>
      </x:c>
      <x:c r="N294" s="85" t="n">
        <x:v>79</x:v>
      </x:c>
      <x:c r="O294" s="85" t="n">
        <x:v>75</x:v>
      </x:c>
      <x:c r="P294" s="85" t="n">
        <x:v>65</x:v>
      </x:c>
      <x:c r="Q294" s="85" t="n">
        <x:v>70</x:v>
      </x:c>
      <x:c r="R294" s="85" t="n">
        <x:v>58</x:v>
      </x:c>
      <x:c r="S294" s="85" t="n">
        <x:v>62</x:v>
      </x:c>
      <x:c r="T294" s="85" t="n">
        <x:v>62</x:v>
      </x:c>
      <x:c r="U294" s="85" t="n">
        <x:v>65</x:v>
      </x:c>
      <x:c r="V294" s="85" t="n">
        <x:v>66</x:v>
      </x:c>
      <x:c r="W294" s="85" t="n">
        <x:v>70</x:v>
      </x:c>
      <x:c r="X294" s="85" t="n">
        <x:v>64</x:v>
      </x:c>
      <x:c r="Y294" s="85" t="n">
        <x:v>64</x:v>
      </x:c>
      <x:c r="Z294" s="85" t="n">
        <x:v>68</x:v>
      </x:c>
      <x:c r="AA294" s="85" t="n">
        <x:v>70</x:v>
      </x:c>
      <x:c r="AB294" s="85" t="n">
        <x:v>62</x:v>
      </x:c>
      <x:c r="AC294" s="82" t="n">
        <x:v>24</x:v>
      </x:c>
      <x:c r="AD294" s="82" t="n">
        <x:v>5</x:v>
      </x:c>
      <x:c r="AE294" s="82" t="n">
        <x:v>0</x:v>
      </x:c>
      <x:c r="AF294" s="82" t="n">
        <x:v>0</x:v>
      </x:c>
      <x:c r="AG294" s="91" t="str">
        <x:v>結果照合済</x:v>
      </x:c>
      <x:c r="AH294" s="91" t="str">
        <x:v>最高24位 / 完走5回 / Top10 0回 / 優勝0回</x:v>
      </x:c>
      <x:c r="AI294" s="91" t="str">
        <x:v>https://bikeraceinfo.com/classics/paris-roubaix/pr2018.html</x:v>
      </x:c>
      <x:c r="AJ294" s="91" t="str">
        <x:v>能力・適性・Credit整合済</x:v>
      </x:c>
      <x:c r="AK294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4" s="91" t="str">
        <x:v>https://en.wikipedia.org/wiki/Special:Search?search=Edward%20Theuns%20cyclist</x:v>
      </x:c>
    </x:row>
    <x:row r="295" ht="24" customHeight="1">
      <x:c r="A295" s="82" t="n">
        <x:v>291</x:v>
      </x:c>
      <x:c r="B295" s="82" t="str">
        <x:v>Bert Van Lerberghe</x:v>
      </x:c>
      <x:c r="C295" s="143" t="str"/>
      <x:c r="D295" s="82" t="str">
        <x:v>ベルギー</x:v>
      </x:c>
      <x:c r="E295" s="82" t="str">
        <x:v>現役</x:v>
      </x:c>
      <x:c r="F295" s="82" t="str">
        <x:v>スプリンター</x:v>
      </x:c>
      <x:c r="G295" s="82" t="str">
        <x:v>TT・ルーラー型</x:v>
      </x:c>
      <x:c r="H295" s="85" t="n">
        <x:v>61</x:v>
      </x:c>
      <x:c r="I295" s="85" t="n">
        <x:v>75</x:v>
      </x:c>
      <x:c r="J295" s="91" t="str">
        <x:v>リードアウト / 最終発射台 / スプリントトレイン / 集団コントローラー</x:v>
      </x:c>
      <x:c r="K295" s="91" t="str"/>
      <x:c r="L295" s="91" t="str">
        <x:v>最高速 / TT適性</x:v>
      </x:c>
      <x:c r="M295" s="88" t="n">
        <x:v>2950</x:v>
      </x:c>
      <x:c r="N295" s="85" t="n">
        <x:v>78</x:v>
      </x:c>
      <x:c r="O295" s="85" t="n">
        <x:v>74</x:v>
      </x:c>
      <x:c r="P295" s="85" t="n">
        <x:v>65</x:v>
      </x:c>
      <x:c r="Q295" s="85" t="n">
        <x:v>70</x:v>
      </x:c>
      <x:c r="R295" s="85" t="n">
        <x:v>58</x:v>
      </x:c>
      <x:c r="S295" s="85" t="n">
        <x:v>62</x:v>
      </x:c>
      <x:c r="T295" s="85" t="n">
        <x:v>62</x:v>
      </x:c>
      <x:c r="U295" s="85" t="n">
        <x:v>65</x:v>
      </x:c>
      <x:c r="V295" s="85" t="n">
        <x:v>66</x:v>
      </x:c>
      <x:c r="W295" s="85" t="n">
        <x:v>69</x:v>
      </x:c>
      <x:c r="X295" s="85" t="n">
        <x:v>64</x:v>
      </x:c>
      <x:c r="Y295" s="85" t="n">
        <x:v>64</x:v>
      </x:c>
      <x:c r="Z295" s="85" t="n">
        <x:v>68</x:v>
      </x:c>
      <x:c r="AA295" s="85" t="n">
        <x:v>70</x:v>
      </x:c>
      <x:c r="AB295" s="85" t="n">
        <x:v>61</x:v>
      </x:c>
      <x:c r="AC295" s="82" t="n">
        <x:v>34</x:v>
      </x:c>
      <x:c r="AD295" s="82" t="n">
        <x:v>2</x:v>
      </x:c>
      <x:c r="AE295" s="82" t="n">
        <x:v>0</x:v>
      </x:c>
      <x:c r="AF295" s="82" t="n">
        <x:v>0</x:v>
      </x:c>
      <x:c r="AG295" s="91" t="str">
        <x:v>結果照合済</x:v>
      </x:c>
      <x:c r="AH295" s="91" t="str">
        <x:v>最高34位 / 完走2回 / Top10 0回 / 優勝0回</x:v>
      </x:c>
      <x:c r="AI295" s="91" t="str">
        <x:v>https://bikeraceinfo.com/classics/paris-roubaix/pr2026.html</x:v>
      </x:c>
      <x:c r="AJ295" s="91" t="str">
        <x:v>能力・適性・Credit整合済</x:v>
      </x:c>
      <x:c r="AK295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5" s="91" t="str">
        <x:v>https://en.wikipedia.org/wiki/Special:Search?search=Bert%20Van%20Lerberghe%20cyclist</x:v>
      </x:c>
    </x:row>
    <x:row r="296" ht="24" customHeight="1">
      <x:c r="A296" s="82" t="n">
        <x:v>292</x:v>
      </x:c>
      <x:c r="B296" s="82" t="str">
        <x:v>Nikias Arndt</x:v>
      </x:c>
      <x:c r="C296" s="143" t="str"/>
      <x:c r="D296" s="82" t="str">
        <x:v>ドイツ</x:v>
      </x:c>
      <x:c r="E296" s="82" t="str">
        <x:v>現役</x:v>
      </x:c>
      <x:c r="F296" s="82" t="str">
        <x:v>スプリンター</x:v>
      </x:c>
      <x:c r="G296" s="82" t="str">
        <x:v>TT・ルーラー型</x:v>
      </x:c>
      <x:c r="H296" s="85" t="n">
        <x:v>61</x:v>
      </x:c>
      <x:c r="I296" s="85" t="n">
        <x:v>73</x:v>
      </x:c>
      <x:c r="J296" s="91" t="str">
        <x:v>リードアウト / 最終発射台 / スプリントトレイン / 集団コントローラー</x:v>
      </x:c>
      <x:c r="K296" s="91" t="str"/>
      <x:c r="L296" s="91" t="str">
        <x:v>最高速 / TT適性</x:v>
      </x:c>
      <x:c r="M296" s="88" t="n">
        <x:v>2850</x:v>
      </x:c>
      <x:c r="N296" s="85" t="n">
        <x:v>78</x:v>
      </x:c>
      <x:c r="O296" s="85" t="n">
        <x:v>74</x:v>
      </x:c>
      <x:c r="P296" s="85" t="n">
        <x:v>63</x:v>
      </x:c>
      <x:c r="Q296" s="85" t="n">
        <x:v>69</x:v>
      </x:c>
      <x:c r="R296" s="85" t="n">
        <x:v>58</x:v>
      </x:c>
      <x:c r="S296" s="85" t="n">
        <x:v>60</x:v>
      </x:c>
      <x:c r="T296" s="85" t="n">
        <x:v>59</x:v>
      </x:c>
      <x:c r="U296" s="85" t="n">
        <x:v>65</x:v>
      </x:c>
      <x:c r="V296" s="85" t="n">
        <x:v>63</x:v>
      </x:c>
      <x:c r="W296" s="85" t="n">
        <x:v>69</x:v>
      </x:c>
      <x:c r="X296" s="85" t="n">
        <x:v>62</x:v>
      </x:c>
      <x:c r="Y296" s="85" t="n">
        <x:v>62</x:v>
      </x:c>
      <x:c r="Z296" s="85" t="n">
        <x:v>67</x:v>
      </x:c>
      <x:c r="AA296" s="85" t="n">
        <x:v>69</x:v>
      </x:c>
      <x:c r="AB296" s="85" t="n">
        <x:v>59</x:v>
      </x:c>
      <x:c r="AC296" s="82" t="n">
        <x:v>44</x:v>
      </x:c>
      <x:c r="AD296" s="82" t="n">
        <x:v>3</x:v>
      </x:c>
      <x:c r="AE296" s="82" t="n">
        <x:v>0</x:v>
      </x:c>
      <x:c r="AF296" s="82" t="n">
        <x:v>0</x:v>
      </x:c>
      <x:c r="AG296" s="91" t="str">
        <x:v>結果照合済</x:v>
      </x:c>
      <x:c r="AH296" s="91" t="str">
        <x:v>最高44位 / 完走3回 / Top10 0回 / 優勝0回</x:v>
      </x:c>
      <x:c r="AI296" s="91" t="str">
        <x:v>https://bikeraceinfo.com/classics/paris-roubaix/pr2019.html</x:v>
      </x:c>
      <x:c r="AJ296" s="91" t="str">
        <x:v>能力・適性・Credit整合済</x:v>
      </x:c>
      <x:c r="AK296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6" s="91" t="str">
        <x:v>https://en.wikipedia.org/wiki/Special:Search?search=Nikias%20Arndt%20cyclist</x:v>
      </x:c>
    </x:row>
    <x:row r="297" ht="24" customHeight="1">
      <x:c r="A297" s="82" t="n">
        <x:v>293</x:v>
      </x:c>
      <x:c r="B297" s="82" t="str">
        <x:v>Yves Lampaert</x:v>
      </x:c>
      <x:c r="C297" s="143" t="str"/>
      <x:c r="D297" s="82" t="str">
        <x:v>ベルギー</x:v>
      </x:c>
      <x:c r="E297" s="82" t="str">
        <x:v>現役</x:v>
      </x:c>
      <x:c r="F297" s="82" t="str">
        <x:v>TT・ルーラー型</x:v>
      </x:c>
      <x:c r="G297" s="82" t="str">
        <x:v>クラシック型</x:v>
      </x:c>
      <x:c r="H297" s="85" t="n">
        <x:v>60</x:v>
      </x:c>
      <x:c r="I297" s="85" t="n">
        <x:v>78</x:v>
      </x:c>
      <x:c r="J297" s="91" t="str">
        <x:v>平坦アシスト / TT牽引 / 石畳護衛 / 横風要員</x:v>
      </x:c>
      <x:c r="K297" s="91" t="str"/>
      <x:c r="L297" s="91" t="str">
        <x:v>巡航力 / 悪路耐性</x:v>
      </x:c>
      <x:c r="M297" s="88" t="n">
        <x:v>3050</x:v>
      </x:c>
      <x:c r="N297" s="85" t="n">
        <x:v>68</x:v>
      </x:c>
      <x:c r="O297" s="85" t="n">
        <x:v>64</x:v>
      </x:c>
      <x:c r="P297" s="85" t="n">
        <x:v>63</x:v>
      </x:c>
      <x:c r="Q297" s="85" t="n">
        <x:v>77</x:v>
      </x:c>
      <x:c r="R297" s="85" t="n">
        <x:v>68</x:v>
      </x:c>
      <x:c r="S297" s="85" t="n">
        <x:v>69</x:v>
      </x:c>
      <x:c r="T297" s="85" t="n">
        <x:v>69</x:v>
      </x:c>
      <x:c r="U297" s="85" t="n">
        <x:v>72</x:v>
      </x:c>
      <x:c r="V297" s="85" t="n">
        <x:v>66</x:v>
      </x:c>
      <x:c r="W297" s="85" t="n">
        <x:v>76</x:v>
      </x:c>
      <x:c r="X297" s="85" t="n">
        <x:v>65</x:v>
      </x:c>
      <x:c r="Y297" s="85" t="n">
        <x:v>65</x:v>
      </x:c>
      <x:c r="Z297" s="85" t="n">
        <x:v>75</x:v>
      </x:c>
      <x:c r="AA297" s="85" t="n">
        <x:v>62</x:v>
      </x:c>
      <x:c r="AB297" s="85" t="n">
        <x:v>64</x:v>
      </x:c>
      <x:c r="AC297" s="82" t="n">
        <x:v>3</x:v>
      </x:c>
      <x:c r="AD297" s="82" t="n">
        <x:v>5</x:v>
      </x:c>
      <x:c r="AE297" s="82" t="n">
        <x:v>2</x:v>
      </x:c>
      <x:c r="AF297" s="82" t="n">
        <x:v>0</x:v>
      </x:c>
      <x:c r="AG297" s="91" t="str">
        <x:v>結果照合済</x:v>
      </x:c>
      <x:c r="AH297" s="91" t="str">
        <x:v>最高3位 / 完走5回 / Top10 2回 / 優勝0回</x:v>
      </x:c>
      <x:c r="AI297" s="91" t="str">
        <x:v>https://bikeraceinfo.com/classics/paris-roubaix/pr2019.html</x:v>
      </x:c>
      <x:c r="AJ297" s="91" t="str">
        <x:v>能力・適性・Credit整合済</x:v>
      </x:c>
      <x:c r="AK297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7" s="91" t="str">
        <x:v>https://en.wikipedia.org/wiki/Special:Search?search=Yves%20Lampaert%20cyclist</x:v>
      </x:c>
    </x:row>
    <x:row r="298" ht="24" customHeight="1">
      <x:c r="A298" s="82" t="n">
        <x:v>294</x:v>
      </x:c>
      <x:c r="B298" s="82" t="str">
        <x:v>Jan Tratnik</x:v>
      </x:c>
      <x:c r="C298" s="143" t="str"/>
      <x:c r="D298" s="82" t="str">
        <x:v>スロベニア</x:v>
      </x:c>
      <x:c r="E298" s="82" t="str">
        <x:v>現役</x:v>
      </x:c>
      <x:c r="F298" s="82" t="str">
        <x:v>TT・ルーラー型</x:v>
      </x:c>
      <x:c r="G298" s="82" t="str">
        <x:v>総合型</x:v>
      </x:c>
      <x:c r="H298" s="85" t="n">
        <x:v>60</x:v>
      </x:c>
      <x:c r="I298" s="85" t="n">
        <x:v>79</x:v>
      </x:c>
      <x:c r="J298" s="91" t="str">
        <x:v>ロードキャプテン / 平坦アシスト / 平坦ペースメーカー / TT牽引 / 集団コントローラー</x:v>
      </x:c>
      <x:c r="K298" s="91" t="str"/>
      <x:c r="L298" s="91" t="str">
        <x:v>巡航力 / 総合安定 / 逃げ屋</x:v>
      </x:c>
      <x:c r="M298" s="88" t="n">
        <x:v>3050</x:v>
      </x:c>
      <x:c r="N298" s="85" t="n">
        <x:v>64</x:v>
      </x:c>
      <x:c r="O298" s="85" t="n">
        <x:v>61</x:v>
      </x:c>
      <x:c r="P298" s="85" t="n">
        <x:v>64</x:v>
      </x:c>
      <x:c r="Q298" s="85" t="n">
        <x:v>76</x:v>
      </x:c>
      <x:c r="R298" s="85" t="n">
        <x:v>69</x:v>
      </x:c>
      <x:c r="S298" s="85" t="n">
        <x:v>69</x:v>
      </x:c>
      <x:c r="T298" s="85" t="n">
        <x:v>69</x:v>
      </x:c>
      <x:c r="U298" s="85" t="n">
        <x:v>71</x:v>
      </x:c>
      <x:c r="V298" s="85" t="n">
        <x:v>64</x:v>
      </x:c>
      <x:c r="W298" s="85" t="n">
        <x:v>64</x:v>
      </x:c>
      <x:c r="X298" s="85" t="n">
        <x:v>67</x:v>
      </x:c>
      <x:c r="Y298" s="85" t="n">
        <x:v>67</x:v>
      </x:c>
      <x:c r="Z298" s="85" t="n">
        <x:v>77</x:v>
      </x:c>
      <x:c r="AA298" s="85" t="n">
        <x:v>61</x:v>
      </x:c>
      <x:c r="AB298" s="85" t="n">
        <x:v>64</x:v>
      </x:c>
      <x:c r="AC298" s="82" t="n">
        <x:v>87</x:v>
      </x:c>
      <x:c r="AD298" s="82" t="n">
        <x:v>1</x:v>
      </x:c>
      <x:c r="AE298" s="82" t="n">
        <x:v>0</x:v>
      </x:c>
      <x:c r="AF298" s="82" t="n">
        <x:v>0</x:v>
      </x:c>
      <x:c r="AG298" s="91" t="str">
        <x:v>結果照合済</x:v>
      </x:c>
      <x:c r="AH298" s="91" t="str">
        <x:v>最高87位 / 完走1回 / Top10 0回 / 優勝0回</x:v>
      </x:c>
      <x:c r="AI298" s="91" t="str">
        <x:v>https://bikeraceinfo.com/classics/paris-roubaix/pr2019.html</x:v>
      </x:c>
      <x:c r="AJ298" s="91" t="str">
        <x:v>能力・適性・Credit整合済</x:v>
      </x:c>
      <x:c r="AK298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8" s="91" t="str">
        <x:v>https://en.wikipedia.org/wiki/Special:Search?search=Jan%20Tratnik%20cyclist</x:v>
      </x:c>
    </x:row>
    <x:row r="299" ht="24" customHeight="1">
      <x:c r="A299" s="82" t="n">
        <x:v>295</x:v>
      </x:c>
      <x:c r="B299" s="82" t="str">
        <x:v>Mikel Landa</x:v>
      </x:c>
      <x:c r="C299" s="143" t="str"/>
      <x:c r="D299" s="82" t="str">
        <x:v>スペイン</x:v>
      </x:c>
      <x:c r="E299" s="82" t="str">
        <x:v>現役</x:v>
      </x:c>
      <x:c r="F299" s="82" t="str">
        <x:v>クライマー</x:v>
      </x:c>
      <x:c r="G299" s="82" t="str">
        <x:v>総合型</x:v>
      </x:c>
      <x:c r="H299" s="85" t="n">
        <x:v>60</x:v>
      </x:c>
      <x:c r="I299" s="85" t="n">
        <x:v>75</x:v>
      </x:c>
      <x:c r="J299" s="91" t="str">
        <x:v>山岳賞ハンター / 山岳アシスト / 山岳ペースメーカー / 集団コントローラー / サテライトライダー</x:v>
      </x:c>
      <x:c r="K299" s="91" t="str"/>
      <x:c r="L299" s="91" t="str">
        <x:v>山岳耐久 / 総合安定</x:v>
      </x:c>
      <x:c r="M299" s="88" t="n">
        <x:v>2950</x:v>
      </x:c>
      <x:c r="N299" s="85" t="n">
        <x:v>56</x:v>
      </x:c>
      <x:c r="O299" s="85" t="n">
        <x:v>65</x:v>
      </x:c>
      <x:c r="P299" s="85" t="n">
        <x:v>68</x:v>
      </x:c>
      <x:c r="Q299" s="85" t="n">
        <x:v>63</x:v>
      </x:c>
      <x:c r="R299" s="85" t="n">
        <x:v>74</x:v>
      </x:c>
      <x:c r="S299" s="85" t="n">
        <x:v>69</x:v>
      </x:c>
      <x:c r="T299" s="85" t="n">
        <x:v>68</x:v>
      </x:c>
      <x:c r="U299" s="85" t="n">
        <x:v>59</x:v>
      </x:c>
      <x:c r="V299" s="85" t="n">
        <x:v>61</x:v>
      </x:c>
      <x:c r="W299" s="85" t="n">
        <x:v>50</x:v>
      </x:c>
      <x:c r="X299" s="85" t="n">
        <x:v>73</x:v>
      </x:c>
      <x:c r="Y299" s="85" t="n">
        <x:v>74</x:v>
      </x:c>
      <x:c r="Z299" s="85" t="n">
        <x:v>70</x:v>
      </x:c>
      <x:c r="AA299" s="85" t="n">
        <x:v>63</x:v>
      </x:c>
      <x:c r="AB299" s="85" t="n">
        <x:v>68</x:v>
      </x:c>
      <x:c r="AC299" s="82" t="n">
        <x:v>0</x:v>
      </x:c>
      <x:c r="AD299" s="82" t="n">
        <x:v>0</x:v>
      </x:c>
      <x:c r="AE299" s="82" t="n">
        <x:v>0</x:v>
      </x:c>
      <x:c r="AF299" s="82" t="n">
        <x:v>0</x:v>
      </x:c>
      <x:c r="AG299" s="91" t="str">
        <x:v>要出走確認</x:v>
      </x:c>
      <x:c r="AH299" s="91" t="str">
        <x:v>1960〜2026完走順位との一致なし。未出走または表記差を要確認</x:v>
      </x:c>
      <x:c r="AI299" s="91" t="str">
        <x:v>https://bikeraceinfo.com/classics/paris-roubaix/paris-roubaix-index.html</x:v>
      </x:c>
      <x:c r="AJ299" s="91" t="str">
        <x:v>能力・適性・Credit整合済</x:v>
      </x:c>
      <x:c r="AK299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299" s="91" t="str">
        <x:v>https://en.wikipedia.org/wiki/Special:Search?search=Mikel%20Landa%20cyclist</x:v>
      </x:c>
    </x:row>
    <x:row r="300" ht="24" customHeight="1">
      <x:c r="A300" s="82" t="n">
        <x:v>296</x:v>
      </x:c>
      <x:c r="B300" s="82" t="str">
        <x:v>Jasper De Buyst</x:v>
      </x:c>
      <x:c r="C300" s="143" t="str"/>
      <x:c r="D300" s="82" t="str">
        <x:v>ベルギー</x:v>
      </x:c>
      <x:c r="E300" s="82" t="str">
        <x:v>現役</x:v>
      </x:c>
      <x:c r="F300" s="82" t="str">
        <x:v>スプリンター</x:v>
      </x:c>
      <x:c r="G300" s="82" t="str">
        <x:v>TT・ルーラー型</x:v>
      </x:c>
      <x:c r="H300" s="85" t="n">
        <x:v>60</x:v>
      </x:c>
      <x:c r="I300" s="85" t="n">
        <x:v>72</x:v>
      </x:c>
      <x:c r="J300" s="91" t="str">
        <x:v>リードアウト / 最終発射台 / スプリントトレイン / 集団コントローラー</x:v>
      </x:c>
      <x:c r="K300" s="91" t="str"/>
      <x:c r="L300" s="91" t="str">
        <x:v>最高速 / TT適性</x:v>
      </x:c>
      <x:c r="M300" s="88" t="n">
        <x:v>2800</x:v>
      </x:c>
      <x:c r="N300" s="85" t="n">
        <x:v>77</x:v>
      </x:c>
      <x:c r="O300" s="85" t="n">
        <x:v>73</x:v>
      </x:c>
      <x:c r="P300" s="85" t="n">
        <x:v>63</x:v>
      </x:c>
      <x:c r="Q300" s="85" t="n">
        <x:v>69</x:v>
      </x:c>
      <x:c r="R300" s="85" t="n">
        <x:v>58</x:v>
      </x:c>
      <x:c r="S300" s="85" t="n">
        <x:v>57</x:v>
      </x:c>
      <x:c r="T300" s="85" t="n">
        <x:v>57</x:v>
      </x:c>
      <x:c r="U300" s="85" t="n">
        <x:v>64</x:v>
      </x:c>
      <x:c r="V300" s="85" t="n">
        <x:v>60</x:v>
      </x:c>
      <x:c r="W300" s="85" t="n">
        <x:v>50</x:v>
      </x:c>
      <x:c r="X300" s="85" t="n">
        <x:v>60</x:v>
      </x:c>
      <x:c r="Y300" s="85" t="n">
        <x:v>61</x:v>
      </x:c>
      <x:c r="Z300" s="85" t="n">
        <x:v>66</x:v>
      </x:c>
      <x:c r="AA300" s="85" t="n">
        <x:v>69</x:v>
      </x:c>
      <x:c r="AB300" s="85" t="n">
        <x:v>58</x:v>
      </x:c>
      <x:c r="AC300" s="82" t="n">
        <x:v>0</x:v>
      </x:c>
      <x:c r="AD300" s="82" t="n">
        <x:v>0</x:v>
      </x:c>
      <x:c r="AE300" s="82" t="n">
        <x:v>0</x:v>
      </x:c>
      <x:c r="AF300" s="82" t="n">
        <x:v>0</x:v>
      </x:c>
      <x:c r="AG300" s="91" t="str">
        <x:v>要出走確認</x:v>
      </x:c>
      <x:c r="AH300" s="91" t="str">
        <x:v>1960〜2026完走順位との一致なし。未出走または表記差を要確認</x:v>
      </x:c>
      <x:c r="AI300" s="91" t="str">
        <x:v>https://bikeraceinfo.com/classics/paris-roubaix/paris-roubaix-index.html</x:v>
      </x:c>
      <x:c r="AJ300" s="91" t="str">
        <x:v>能力・適性・Credit整合済</x:v>
      </x:c>
      <x:c r="AK300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00" s="91" t="str">
        <x:v>https://en.wikipedia.org/wiki/Special:Search?search=Jasper%20De%20Buyst%20cyclist</x:v>
      </x:c>
    </x:row>
    <x:row r="301" ht="24" customHeight="1">
      <x:c r="A301" s="82" t="n">
        <x:v>297</x:v>
      </x:c>
      <x:c r="B301" s="82" t="str">
        <x:v>Mikkel Bjerg</x:v>
      </x:c>
      <x:c r="C301" s="143" t="str"/>
      <x:c r="D301" s="82" t="str">
        <x:v>デンマーク</x:v>
      </x:c>
      <x:c r="E301" s="82" t="str">
        <x:v>現役</x:v>
      </x:c>
      <x:c r="F301" s="82" t="str">
        <x:v>TT・ルーラー型</x:v>
      </x:c>
      <x:c r="G301" s="82" t="str">
        <x:v>クラシック型</x:v>
      </x:c>
      <x:c r="H301" s="85" t="n">
        <x:v>59</x:v>
      </x:c>
      <x:c r="I301" s="85" t="n">
        <x:v>77</x:v>
      </x:c>
      <x:c r="J301" s="91" t="str">
        <x:v>平坦アシスト / TT牽引 / 集団コントローラー / 横風分断</x:v>
      </x:c>
      <x:c r="K301" s="91" t="str"/>
      <x:c r="L301" s="91" t="str">
        <x:v>巡航力 / 悪路耐性</x:v>
      </x:c>
      <x:c r="M301" s="88" t="n">
        <x:v>2850</x:v>
      </x:c>
      <x:c r="N301" s="85" t="n">
        <x:v>68</x:v>
      </x:c>
      <x:c r="O301" s="85" t="n">
        <x:v>62</x:v>
      </x:c>
      <x:c r="P301" s="85" t="n">
        <x:v>62</x:v>
      </x:c>
      <x:c r="Q301" s="85" t="n">
        <x:v>76</x:v>
      </x:c>
      <x:c r="R301" s="85" t="n">
        <x:v>67</x:v>
      </x:c>
      <x:c r="S301" s="85" t="n">
        <x:v>68</x:v>
      </x:c>
      <x:c r="T301" s="85" t="n">
        <x:v>68</x:v>
      </x:c>
      <x:c r="U301" s="85" t="n">
        <x:v>70</x:v>
      </x:c>
      <x:c r="V301" s="85" t="n">
        <x:v>65</x:v>
      </x:c>
      <x:c r="W301" s="85" t="n">
        <x:v>50</x:v>
      </x:c>
      <x:c r="X301" s="85" t="n">
        <x:v>64</x:v>
      </x:c>
      <x:c r="Y301" s="85" t="n">
        <x:v>64</x:v>
      </x:c>
      <x:c r="Z301" s="85" t="n">
        <x:v>74</x:v>
      </x:c>
      <x:c r="AA301" s="85" t="n">
        <x:v>60</x:v>
      </x:c>
      <x:c r="AB301" s="85" t="n">
        <x:v>62</x:v>
      </x:c>
      <x:c r="AC301" s="82" t="n">
        <x:v>0</x:v>
      </x:c>
      <x:c r="AD301" s="82" t="n">
        <x:v>0</x:v>
      </x:c>
      <x:c r="AE301" s="82" t="n">
        <x:v>0</x:v>
      </x:c>
      <x:c r="AF301" s="82" t="n">
        <x:v>0</x:v>
      </x:c>
      <x:c r="AG301" s="91" t="str">
        <x:v>要出走確認</x:v>
      </x:c>
      <x:c r="AH301" s="91" t="str">
        <x:v>1960〜2026完走順位との一致なし。未出走または表記差を要確認</x:v>
      </x:c>
      <x:c r="AI301" s="91" t="str">
        <x:v>https://bikeraceinfo.com/classics/paris-roubaix/paris-roubaix-index.html</x:v>
      </x:c>
      <x:c r="AJ301" s="91" t="str">
        <x:v>能力・適性・Credit整合済</x:v>
      </x:c>
      <x:c r="AK301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01" s="91" t="str">
        <x:v>https://en.wikipedia.org/wiki/Special:Search?search=Mikkel%20Bjerg%20cyclist</x:v>
      </x:c>
    </x:row>
    <x:row r="302" ht="24" customHeight="1">
      <x:c r="A302" s="82" t="n">
        <x:v>298</x:v>
      </x:c>
      <x:c r="B302" s="82" t="str">
        <x:v>Luke Durbridge</x:v>
      </x:c>
      <x:c r="C302" s="143" t="str"/>
      <x:c r="D302" s="82" t="str">
        <x:v>オーストラリア</x:v>
      </x:c>
      <x:c r="E302" s="82" t="str">
        <x:v>現役</x:v>
      </x:c>
      <x:c r="F302" s="82" t="str">
        <x:v>TT・ルーラー型</x:v>
      </x:c>
      <x:c r="G302" s="82" t="str">
        <x:v>クラシック型</x:v>
      </x:c>
      <x:c r="H302" s="85" t="n">
        <x:v>58</x:v>
      </x:c>
      <x:c r="I302" s="85" t="n">
        <x:v>79</x:v>
      </x:c>
      <x:c r="J302" s="91" t="str">
        <x:v>平坦アシスト / 平坦ペースメーカー / TT牽引 / 集団コントローラー / トラブル復帰牽引</x:v>
      </x:c>
      <x:c r="K302" s="91" t="str"/>
      <x:c r="L302" s="91" t="str">
        <x:v>巡航力 / 悪路耐性</x:v>
      </x:c>
      <x:c r="M302" s="88" t="n">
        <x:v>2900</x:v>
      </x:c>
      <x:c r="N302" s="85" t="n">
        <x:v>68</x:v>
      </x:c>
      <x:c r="O302" s="85" t="n">
        <x:v>63</x:v>
      </x:c>
      <x:c r="P302" s="85" t="n">
        <x:v>63</x:v>
      </x:c>
      <x:c r="Q302" s="85" t="n">
        <x:v>77</x:v>
      </x:c>
      <x:c r="R302" s="85" t="n">
        <x:v>67</x:v>
      </x:c>
      <x:c r="S302" s="85" t="n">
        <x:v>68</x:v>
      </x:c>
      <x:c r="T302" s="85" t="n">
        <x:v>69</x:v>
      </x:c>
      <x:c r="U302" s="85" t="n">
        <x:v>71</x:v>
      </x:c>
      <x:c r="V302" s="85" t="n">
        <x:v>66</x:v>
      </x:c>
      <x:c r="W302" s="85" t="n">
        <x:v>64</x:v>
      </x:c>
      <x:c r="X302" s="85" t="n">
        <x:v>65</x:v>
      </x:c>
      <x:c r="Y302" s="85" t="n">
        <x:v>65</x:v>
      </x:c>
      <x:c r="Z302" s="85" t="n">
        <x:v>78</x:v>
      </x:c>
      <x:c r="AA302" s="85" t="n">
        <x:v>62</x:v>
      </x:c>
      <x:c r="AB302" s="85" t="n">
        <x:v>63</x:v>
      </x:c>
      <x:c r="AC302" s="82" t="n">
        <x:v>59</x:v>
      </x:c>
      <x:c r="AD302" s="82" t="n">
        <x:v>4</x:v>
      </x:c>
      <x:c r="AE302" s="82" t="n">
        <x:v>0</x:v>
      </x:c>
      <x:c r="AF302" s="82" t="n">
        <x:v>0</x:v>
      </x:c>
      <x:c r="AG302" s="91" t="str">
        <x:v>結果照合済</x:v>
      </x:c>
      <x:c r="AH302" s="91" t="str">
        <x:v>最高59位 / 完走4回 / Top10 0回 / 優勝0回</x:v>
      </x:c>
      <x:c r="AI302" s="91" t="str">
        <x:v>https://bikeraceinfo.com/classics/paris-roubaix/pr2018.html</x:v>
      </x:c>
      <x:c r="AJ302" s="91" t="str">
        <x:v>能力・適性・Credit整合済</x:v>
      </x:c>
      <x:c r="AK302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02" s="91" t="str">
        <x:v>https://en.wikipedia.org/wiki/Special:Search?search=Luke%20Durbridge%20cyclist</x:v>
      </x:c>
    </x:row>
    <x:row r="303" ht="24" customHeight="1">
      <x:c r="A303" s="82" t="n">
        <x:v>299</x:v>
      </x:c>
      <x:c r="B303" s="82" t="str">
        <x:v>Vegard Stake Laengen</x:v>
      </x:c>
      <x:c r="C303" s="143" t="str"/>
      <x:c r="D303" s="82" t="str">
        <x:v>ノルウェー</x:v>
      </x:c>
      <x:c r="E303" s="82" t="str">
        <x:v>現役</x:v>
      </x:c>
      <x:c r="F303" s="82" t="str">
        <x:v>TT・ルーラー型</x:v>
      </x:c>
      <x:c r="G303" s="82" t="str">
        <x:v>クラシック型</x:v>
      </x:c>
      <x:c r="H303" s="85" t="n">
        <x:v>58</x:v>
      </x:c>
      <x:c r="I303" s="85" t="n">
        <x:v>78</x:v>
      </x:c>
      <x:c r="J303" s="91" t="str">
        <x:v>平坦アシスト / TT牽引 / 集団コントローラー / トラブル復帰牽引</x:v>
      </x:c>
      <x:c r="K303" s="91" t="str"/>
      <x:c r="L303" s="91" t="str">
        <x:v>巡航力 / 悪路耐性</x:v>
      </x:c>
      <x:c r="M303" s="88" t="n">
        <x:v>2850</x:v>
      </x:c>
      <x:c r="N303" s="85" t="n">
        <x:v>68</x:v>
      </x:c>
      <x:c r="O303" s="85" t="n">
        <x:v>63</x:v>
      </x:c>
      <x:c r="P303" s="85" t="n">
        <x:v>62</x:v>
      </x:c>
      <x:c r="Q303" s="85" t="n">
        <x:v>76</x:v>
      </x:c>
      <x:c r="R303" s="85" t="n">
        <x:v>67</x:v>
      </x:c>
      <x:c r="S303" s="85" t="n">
        <x:v>68</x:v>
      </x:c>
      <x:c r="T303" s="85" t="n">
        <x:v>69</x:v>
      </x:c>
      <x:c r="U303" s="85" t="n">
        <x:v>71</x:v>
      </x:c>
      <x:c r="V303" s="85" t="n">
        <x:v>65</x:v>
      </x:c>
      <x:c r="W303" s="85" t="n">
        <x:v>50</x:v>
      </x:c>
      <x:c r="X303" s="85" t="n">
        <x:v>64</x:v>
      </x:c>
      <x:c r="Y303" s="85" t="n">
        <x:v>64</x:v>
      </x:c>
      <x:c r="Z303" s="85" t="n">
        <x:v>76</x:v>
      </x:c>
      <x:c r="AA303" s="85" t="n">
        <x:v>60</x:v>
      </x:c>
      <x:c r="AB303" s="85" t="n">
        <x:v>62</x:v>
      </x:c>
      <x:c r="AC303" s="82" t="n">
        <x:v>0</x:v>
      </x:c>
      <x:c r="AD303" s="82" t="n">
        <x:v>0</x:v>
      </x:c>
      <x:c r="AE303" s="82" t="n">
        <x:v>0</x:v>
      </x:c>
      <x:c r="AF303" s="82" t="n">
        <x:v>0</x:v>
      </x:c>
      <x:c r="AG303" s="91" t="str">
        <x:v>要出走確認</x:v>
      </x:c>
      <x:c r="AH303" s="91" t="str">
        <x:v>1960〜2026完走順位との一致なし。未出走または表記差を要確認</x:v>
      </x:c>
      <x:c r="AI303" s="91" t="str">
        <x:v>https://bikeraceinfo.com/classics/paris-roubaix/paris-roubaix-index.html</x:v>
      </x:c>
      <x:c r="AJ303" s="91" t="str">
        <x:v>能力・適性・Credit整合済</x:v>
      </x:c>
      <x:c r="AK303" s="91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03" s="91" t="str">
        <x:v>https://en.wikipedia.org/wiki/Special:Search?search=Vegard%20Stake%20Laengen%20cyclist</x:v>
      </x:c>
    </x:row>
    <x:row r="304" ht="24" customHeight="1">
      <x:c r="A304" s="83" t="n">
        <x:v>300</x:v>
      </x:c>
      <x:c r="B304" s="83" t="str">
        <x:v>Kasper Asgreen</x:v>
      </x:c>
      <x:c r="C304" s="143" t="str"/>
      <x:c r="D304" s="83" t="str">
        <x:v>デンマーク</x:v>
      </x:c>
      <x:c r="E304" s="83" t="str">
        <x:v>現役</x:v>
      </x:c>
      <x:c r="F304" s="83" t="str">
        <x:v>TT・ルーラー型</x:v>
      </x:c>
      <x:c r="G304" s="83" t="str">
        <x:v>クラシック型</x:v>
      </x:c>
      <x:c r="H304" s="86" t="n">
        <x:v>57</x:v>
      </x:c>
      <x:c r="I304" s="86" t="n">
        <x:v>79</x:v>
      </x:c>
      <x:c r="J304" s="92" t="str">
        <x:v>平坦アシスト / TT牽引 / ブレイクアウェイキラー / トラブル復帰牽引</x:v>
      </x:c>
      <x:c r="K304" s="92" t="str"/>
      <x:c r="L304" s="92" t="str">
        <x:v>巡航力 / 悪路耐性</x:v>
      </x:c>
      <x:c r="M304" s="89" t="n">
        <x:v>2850</x:v>
      </x:c>
      <x:c r="N304" s="86" t="n">
        <x:v>68</x:v>
      </x:c>
      <x:c r="O304" s="86" t="n">
        <x:v>63</x:v>
      </x:c>
      <x:c r="P304" s="86" t="n">
        <x:v>64</x:v>
      </x:c>
      <x:c r="Q304" s="86" t="n">
        <x:v>76</x:v>
      </x:c>
      <x:c r="R304" s="86" t="n">
        <x:v>67</x:v>
      </x:c>
      <x:c r="S304" s="86" t="n">
        <x:v>69</x:v>
      </x:c>
      <x:c r="T304" s="86" t="n">
        <x:v>69</x:v>
      </x:c>
      <x:c r="U304" s="86" t="n">
        <x:v>71</x:v>
      </x:c>
      <x:c r="V304" s="86" t="n">
        <x:v>66</x:v>
      </x:c>
      <x:c r="W304" s="86" t="n">
        <x:v>76</x:v>
      </x:c>
      <x:c r="X304" s="86" t="n">
        <x:v>64</x:v>
      </x:c>
      <x:c r="Y304" s="86" t="n">
        <x:v>64</x:v>
      </x:c>
      <x:c r="Z304" s="86" t="n">
        <x:v>77</x:v>
      </x:c>
      <x:c r="AA304" s="86" t="n">
        <x:v>61</x:v>
      </x:c>
      <x:c r="AB304" s="86" t="n">
        <x:v>62</x:v>
      </x:c>
      <x:c r="AC304" s="83" t="n">
        <x:v>28</x:v>
      </x:c>
      <x:c r="AD304" s="83" t="n">
        <x:v>2</x:v>
      </x:c>
      <x:c r="AE304" s="83" t="n">
        <x:v>0</x:v>
      </x:c>
      <x:c r="AF304" s="83" t="n">
        <x:v>0</x:v>
      </x:c>
      <x:c r="AG304" s="92" t="str">
        <x:v>結果照合済</x:v>
      </x:c>
      <x:c r="AH304" s="92" t="str">
        <x:v>最高28位 / 完走2回 / Top10 0回 / 優勝0回 / ロンド優勝1回・加点+1・最低保証76</x:v>
      </x:c>
      <x:c r="AI304" s="92" t="str">
        <x:v>https://www.rondevanvlaanderen.be/en/race/men-elite/history</x:v>
      </x:c>
      <x:c r="AJ304" s="92" t="str">
        <x:v>能力・適性・Credit整合済</x:v>
      </x:c>
      <x:c r="AK304" s="92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L304" s="92" t="str">
        <x:v>https://en.wikipedia.org/wiki/Special:Search?search=Kasper%20Asgreen%20cyclist</x:v>
      </x:c>
    </x:row>
  </x:sheetData>
  <x:mergeCells>
    <x:mergeCell ref="A1:AL1"/>
    <x:mergeCell ref="A2:AL2"/>
  </x:mergeCells>
  <x:conditionalFormatting sqref="N5:AB304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W5:W304">
    <x:cfRule type="colorScale" priority="2">
      <x:colorScale>
        <x:cfvo type="min"/>
        <x:cfvo type="percentile" val="50"/>
        <x:cfvo type="max"/>
        <x:color rgb="FFECEFF1"/>
        <x:color rgb="FFF7D774"/>
        <x:color rgb="FFC58B20"/>
      </x:colorScale>
    </x:cfRule>
  </x:conditionalFormatting>
  <x:conditionalFormatting sqref="AG5:AG304">
    <x:cfRule type="containsText" dxfId="1" priority="3" operator="containsText" text="要出走確認"/>
  </x:conditionalFormatting>
  <x:pageMargins left="0.7" right="0.7" top="0.75" bottom="0.75" header="0.3" footer="0.3"/>
  <x:tableParts count="1">
    <x:tablePart xmlns:r="http://schemas.openxmlformats.org/officeDocument/2006/relationships" r:id="Rf7077ec4381241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6" hidden="0" customWidth="1"/>
    <x:col min="4" max="4" width="24" hidden="0" customWidth="1"/>
    <x:col min="5" max="5" width="13" hidden="0" customWidth="1"/>
    <x:col min="6" max="6" width="18" hidden="0" customWidth="1"/>
    <x:col min="7" max="7" width="18" hidden="0" customWidth="1"/>
    <x:col min="8" max="8" width="70" hidden="0" customWidth="1"/>
  </x:cols>
  <x:sheetData>
    <x:row r="1" ht="34" customHeight="1">
      <x:c r="A1" s="106" t="str">
        <x:v>ゲーム内二つ名 — Credit上位・著名実績選手</x:v>
      </x:c>
      <x:c r="B1" s="106"/>
      <x:c r="C1" s="106"/>
      <x:c r="D1" s="106"/>
      <x:c r="E1" s="106"/>
      <x:c r="F1" s="106"/>
      <x:c r="G1" s="106"/>
      <x:c r="H1" s="106"/>
    </x:row>
    <x:row r="2" ht="34" customHeight="1">
      <x:c r="A2" s="109" t="str">
        <x:v>Credit 10,000以上、または世界選手権ロード／個人TT・パリ〜ルーベ優勝者。史実の正式異名ではなくゲーム内演出名です。</x:v>
      </x:c>
      <x:c r="B2" s="109"/>
      <x:c r="C2" s="109"/>
      <x:c r="D2" s="109"/>
      <x:c r="E2" s="109"/>
      <x:c r="F2" s="109"/>
      <x:c r="G2" s="109"/>
      <x:c r="H2" s="109"/>
    </x:row>
    <x:row r="3" ht="36" customHeight="1"/>
    <x:row r="4" ht="42" customHeight="1">
      <x:c r="A4" s="116" t="str">
        <x:v>No.</x:v>
      </x:c>
      <x:c r="B4" s="120" t="str">
        <x:v>実在選手名</x:v>
      </x:c>
      <x:c r="C4" s="120" t="str">
        <x:v>二つ名</x:v>
      </x:c>
      <x:c r="D4" s="120" t="str">
        <x:v>付与区分</x:v>
      </x:c>
      <x:c r="E4" s="120" t="str">
        <x:v>Credit</x:v>
      </x:c>
      <x:c r="F4" s="120" t="str">
        <x:v>主脚質</x:v>
      </x:c>
      <x:c r="G4" s="120" t="str">
        <x:v>副脚質</x:v>
      </x:c>
      <x:c r="H4" s="117" t="str">
        <x:v>命名根拠</x:v>
      </x:c>
    </x:row>
    <x:row r="5" ht="36" customHeight="1">
      <x:c r="A5" s="81" t="n">
        <x:v>1</x:v>
      </x:c>
      <x:c r="B5" s="81" t="str">
        <x:v>Tadej Pogacar</x:v>
      </x:c>
      <x:c r="C5" s="142" t="str">
        <x:v>新時代の皇帝</x:v>
      </x:c>
      <x:c r="D5" s="90" t="str">
        <x:v>Credit 10,000以上</x:v>
      </x:c>
      <x:c r="E5" s="145" t="n">
        <x:v>20000</x:v>
      </x:c>
      <x:c r="F5" s="90" t="str">
        <x:v>総合型</x:v>
      </x:c>
      <x:c r="G5" s="90" t="str">
        <x:v>パンチャー</x:v>
      </x:c>
      <x:c r="H5" s="90" t="str">
        <x:v>Credit 20,000／総合型／パンチャー／世界ロード金2</x:v>
      </x:c>
    </x:row>
    <x:row r="6" ht="36" customHeight="1">
      <x:c r="A6" s="82" t="n">
        <x:v>2</x:v>
      </x:c>
      <x:c r="B6" s="82" t="str">
        <x:v>Mathieu van der Poel</x:v>
      </x:c>
      <x:c r="C6" s="143" t="str">
        <x:v>虹色の暴君</x:v>
      </x:c>
      <x:c r="D6" s="91" t="str">
        <x:v>Credit 10,000以上</x:v>
      </x:c>
      <x:c r="E6" s="146" t="n">
        <x:v>13000</x:v>
      </x:c>
      <x:c r="F6" s="91" t="str">
        <x:v>クラシック型</x:v>
      </x:c>
      <x:c r="G6" s="91" t="str">
        <x:v>パンチャー</x:v>
      </x:c>
      <x:c r="H6" s="91" t="str">
        <x:v>Credit 13,000／クラシック型／パンチャー／世界ロード金1／パリ〜ルーベ優勝3</x:v>
      </x:c>
    </x:row>
    <x:row r="7" ht="36" customHeight="1">
      <x:c r="A7" s="82" t="n">
        <x:v>5</x:v>
      </x:c>
      <x:c r="B7" s="82" t="str">
        <x:v>Jonas Vingegaard</x:v>
      </x:c>
      <x:c r="C7" s="143" t="str">
        <x:v>北海の山岳王</x:v>
      </x:c>
      <x:c r="D7" s="91" t="str">
        <x:v>Credit 10,000以上</x:v>
      </x:c>
      <x:c r="E7" s="146" t="n">
        <x:v>13000</x:v>
      </x:c>
      <x:c r="F7" s="91" t="str">
        <x:v>総合型</x:v>
      </x:c>
      <x:c r="G7" s="91" t="str">
        <x:v>クライマー</x:v>
      </x:c>
      <x:c r="H7" s="91" t="str">
        <x:v>Credit 12,000／総合型／クライマー</x:v>
      </x:c>
    </x:row>
    <x:row r="8" ht="36" customHeight="1">
      <x:c r="A8" s="82" t="n">
        <x:v>6</x:v>
      </x:c>
      <x:c r="B8" s="82" t="str">
        <x:v>Wout van Aert</x:v>
      </x:c>
      <x:c r="C8" s="143" t="str">
        <x:v>万能の銀弾</x:v>
      </x:c>
      <x:c r="D8" s="91" t="str">
        <x:v>著名実績枠</x:v>
      </x:c>
      <x:c r="E8" s="146" t="n">
        <x:v>12500</x:v>
      </x:c>
      <x:c r="F8" s="91" t="str">
        <x:v>クラシック型</x:v>
      </x:c>
      <x:c r="G8" s="91" t="str">
        <x:v>パンチャー</x:v>
      </x:c>
      <x:c r="H8" s="91" t="str">
        <x:v>Credit 9,800／クラシック型／パンチャー／パリ〜ルーベ優勝1</x:v>
      </x:c>
    </x:row>
    <x:row r="9" ht="36" customHeight="1">
      <x:c r="A9" s="82" t="n">
        <x:v>7</x:v>
      </x:c>
      <x:c r="B9" s="82" t="str">
        <x:v>Remco Evenepoel</x:v>
      </x:c>
      <x:c r="C9" s="143" t="str">
        <x:v>弾丸の天才</x:v>
      </x:c>
      <x:c r="D9" s="91" t="str">
        <x:v>著名実績枠</x:v>
      </x:c>
      <x:c r="E9" s="146" t="n">
        <x:v>12500</x:v>
      </x:c>
      <x:c r="F9" s="91" t="str">
        <x:v>総合型</x:v>
      </x:c>
      <x:c r="G9" s="91" t="str">
        <x:v>TT・ルーラー型</x:v>
      </x:c>
      <x:c r="H9" s="91" t="str">
        <x:v>Credit 9,800／総合型／TT・ルーラー型／世界ロード金1／世界ITT金3</x:v>
      </x:c>
    </x:row>
    <x:row r="10" ht="36" customHeight="1">
      <x:c r="A10" s="82" t="n">
        <x:v>8</x:v>
      </x:c>
      <x:c r="B10" s="82" t="str">
        <x:v>Primoz Roglic</x:v>
      </x:c>
      <x:c r="C10" s="143" t="str">
        <x:v>不屈の跳躍者</x:v>
      </x:c>
      <x:c r="D10" s="91" t="str">
        <x:v>Credit 10,000以上</x:v>
      </x:c>
      <x:c r="E10" s="146" t="n">
        <x:v>10550</x:v>
      </x:c>
      <x:c r="F10" s="91" t="str">
        <x:v>総合型</x:v>
      </x:c>
      <x:c r="G10" s="91" t="str">
        <x:v>パンチャー</x:v>
      </x:c>
      <x:c r="H10" s="91" t="str">
        <x:v>Credit 12,500／総合型／パンチャー</x:v>
      </x:c>
    </x:row>
    <x:row r="11" ht="36" customHeight="1">
      <x:c r="A11" s="82" t="n">
        <x:v>9</x:v>
      </x:c>
      <x:c r="B11" s="82" t="str">
        <x:v>Julian Alaphilippe</x:v>
      </x:c>
      <x:c r="C11" s="143" t="str">
        <x:v>虹色の踊り子</x:v>
      </x:c>
      <x:c r="D11" s="91" t="str">
        <x:v>著名実績枠</x:v>
      </x:c>
      <x:c r="E11" s="146" t="n">
        <x:v>10000</x:v>
      </x:c>
      <x:c r="F11" s="91" t="str">
        <x:v>パンチャー</x:v>
      </x:c>
      <x:c r="G11" s="91" t="str">
        <x:v>クライマー</x:v>
      </x:c>
      <x:c r="H11" s="91" t="str">
        <x:v>Credit 8,200／パンチャー／クライマー／世界ロード金2</x:v>
      </x:c>
    </x:row>
    <x:row r="12" ht="36" customHeight="1">
      <x:c r="A12" s="82" t="n">
        <x:v>11</x:v>
      </x:c>
      <x:c r="B12" s="82" t="str">
        <x:v>Filippo Ganna</x:v>
      </x:c>
      <x:c r="C12" s="143" t="str">
        <x:v>蒼きトップギア</x:v>
      </x:c>
      <x:c r="D12" s="91" t="str">
        <x:v>著名実績枠</x:v>
      </x:c>
      <x:c r="E12" s="146" t="n">
        <x:v>10650</x:v>
      </x:c>
      <x:c r="F12" s="91" t="str">
        <x:v>TT・ルーラー型</x:v>
      </x:c>
      <x:c r="G12" s="91" t="str">
        <x:v>クラシック型</x:v>
      </x:c>
      <x:c r="H12" s="91" t="str">
        <x:v>Credit 8,500／TT・ルーラー型／クラシック型／世界ITT金2</x:v>
      </x:c>
    </x:row>
    <x:row r="13" ht="36" customHeight="1">
      <x:c r="A13" s="82" t="n">
        <x:v>12</x:v>
      </x:c>
      <x:c r="B13" s="82" t="str">
        <x:v>Egan Bernal</x:v>
      </x:c>
      <x:c r="C13" s="143" t="str">
        <x:v>アンデスの若き王</x:v>
      </x:c>
      <x:c r="D13" s="91" t="str">
        <x:v>Credit 10,000以上</x:v>
      </x:c>
      <x:c r="E13" s="146" t="n">
        <x:v>9350</x:v>
      </x:c>
      <x:c r="F13" s="91" t="str">
        <x:v>総合型</x:v>
      </x:c>
      <x:c r="G13" s="91" t="str">
        <x:v>クライマー</x:v>
      </x:c>
      <x:c r="H13" s="91" t="str">
        <x:v>Credit 10,800／総合型／クライマー</x:v>
      </x:c>
    </x:row>
    <x:row r="14" ht="36" customHeight="1">
      <x:c r="A14" s="82" t="n">
        <x:v>52</x:v>
      </x:c>
      <x:c r="B14" s="82" t="str">
        <x:v>John Degenkolb</x:v>
      </x:c>
      <x:c r="C14" s="143" t="str">
        <x:v>石畳の重戦車</x:v>
      </x:c>
      <x:c r="D14" s="91" t="str">
        <x:v>Credit 10,000以上</x:v>
      </x:c>
      <x:c r="E14" s="146" t="n">
        <x:v>9450</x:v>
      </x:c>
      <x:c r="F14" s="91" t="str">
        <x:v>クラシック型</x:v>
      </x:c>
      <x:c r="G14" s="91" t="str">
        <x:v>パンチャー</x:v>
      </x:c>
      <x:c r="H14" s="91" t="str">
        <x:v>Credit 10,000／クラシック型／パンチャー／パリ〜ルーベ優勝1</x:v>
      </x:c>
    </x:row>
    <x:row r="15" ht="36" customHeight="1">
      <x:c r="A15" s="82" t="n">
        <x:v>68</x:v>
      </x:c>
      <x:c r="B15" s="82" t="str">
        <x:v>Nairo Quintana</x:v>
      </x:c>
      <x:c r="C15" s="143" t="str">
        <x:v>アンデスの鷹</x:v>
      </x:c>
      <x:c r="D15" s="91" t="str">
        <x:v>Credit 10,000以上</x:v>
      </x:c>
      <x:c r="E15" s="146" t="n">
        <x:v>6950</x:v>
      </x:c>
      <x:c r="F15" s="91" t="str">
        <x:v>クライマー</x:v>
      </x:c>
      <x:c r="G15" s="91" t="str">
        <x:v>パンチャー</x:v>
      </x:c>
      <x:c r="H15" s="91" t="str">
        <x:v>Credit 10,800／クライマー／パンチャー</x:v>
      </x:c>
    </x:row>
    <x:row r="16" ht="36" customHeight="1">
      <x:c r="A16" s="83" t="n">
        <x:v>264</x:v>
      </x:c>
      <x:c r="B16" s="83" t="str">
        <x:v>Tobias Foss</x:v>
      </x:c>
      <x:c r="C16" s="143" t="str">
        <x:v>北欧のクロノ王</x:v>
      </x:c>
      <x:c r="D16" s="92" t="str">
        <x:v>著名実績枠</x:v>
      </x:c>
      <x:c r="E16" s="147" t="n">
        <x:v>4950</x:v>
      </x:c>
      <x:c r="F16" s="92" t="str">
        <x:v>TT・ルーラー型</x:v>
      </x:c>
      <x:c r="G16" s="92" t="str">
        <x:v>総合型</x:v>
      </x:c>
      <x:c r="H16" s="92" t="str">
        <x:v>Credit 5,600／TT・ルーラー型／総合型／世界ITT金1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c4db6ca1e87409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10" hidden="0" customWidth="1"/>
    <x:col min="4" max="4" width="12" hidden="0" customWidth="1"/>
    <x:col min="5" max="5" width="9" hidden="0" customWidth="1"/>
    <x:col min="6" max="6" width="10" hidden="0" customWidth="1"/>
    <x:col min="7" max="7" width="9" hidden="0" customWidth="1"/>
    <x:col min="8" max="8" width="12" hidden="0" customWidth="1"/>
    <x:col min="9" max="9" width="16" hidden="0" customWidth="1"/>
    <x:col min="10" max="10" width="52" hidden="0" customWidth="1"/>
    <x:col min="11" max="11" width="54" hidden="0" customWidth="1"/>
    <x:col min="12" max="12" width="54" hidden="0" customWidth="1"/>
    <x:col min="13" max="13" width="14" hidden="0" customWidth="1"/>
  </x:cols>
  <x:sheetData>
    <x:row r="1" ht="34" customHeight="1">
      <x:c r="A1" s="106" t="str">
        <x:v>パヴェ能力 — パリ〜ルーベ＋ロンド成績根拠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</x:row>
    <x:row r="2" ht="34" customHeight="1">
      <x:c r="A2" s="109" t="str">
        <x:v>パリ〜ルーベ基準値にロンド優勝1勝+1・2勝+2・3勝以上+3を加点し、最低保証76・78・80も適用。300名全員を同じ式で再計算します。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</x:row>
    <x:row r="3" ht="24" customHeight="1"/>
    <x:row r="4" ht="38" customHeight="1">
      <x:c r="A4" s="116" t="str">
        <x:v>No.</x:v>
      </x:c>
      <x:c r="B4" s="120" t="str">
        <x:v>実在選手名</x:v>
      </x:c>
      <x:c r="C4" s="120" t="str">
        <x:v>パヴェ</x:v>
      </x:c>
      <x:c r="D4" s="120" t="str">
        <x:v>PR最高順位</x:v>
      </x:c>
      <x:c r="E4" s="120" t="str">
        <x:v>PR完走</x:v>
      </x:c>
      <x:c r="F4" s="120" t="str">
        <x:v>PR Top10</x:v>
      </x:c>
      <x:c r="G4" s="120" t="str">
        <x:v>PR優勝</x:v>
      </x:c>
      <x:c r="H4" s="120" t="str">
        <x:v>ロンド優勝</x:v>
      </x:c>
      <x:c r="I4" s="120" t="str">
        <x:v>検証状態</x:v>
      </x:c>
      <x:c r="J4" s="120" t="str">
        <x:v>評価根拠</x:v>
      </x:c>
      <x:c r="K4" s="120" t="str">
        <x:v>PR出典URL</x:v>
      </x:c>
      <x:c r="L4" s="120" t="str">
        <x:v>ロンド出典URL</x:v>
      </x:c>
      <x:c r="M4" s="117" t="str">
        <x:v>備考</x:v>
      </x:c>
    </x:row>
    <x:row r="5" ht="24" customHeight="1">
      <x:c r="A5" s="81" t="n">
        <x:v>1</x:v>
      </x:c>
      <x:c r="B5" s="81" t="str">
        <x:v>Tadej Pogacar</x:v>
      </x:c>
      <x:c r="C5" s="84" t="n">
        <x:v>82</x:v>
      </x:c>
      <x:c r="D5" s="84" t="n">
        <x:v>2</x:v>
      </x:c>
      <x:c r="E5" s="84" t="n">
        <x:v>1</x:v>
      </x:c>
      <x:c r="F5" s="84" t="n">
        <x:v>1</x:v>
      </x:c>
      <x:c r="G5" s="84" t="n">
        <x:v>0</x:v>
      </x:c>
      <x:c r="H5" s="84" t="n">
        <x:v>3</x:v>
      </x:c>
      <x:c r="I5" s="90" t="str">
        <x:v>結果照合済</x:v>
      </x:c>
      <x:c r="J5" s="90" t="str">
        <x:v>最高2位 / 完走1回 / Top10 1回 / 優勝0回 / ロンド優勝3回・加点+3・最低保証80</x:v>
      </x:c>
      <x:c r="K5" s="90" t="str">
        <x:v>https://www.rondevanvlaanderen.be/en/race/men-elite/history</x:v>
      </x:c>
      <x:c r="L5" s="90" t="str"/>
      <x:c r="M5" s="90" t="str">
        <x:v>能力・適性・Credit整合済</x:v>
      </x:c>
    </x:row>
    <x:row r="6" ht="24" customHeight="1">
      <x:c r="A6" s="82" t="n">
        <x:v>2</x:v>
      </x:c>
      <x:c r="B6" s="82" t="str">
        <x:v>Mathieu van der Poel</x:v>
      </x:c>
      <x:c r="C6" s="85" t="n">
        <x:v>85</x:v>
      </x:c>
      <x:c r="D6" s="85" t="n">
        <x:v>4</x:v>
      </x:c>
      <x:c r="E6" s="85" t="n">
        <x:v>1</x:v>
      </x:c>
      <x:c r="F6" s="85" t="n">
        <x:v>1</x:v>
      </x:c>
      <x:c r="G6" s="85" t="n">
        <x:v>3</x:v>
      </x:c>
      <x:c r="H6" s="85" t="n">
        <x:v>3</x:v>
      </x:c>
      <x:c r="I6" s="91" t="str">
        <x:v>結果照合済</x:v>
      </x:c>
      <x:c r="J6" s="91" t="str">
        <x:v>最高4位 / 完走1回 / Top10 1回 / 優勝3回 / ロンド優勝3回・加点+3・最低保証80</x:v>
      </x:c>
      <x:c r="K6" s="91" t="str">
        <x:v>https://www.rondevanvlaanderen.be/en/race/men-elite/history</x:v>
      </x:c>
      <x:c r="L6" s="91" t="str"/>
      <x:c r="M6" s="91" t="str">
        <x:v>能力・適性・Credit整合済</x:v>
      </x:c>
    </x:row>
    <x:row r="7" ht="24" customHeight="1">
      <x:c r="A7" s="82" t="n">
        <x:v>3</x:v>
      </x:c>
      <x:c r="B7" s="82" t="str">
        <x:v>Paul Seixas</x:v>
      </x:c>
      <x:c r="C7" s="85" t="n">
        <x:v>50</x:v>
      </x:c>
      <x:c r="D7" s="85" t="n">
        <x:v>0</x:v>
      </x:c>
      <x:c r="E7" s="85" t="n">
        <x:v>0</x:v>
      </x:c>
      <x:c r="F7" s="85" t="n">
        <x:v>0</x:v>
      </x:c>
      <x:c r="G7" s="85" t="n">
        <x:v>0</x:v>
      </x:c>
      <x:c r="H7" s="85" t="n">
        <x:v>0</x:v>
      </x:c>
      <x:c r="I7" s="91" t="str">
        <x:v>要出走確認</x:v>
      </x:c>
      <x:c r="J7" s="91" t="str">
        <x:v>1960〜2026完走順位との一致なし。未出走または表記差を要確認</x:v>
      </x:c>
      <x:c r="K7" s="91" t="str">
        <x:v>https://bikeraceinfo.com/classics/paris-roubaix/paris-roubaix-index.html</x:v>
      </x:c>
      <x:c r="L7" s="91" t="str"/>
      <x:c r="M7" s="91" t="str">
        <x:v>能力・適性・Credit整合済</x:v>
      </x:c>
    </x:row>
    <x:row r="8" ht="24" customHeight="1">
      <x:c r="A8" s="82" t="n">
        <x:v>4</x:v>
      </x:c>
      <x:c r="B8" s="82" t="str">
        <x:v>Isaac del Toro</x:v>
      </x:c>
      <x:c r="C8" s="85" t="n">
        <x:v>50</x:v>
      </x:c>
      <x:c r="D8" s="85" t="n">
        <x:v>0</x:v>
      </x:c>
      <x:c r="E8" s="85" t="n">
        <x:v>0</x:v>
      </x:c>
      <x:c r="F8" s="85" t="n">
        <x:v>0</x:v>
      </x:c>
      <x:c r="G8" s="85" t="n">
        <x:v>0</x:v>
      </x:c>
      <x:c r="H8" s="85" t="n">
        <x:v>0</x:v>
      </x:c>
      <x:c r="I8" s="91" t="str">
        <x:v>要出走確認</x:v>
      </x:c>
      <x:c r="J8" s="91" t="str">
        <x:v>1960〜2026完走順位との一致なし。未出走または表記差を要確認</x:v>
      </x:c>
      <x:c r="K8" s="91" t="str">
        <x:v>https://bikeraceinfo.com/classics/paris-roubaix/paris-roubaix-index.html</x:v>
      </x:c>
      <x:c r="L8" s="91" t="str"/>
      <x:c r="M8" s="91" t="str">
        <x:v>能力・適性・Credit整合済</x:v>
      </x:c>
    </x:row>
    <x:row r="9" ht="24" customHeight="1">
      <x:c r="A9" s="82" t="n">
        <x:v>5</x:v>
      </x:c>
      <x:c r="B9" s="82" t="str">
        <x:v>Jonas Vingegaard</x:v>
      </x:c>
      <x:c r="C9" s="85" t="n">
        <x:v>50</x:v>
      </x:c>
      <x:c r="D9" s="85" t="n">
        <x:v>0</x:v>
      </x:c>
      <x:c r="E9" s="85" t="n">
        <x:v>0</x:v>
      </x:c>
      <x:c r="F9" s="85" t="n">
        <x:v>0</x:v>
      </x:c>
      <x:c r="G9" s="85" t="n">
        <x:v>0</x:v>
      </x:c>
      <x:c r="H9" s="85" t="n">
        <x:v>0</x:v>
      </x:c>
      <x:c r="I9" s="91" t="str">
        <x:v>要出走確認</x:v>
      </x:c>
      <x:c r="J9" s="91" t="str">
        <x:v>1960〜2026完走順位との一致なし。未出走または表記差を要確認</x:v>
      </x:c>
      <x:c r="K9" s="91" t="str">
        <x:v>https://bikeraceinfo.com/classics/paris-roubaix/paris-roubaix-index.html</x:v>
      </x:c>
      <x:c r="L9" s="91" t="str"/>
      <x:c r="M9" s="91" t="str">
        <x:v>能力・適性・Credit整合済</x:v>
      </x:c>
    </x:row>
    <x:row r="10" ht="24" customHeight="1">
      <x:c r="A10" s="82" t="n">
        <x:v>6</x:v>
      </x:c>
      <x:c r="B10" s="82" t="str">
        <x:v>Wout van Aert</x:v>
      </x:c>
      <x:c r="C10" s="85" t="n">
        <x:v>82</x:v>
      </x:c>
      <x:c r="D10" s="85" t="n">
        <x:v>1</x:v>
      </x:c>
      <x:c r="E10" s="85" t="n">
        <x:v>3</x:v>
      </x:c>
      <x:c r="F10" s="85" t="n">
        <x:v>1</x:v>
      </x:c>
      <x:c r="G10" s="85" t="n">
        <x:v>1</x:v>
      </x:c>
      <x:c r="H10" s="85" t="n">
        <x:v>0</x:v>
      </x:c>
      <x:c r="I10" s="91" t="str">
        <x:v>結果照合済</x:v>
      </x:c>
      <x:c r="J10" s="91" t="str">
        <x:v>最高1位 / 完走3回 / Top10 1回 / 優勝1回</x:v>
      </x:c>
      <x:c r="K10" s="91" t="str">
        <x:v>https://bikeraceinfo.com/classics/paris-roubaix/pr2026.html</x:v>
      </x:c>
      <x:c r="L10" s="91" t="str"/>
      <x:c r="M10" s="91" t="str">
        <x:v>能力・適性・Credit整合済</x:v>
      </x:c>
    </x:row>
    <x:row r="11" ht="24" customHeight="1">
      <x:c r="A11" s="82" t="n">
        <x:v>7</x:v>
      </x:c>
      <x:c r="B11" s="82" t="str">
        <x:v>Remco Evenepoel</x:v>
      </x:c>
      <x:c r="C11" s="85" t="n">
        <x:v>50</x:v>
      </x:c>
      <x:c r="D11" s="85" t="n">
        <x:v>0</x:v>
      </x:c>
      <x:c r="E11" s="85" t="n">
        <x:v>0</x:v>
      </x:c>
      <x:c r="F11" s="85" t="n">
        <x:v>0</x:v>
      </x:c>
      <x:c r="G11" s="85" t="n">
        <x:v>0</x:v>
      </x:c>
      <x:c r="H11" s="85" t="n">
        <x:v>0</x:v>
      </x:c>
      <x:c r="I11" s="91" t="str">
        <x:v>要出走確認</x:v>
      </x:c>
      <x:c r="J11" s="91" t="str">
        <x:v>1960〜2026完走順位との一致なし。未出走または表記差を要確認</x:v>
      </x:c>
      <x:c r="K11" s="91" t="str">
        <x:v>https://bikeraceinfo.com/classics/paris-roubaix/paris-roubaix-index.html</x:v>
      </x:c>
      <x:c r="L11" s="91" t="str"/>
      <x:c r="M11" s="91" t="str">
        <x:v>能力・適性・Credit整合済</x:v>
      </x:c>
    </x:row>
    <x:row r="12" ht="24" customHeight="1">
      <x:c r="A12" s="82" t="n">
        <x:v>8</x:v>
      </x:c>
      <x:c r="B12" s="82" t="str">
        <x:v>Primoz Roglic</x:v>
      </x:c>
      <x:c r="C12" s="85" t="n">
        <x:v>50</x:v>
      </x:c>
      <x:c r="D12" s="85" t="n">
        <x:v>0</x:v>
      </x:c>
      <x:c r="E12" s="85" t="n">
        <x:v>0</x:v>
      </x:c>
      <x:c r="F12" s="85" t="n">
        <x:v>0</x:v>
      </x:c>
      <x:c r="G12" s="85" t="n">
        <x:v>0</x:v>
      </x:c>
      <x:c r="H12" s="85" t="n">
        <x:v>0</x:v>
      </x:c>
      <x:c r="I12" s="91" t="str">
        <x:v>要出走確認</x:v>
      </x:c>
      <x:c r="J12" s="91" t="str">
        <x:v>1960〜2026完走順位との一致なし。未出走または表記差を要確認</x:v>
      </x:c>
      <x:c r="K12" s="91" t="str">
        <x:v>https://bikeraceinfo.com/classics/paris-roubaix/paris-roubaix-index.html</x:v>
      </x:c>
      <x:c r="L12" s="91" t="str"/>
      <x:c r="M12" s="91" t="str">
        <x:v>能力・適性・Credit整合済</x:v>
      </x:c>
    </x:row>
    <x:row r="13" ht="24" customHeight="1">
      <x:c r="A13" s="82" t="n">
        <x:v>9</x:v>
      </x:c>
      <x:c r="B13" s="82" t="str">
        <x:v>Julian Alaphilippe</x:v>
      </x:c>
      <x:c r="C13" s="85" t="n">
        <x:v>50</x:v>
      </x:c>
      <x:c r="D13" s="85" t="n">
        <x:v>0</x:v>
      </x:c>
      <x:c r="E13" s="85" t="n">
        <x:v>0</x:v>
      </x:c>
      <x:c r="F13" s="85" t="n">
        <x:v>0</x:v>
      </x:c>
      <x:c r="G13" s="85" t="n">
        <x:v>0</x:v>
      </x:c>
      <x:c r="H13" s="85" t="n">
        <x:v>0</x:v>
      </x:c>
      <x:c r="I13" s="91" t="str">
        <x:v>要出走確認</x:v>
      </x:c>
      <x:c r="J13" s="91" t="str">
        <x:v>1960〜2026完走順位との一致なし。未出走または表記差を要確認</x:v>
      </x:c>
      <x:c r="K13" s="91" t="str">
        <x:v>https://bikeraceinfo.com/classics/paris-roubaix/paris-roubaix-index.html</x:v>
      </x:c>
      <x:c r="L13" s="91" t="str"/>
      <x:c r="M13" s="91" t="str">
        <x:v>能力・適性・Credit整合済</x:v>
      </x:c>
    </x:row>
    <x:row r="14" ht="24" customHeight="1">
      <x:c r="A14" s="82" t="n">
        <x:v>10</x:v>
      </x:c>
      <x:c r="B14" s="82" t="str">
        <x:v>Jasper Philipsen</x:v>
      </x:c>
      <x:c r="C14" s="85" t="n">
        <x:v>50</x:v>
      </x:c>
      <x:c r="D14" s="85" t="n">
        <x:v>0</x:v>
      </x:c>
      <x:c r="E14" s="85" t="n">
        <x:v>0</x:v>
      </x:c>
      <x:c r="F14" s="85" t="n">
        <x:v>0</x:v>
      </x:c>
      <x:c r="G14" s="85" t="n">
        <x:v>0</x:v>
      </x:c>
      <x:c r="H14" s="85" t="n">
        <x:v>0</x:v>
      </x:c>
      <x:c r="I14" s="91" t="str">
        <x:v>要出走確認</x:v>
      </x:c>
      <x:c r="J14" s="91" t="str">
        <x:v>1960〜2026完走順位との一致なし。未出走または表記差を要確認</x:v>
      </x:c>
      <x:c r="K14" s="91" t="str">
        <x:v>https://bikeraceinfo.com/classics/paris-roubaix/paris-roubaix-index.html</x:v>
      </x:c>
      <x:c r="L14" s="91" t="str"/>
      <x:c r="M14" s="91" t="str">
        <x:v>能力・適性・Credit整合済</x:v>
      </x:c>
    </x:row>
    <x:row r="15" ht="24" customHeight="1">
      <x:c r="A15" s="82" t="n">
        <x:v>11</x:v>
      </x:c>
      <x:c r="B15" s="82" t="str">
        <x:v>Filippo Ganna</x:v>
      </x:c>
      <x:c r="C15" s="85" t="n">
        <x:v>69</x:v>
      </x:c>
      <x:c r="D15" s="85" t="n">
        <x:v>25</x:v>
      </x:c>
      <x:c r="E15" s="85" t="n">
        <x:v>1</x:v>
      </x:c>
      <x:c r="F15" s="85" t="n">
        <x:v>0</x:v>
      </x:c>
      <x:c r="G15" s="85" t="n">
        <x:v>0</x:v>
      </x:c>
      <x:c r="H15" s="85" t="n">
        <x:v>0</x:v>
      </x:c>
      <x:c r="I15" s="91" t="str">
        <x:v>結果照合済</x:v>
      </x:c>
      <x:c r="J15" s="91" t="str">
        <x:v>最高25位 / 完走1回 / Top10 0回 / 優勝0回</x:v>
      </x:c>
      <x:c r="K15" s="91" t="str">
        <x:v>https://bikeraceinfo.com/classics/paris-roubaix/pr2026.html</x:v>
      </x:c>
      <x:c r="L15" s="91" t="str"/>
      <x:c r="M15" s="91" t="str">
        <x:v>能力・適性・Credit整合済</x:v>
      </x:c>
    </x:row>
    <x:row r="16" ht="24" customHeight="1">
      <x:c r="A16" s="82" t="n">
        <x:v>12</x:v>
      </x:c>
      <x:c r="B16" s="82" t="str">
        <x:v>Egan Bernal</x:v>
      </x:c>
      <x:c r="C16" s="85" t="n">
        <x:v>50</x:v>
      </x:c>
      <x:c r="D16" s="85" t="n">
        <x:v>0</x:v>
      </x:c>
      <x:c r="E16" s="85" t="n">
        <x:v>0</x:v>
      </x:c>
      <x:c r="F16" s="85" t="n">
        <x:v>0</x:v>
      </x:c>
      <x:c r="G16" s="85" t="n">
        <x:v>0</x:v>
      </x:c>
      <x:c r="H16" s="85" t="n">
        <x:v>0</x:v>
      </x:c>
      <x:c r="I16" s="91" t="str">
        <x:v>要出走確認</x:v>
      </x:c>
      <x:c r="J16" s="91" t="str">
        <x:v>1960〜2026完走順位との一致なし。未出走または表記差を要確認</x:v>
      </x:c>
      <x:c r="K16" s="91" t="str">
        <x:v>https://bikeraceinfo.com/classics/paris-roubaix/paris-roubaix-index.html</x:v>
      </x:c>
      <x:c r="L16" s="91" t="str"/>
      <x:c r="M16" s="91" t="str">
        <x:v>能力・適性・Credit整合済</x:v>
      </x:c>
    </x:row>
    <x:row r="17" ht="24" customHeight="1">
      <x:c r="A17" s="82" t="n">
        <x:v>13</x:v>
      </x:c>
      <x:c r="B17" s="82" t="str">
        <x:v>Jonathan Milan</x:v>
      </x:c>
      <x:c r="C17" s="85" t="n">
        <x:v>64</x:v>
      </x:c>
      <x:c r="D17" s="85" t="n">
        <x:v>64</x:v>
      </x:c>
      <x:c r="E17" s="85" t="n">
        <x:v>1</x:v>
      </x:c>
      <x:c r="F17" s="85" t="n">
        <x:v>0</x:v>
      </x:c>
      <x:c r="G17" s="85" t="n">
        <x:v>0</x:v>
      </x:c>
      <x:c r="H17" s="85" t="n">
        <x:v>0</x:v>
      </x:c>
      <x:c r="I17" s="91" t="str">
        <x:v>結果照合済</x:v>
      </x:c>
      <x:c r="J17" s="91" t="str">
        <x:v>最高64位 / 完走1回 / Top10 0回 / 優勝0回</x:v>
      </x:c>
      <x:c r="K17" s="91" t="str">
        <x:v>https://bikeraceinfo.com/classics/paris-roubaix/pr2026.html</x:v>
      </x:c>
      <x:c r="L17" s="91" t="str"/>
      <x:c r="M17" s="91" t="str">
        <x:v>能力・適性・Credit整合済</x:v>
      </x:c>
    </x:row>
    <x:row r="18" ht="24" customHeight="1">
      <x:c r="A18" s="82" t="n">
        <x:v>14</x:v>
      </x:c>
      <x:c r="B18" s="82" t="str">
        <x:v>Biniam Girmay</x:v>
      </x:c>
      <x:c r="C18" s="85" t="n">
        <x:v>50</x:v>
      </x:c>
      <x:c r="D18" s="85" t="n">
        <x:v>0</x:v>
      </x:c>
      <x:c r="E18" s="85" t="n">
        <x:v>0</x:v>
      </x:c>
      <x:c r="F18" s="85" t="n">
        <x:v>0</x:v>
      </x:c>
      <x:c r="G18" s="85" t="n">
        <x:v>0</x:v>
      </x:c>
      <x:c r="H18" s="85" t="n">
        <x:v>0</x:v>
      </x:c>
      <x:c r="I18" s="91" t="str">
        <x:v>要出走確認</x:v>
      </x:c>
      <x:c r="J18" s="91" t="str">
        <x:v>1960〜2026完走順位との一致なし。未出走または表記差を要確認</x:v>
      </x:c>
      <x:c r="K18" s="91" t="str">
        <x:v>https://bikeraceinfo.com/classics/paris-roubaix/paris-roubaix-index.html</x:v>
      </x:c>
      <x:c r="L18" s="91" t="str"/>
      <x:c r="M18" s="91" t="str">
        <x:v>能力・適性・Credit整合済</x:v>
      </x:c>
    </x:row>
    <x:row r="19" ht="24" customHeight="1">
      <x:c r="A19" s="82" t="n">
        <x:v>15</x:v>
      </x:c>
      <x:c r="B19" s="82" t="str">
        <x:v>Arnaud De Lie</x:v>
      </x:c>
      <x:c r="C19" s="85" t="n">
        <x:v>50</x:v>
      </x:c>
      <x:c r="D19" s="85" t="n">
        <x:v>0</x:v>
      </x:c>
      <x:c r="E19" s="85" t="n">
        <x:v>0</x:v>
      </x:c>
      <x:c r="F19" s="85" t="n">
        <x:v>0</x:v>
      </x:c>
      <x:c r="G19" s="85" t="n">
        <x:v>0</x:v>
      </x:c>
      <x:c r="H19" s="85" t="n">
        <x:v>0</x:v>
      </x:c>
      <x:c r="I19" s="91" t="str">
        <x:v>要出走確認</x:v>
      </x:c>
      <x:c r="J19" s="91" t="str">
        <x:v>1960〜2026完走順位との一致なし。未出走または表記差を要確認</x:v>
      </x:c>
      <x:c r="K19" s="91" t="str">
        <x:v>https://bikeraceinfo.com/classics/paris-roubaix/paris-roubaix-index.html</x:v>
      </x:c>
      <x:c r="L19" s="91" t="str"/>
      <x:c r="M19" s="91" t="str">
        <x:v>能力・適性・Credit整合済</x:v>
      </x:c>
    </x:row>
    <x:row r="20" ht="24" customHeight="1">
      <x:c r="A20" s="82" t="n">
        <x:v>16</x:v>
      </x:c>
      <x:c r="B20" s="82" t="str">
        <x:v>Juan Ayuso</x:v>
      </x:c>
      <x:c r="C20" s="85" t="n">
        <x:v>50</x:v>
      </x:c>
      <x:c r="D20" s="85" t="n">
        <x:v>0</x:v>
      </x:c>
      <x:c r="E20" s="85" t="n">
        <x:v>0</x:v>
      </x:c>
      <x:c r="F20" s="85" t="n">
        <x:v>0</x:v>
      </x:c>
      <x:c r="G20" s="85" t="n">
        <x:v>0</x:v>
      </x:c>
      <x:c r="H20" s="85" t="n">
        <x:v>0</x:v>
      </x:c>
      <x:c r="I20" s="91" t="str">
        <x:v>要出走確認</x:v>
      </x:c>
      <x:c r="J20" s="91" t="str">
        <x:v>1960〜2026完走順位との一致なし。未出走または表記差を要確認</x:v>
      </x:c>
      <x:c r="K20" s="91" t="str">
        <x:v>https://bikeraceinfo.com/classics/paris-roubaix/paris-roubaix-index.html</x:v>
      </x:c>
      <x:c r="L20" s="91" t="str"/>
      <x:c r="M20" s="91" t="str">
        <x:v>能力・適性・Credit整合済</x:v>
      </x:c>
    </x:row>
    <x:row r="21" ht="24" customHeight="1">
      <x:c r="A21" s="82" t="n">
        <x:v>17</x:v>
      </x:c>
      <x:c r="B21" s="82" t="str">
        <x:v>Olav Kooij</x:v>
      </x:c>
      <x:c r="C21" s="85" t="n">
        <x:v>50</x:v>
      </x:c>
      <x:c r="D21" s="85" t="n">
        <x:v>0</x:v>
      </x:c>
      <x:c r="E21" s="85" t="n">
        <x:v>0</x:v>
      </x:c>
      <x:c r="F21" s="85" t="n">
        <x:v>0</x:v>
      </x:c>
      <x:c r="G21" s="85" t="n">
        <x:v>0</x:v>
      </x:c>
      <x:c r="H21" s="85" t="n">
        <x:v>0</x:v>
      </x:c>
      <x:c r="I21" s="91" t="str">
        <x:v>要出走確認</x:v>
      </x:c>
      <x:c r="J21" s="91" t="str">
        <x:v>1960〜2026完走順位との一致なし。未出走または表記差を要確認</x:v>
      </x:c>
      <x:c r="K21" s="91" t="str">
        <x:v>https://bikeraceinfo.com/classics/paris-roubaix/paris-roubaix-index.html</x:v>
      </x:c>
      <x:c r="L21" s="91" t="str"/>
      <x:c r="M21" s="91" t="str">
        <x:v>能力・適性・Credit整合済</x:v>
      </x:c>
    </x:row>
    <x:row r="22" ht="24" customHeight="1">
      <x:c r="A22" s="82" t="n">
        <x:v>18</x:v>
      </x:c>
      <x:c r="B22" s="82" t="str">
        <x:v>Alberto Bettiol</x:v>
      </x:c>
      <x:c r="C22" s="85" t="n">
        <x:v>76</x:v>
      </x:c>
      <x:c r="D22" s="85" t="n">
        <x:v>0</x:v>
      </x:c>
      <x:c r="E22" s="85" t="n">
        <x:v>0</x:v>
      </x:c>
      <x:c r="F22" s="85" t="n">
        <x:v>0</x:v>
      </x:c>
      <x:c r="G22" s="85" t="n">
        <x:v>0</x:v>
      </x:c>
      <x:c r="H22" s="85" t="n">
        <x:v>1</x:v>
      </x:c>
      <x:c r="I22" s="91" t="str">
        <x:v>要出走確認</x:v>
      </x:c>
      <x:c r="J22" s="91" t="str">
        <x:v>1960〜2026完走順位との一致なし。未出走または表記差を要確認 / ロンド優勝1回・加点+1・最低保証76</x:v>
      </x:c>
      <x:c r="K22" s="91" t="str">
        <x:v>https://www.rondevanvlaanderen.be/en/race/men-elite/history</x:v>
      </x:c>
      <x:c r="L22" s="91" t="str"/>
      <x:c r="M22" s="91" t="str">
        <x:v>能力・適性・Credit整合済</x:v>
      </x:c>
    </x:row>
    <x:row r="23" ht="24" customHeight="1">
      <x:c r="A23" s="82" t="n">
        <x:v>19</x:v>
      </x:c>
      <x:c r="B23" s="82" t="str">
        <x:v>Tim Wellens</x:v>
      </x:c>
      <x:c r="C23" s="85" t="n">
        <x:v>50</x:v>
      </x:c>
      <x:c r="D23" s="85" t="n">
        <x:v>0</x:v>
      </x:c>
      <x:c r="E23" s="85" t="n">
        <x:v>0</x:v>
      </x:c>
      <x:c r="F23" s="85" t="n">
        <x:v>0</x:v>
      </x:c>
      <x:c r="G23" s="85" t="n">
        <x:v>0</x:v>
      </x:c>
      <x:c r="H23" s="85" t="n">
        <x:v>0</x:v>
      </x:c>
      <x:c r="I23" s="91" t="str">
        <x:v>要出走確認</x:v>
      </x:c>
      <x:c r="J23" s="91" t="str">
        <x:v>1960〜2026完走順位との一致なし。未出走または表記差を要確認</x:v>
      </x:c>
      <x:c r="K23" s="91" t="str">
        <x:v>https://bikeraceinfo.com/classics/paris-roubaix/paris-roubaix-index.html</x:v>
      </x:c>
      <x:c r="L23" s="91" t="str"/>
      <x:c r="M23" s="91" t="str">
        <x:v>能力・適性・Credit整合済</x:v>
      </x:c>
    </x:row>
    <x:row r="24" ht="24" customHeight="1">
      <x:c r="A24" s="82" t="n">
        <x:v>20</x:v>
      </x:c>
      <x:c r="B24" s="82" t="str">
        <x:v>Mattias Skjelmose</x:v>
      </x:c>
      <x:c r="C24" s="85" t="n">
        <x:v>50</x:v>
      </x:c>
      <x:c r="D24" s="85" t="n">
        <x:v>0</x:v>
      </x:c>
      <x:c r="E24" s="85" t="n">
        <x:v>0</x:v>
      </x:c>
      <x:c r="F24" s="85" t="n">
        <x:v>0</x:v>
      </x:c>
      <x:c r="G24" s="85" t="n">
        <x:v>0</x:v>
      </x:c>
      <x:c r="H24" s="85" t="n">
        <x:v>0</x:v>
      </x:c>
      <x:c r="I24" s="91" t="str">
        <x:v>要出走確認</x:v>
      </x:c>
      <x:c r="J24" s="91" t="str">
        <x:v>1960〜2026完走順位との一致なし。未出走または表記差を要確認</x:v>
      </x:c>
      <x:c r="K24" s="91" t="str">
        <x:v>https://bikeraceinfo.com/classics/paris-roubaix/paris-roubaix-index.html</x:v>
      </x:c>
      <x:c r="L24" s="91" t="str"/>
      <x:c r="M24" s="91" t="str">
        <x:v>能力・適性・Credit整合済</x:v>
      </x:c>
    </x:row>
    <x:row r="25" ht="24" customHeight="1">
      <x:c r="A25" s="82" t="n">
        <x:v>21</x:v>
      </x:c>
      <x:c r="B25" s="82" t="str">
        <x:v>Kaden Groves</x:v>
      </x:c>
      <x:c r="C25" s="85" t="n">
        <x:v>50</x:v>
      </x:c>
      <x:c r="D25" s="85" t="n">
        <x:v>0</x:v>
      </x:c>
      <x:c r="E25" s="85" t="n">
        <x:v>0</x:v>
      </x:c>
      <x:c r="F25" s="85" t="n">
        <x:v>0</x:v>
      </x:c>
      <x:c r="G25" s="85" t="n">
        <x:v>0</x:v>
      </x:c>
      <x:c r="H25" s="85" t="n">
        <x:v>0</x:v>
      </x:c>
      <x:c r="I25" s="91" t="str">
        <x:v>要出走確認</x:v>
      </x:c>
      <x:c r="J25" s="91" t="str">
        <x:v>1960〜2026完走順位との一致なし。未出走または表記差を要確認</x:v>
      </x:c>
      <x:c r="K25" s="91" t="str">
        <x:v>https://bikeraceinfo.com/classics/paris-roubaix/paris-roubaix-index.html</x:v>
      </x:c>
      <x:c r="L25" s="91" t="str"/>
      <x:c r="M25" s="91" t="str">
        <x:v>能力・適性・Credit整合済</x:v>
      </x:c>
    </x:row>
    <x:row r="26" ht="24" customHeight="1">
      <x:c r="A26" s="82" t="n">
        <x:v>22</x:v>
      </x:c>
      <x:c r="B26" s="82" t="str">
        <x:v>Fabio Jakobsen</x:v>
      </x:c>
      <x:c r="C26" s="85" t="n">
        <x:v>50</x:v>
      </x:c>
      <x:c r="D26" s="85" t="n">
        <x:v>0</x:v>
      </x:c>
      <x:c r="E26" s="85" t="n">
        <x:v>0</x:v>
      </x:c>
      <x:c r="F26" s="85" t="n">
        <x:v>0</x:v>
      </x:c>
      <x:c r="G26" s="85" t="n">
        <x:v>0</x:v>
      </x:c>
      <x:c r="H26" s="85" t="n">
        <x:v>0</x:v>
      </x:c>
      <x:c r="I26" s="91" t="str">
        <x:v>要出走確認</x:v>
      </x:c>
      <x:c r="J26" s="91" t="str">
        <x:v>1960〜2026完走順位との一致なし。未出走または表記差を要確認</x:v>
      </x:c>
      <x:c r="K26" s="91" t="str">
        <x:v>https://bikeraceinfo.com/classics/paris-roubaix/paris-roubaix-index.html</x:v>
      </x:c>
      <x:c r="L26" s="91" t="str"/>
      <x:c r="M26" s="91" t="str">
        <x:v>能力・適性・Credit整合済</x:v>
      </x:c>
    </x:row>
    <x:row r="27" ht="24" customHeight="1">
      <x:c r="A27" s="82" t="n">
        <x:v>23</x:v>
      </x:c>
      <x:c r="B27" s="82" t="str">
        <x:v>Tom Pidcock</x:v>
      </x:c>
      <x:c r="C27" s="85" t="n">
        <x:v>50</x:v>
      </x:c>
      <x:c r="D27" s="85" t="n">
        <x:v>0</x:v>
      </x:c>
      <x:c r="E27" s="85" t="n">
        <x:v>0</x:v>
      </x:c>
      <x:c r="F27" s="85" t="n">
        <x:v>0</x:v>
      </x:c>
      <x:c r="G27" s="85" t="n">
        <x:v>0</x:v>
      </x:c>
      <x:c r="H27" s="85" t="n">
        <x:v>0</x:v>
      </x:c>
      <x:c r="I27" s="91" t="str">
        <x:v>要出走確認</x:v>
      </x:c>
      <x:c r="J27" s="91" t="str">
        <x:v>1960〜2026完走順位との一致なし。未出走または表記差を要確認</x:v>
      </x:c>
      <x:c r="K27" s="91" t="str">
        <x:v>https://bikeraceinfo.com/classics/paris-roubaix/paris-roubaix-index.html</x:v>
      </x:c>
      <x:c r="L27" s="91" t="str"/>
      <x:c r="M27" s="91" t="str">
        <x:v>能力・適性・Credit整合済</x:v>
      </x:c>
    </x:row>
    <x:row r="28" ht="24" customHeight="1">
      <x:c r="A28" s="82" t="n">
        <x:v>24</x:v>
      </x:c>
      <x:c r="B28" s="82" t="str">
        <x:v>Jasper Stuyven</x:v>
      </x:c>
      <x:c r="C28" s="85" t="n">
        <x:v>82</x:v>
      </x:c>
      <x:c r="D28" s="85" t="n">
        <x:v>3</x:v>
      </x:c>
      <x:c r="E28" s="85" t="n">
        <x:v>5</x:v>
      </x:c>
      <x:c r="F28" s="85" t="n">
        <x:v>2</x:v>
      </x:c>
      <x:c r="G28" s="85" t="n">
        <x:v>0</x:v>
      </x:c>
      <x:c r="H28" s="85" t="n">
        <x:v>0</x:v>
      </x:c>
      <x:c r="I28" s="91" t="str">
        <x:v>結果照合済</x:v>
      </x:c>
      <x:c r="J28" s="91" t="str">
        <x:v>最高3位 / 完走5回 / Top10 2回 / 優勝0回</x:v>
      </x:c>
      <x:c r="K28" s="91" t="str">
        <x:v>https://bikeraceinfo.com/classics/paris-roubaix/pr2026.html</x:v>
      </x:c>
      <x:c r="L28" s="91" t="str"/>
      <x:c r="M28" s="91" t="str">
        <x:v>能力・適性・Credit整合済</x:v>
      </x:c>
    </x:row>
    <x:row r="29" ht="24" customHeight="1">
      <x:c r="A29" s="82" t="n">
        <x:v>25</x:v>
      </x:c>
      <x:c r="B29" s="82" t="str">
        <x:v>Warren Barguil</x:v>
      </x:c>
      <x:c r="C29" s="85" t="n">
        <x:v>50</x:v>
      </x:c>
      <x:c r="D29" s="85" t="n">
        <x:v>0</x:v>
      </x:c>
      <x:c r="E29" s="85" t="n">
        <x:v>0</x:v>
      </x:c>
      <x:c r="F29" s="85" t="n">
        <x:v>0</x:v>
      </x:c>
      <x:c r="G29" s="85" t="n">
        <x:v>0</x:v>
      </x:c>
      <x:c r="H29" s="85" t="n">
        <x:v>0</x:v>
      </x:c>
      <x:c r="I29" s="91" t="str">
        <x:v>要出走確認</x:v>
      </x:c>
      <x:c r="J29" s="91" t="str">
        <x:v>1960〜2026完走順位との一致なし。未出走または表記差を要確認</x:v>
      </x:c>
      <x:c r="K29" s="91" t="str">
        <x:v>https://bikeraceinfo.com/classics/paris-roubaix/paris-roubaix-index.html</x:v>
      </x:c>
      <x:c r="L29" s="91" t="str"/>
      <x:c r="M29" s="91" t="str">
        <x:v>能力・適性・Credit整合済</x:v>
      </x:c>
    </x:row>
    <x:row r="30" ht="24" customHeight="1">
      <x:c r="A30" s="82" t="n">
        <x:v>26</x:v>
      </x:c>
      <x:c r="B30" s="82" t="str">
        <x:v>Maxim Van Gils</x:v>
      </x:c>
      <x:c r="C30" s="85" t="n">
        <x:v>50</x:v>
      </x:c>
      <x:c r="D30" s="85" t="n">
        <x:v>0</x:v>
      </x:c>
      <x:c r="E30" s="85" t="n">
        <x:v>0</x:v>
      </x:c>
      <x:c r="F30" s="85" t="n">
        <x:v>0</x:v>
      </x:c>
      <x:c r="G30" s="85" t="n">
        <x:v>0</x:v>
      </x:c>
      <x:c r="H30" s="85" t="n">
        <x:v>0</x:v>
      </x:c>
      <x:c r="I30" s="91" t="str">
        <x:v>要出走確認</x:v>
      </x:c>
      <x:c r="J30" s="91" t="str">
        <x:v>1960〜2026完走順位との一致なし。未出走または表記差を要確認</x:v>
      </x:c>
      <x:c r="K30" s="91" t="str">
        <x:v>https://bikeraceinfo.com/classics/paris-roubaix/paris-roubaix-index.html</x:v>
      </x:c>
      <x:c r="L30" s="91" t="str"/>
      <x:c r="M30" s="91" t="str">
        <x:v>能力・適性・Credit整合済</x:v>
      </x:c>
    </x:row>
    <x:row r="31" ht="24" customHeight="1">
      <x:c r="A31" s="82" t="n">
        <x:v>27</x:v>
      </x:c>
      <x:c r="B31" s="82" t="str">
        <x:v>Pascal Ackermann</x:v>
      </x:c>
      <x:c r="C31" s="85" t="n">
        <x:v>50</x:v>
      </x:c>
      <x:c r="D31" s="85" t="n">
        <x:v>0</x:v>
      </x:c>
      <x:c r="E31" s="85" t="n">
        <x:v>0</x:v>
      </x:c>
      <x:c r="F31" s="85" t="n">
        <x:v>0</x:v>
      </x:c>
      <x:c r="G31" s="85" t="n">
        <x:v>0</x:v>
      </x:c>
      <x:c r="H31" s="85" t="n">
        <x:v>0</x:v>
      </x:c>
      <x:c r="I31" s="91" t="str">
        <x:v>要出走確認</x:v>
      </x:c>
      <x:c r="J31" s="91" t="str">
        <x:v>1960〜2026完走順位との一致なし。未出走または表記差を要確認</x:v>
      </x:c>
      <x:c r="K31" s="91" t="str">
        <x:v>https://bikeraceinfo.com/classics/paris-roubaix/paris-roubaix-index.html</x:v>
      </x:c>
      <x:c r="L31" s="91" t="str"/>
      <x:c r="M31" s="91" t="str">
        <x:v>能力・適性・Credit整合済</x:v>
      </x:c>
    </x:row>
    <x:row r="32" ht="24" customHeight="1">
      <x:c r="A32" s="82" t="n">
        <x:v>28</x:v>
      </x:c>
      <x:c r="B32" s="82" t="str">
        <x:v>Giulio Ciccone</x:v>
      </x:c>
      <x:c r="C32" s="85" t="n">
        <x:v>50</x:v>
      </x:c>
      <x:c r="D32" s="85" t="n">
        <x:v>0</x:v>
      </x:c>
      <x:c r="E32" s="85" t="n">
        <x:v>0</x:v>
      </x:c>
      <x:c r="F32" s="85" t="n">
        <x:v>0</x:v>
      </x:c>
      <x:c r="G32" s="85" t="n">
        <x:v>0</x:v>
      </x:c>
      <x:c r="H32" s="85" t="n">
        <x:v>0</x:v>
      </x:c>
      <x:c r="I32" s="91" t="str">
        <x:v>要出走確認</x:v>
      </x:c>
      <x:c r="J32" s="91" t="str">
        <x:v>1960〜2026完走順位との一致なし。未出走または表記差を要確認</x:v>
      </x:c>
      <x:c r="K32" s="91" t="str">
        <x:v>https://bikeraceinfo.com/classics/paris-roubaix/paris-roubaix-index.html</x:v>
      </x:c>
      <x:c r="L32" s="91" t="str"/>
      <x:c r="M32" s="91" t="str">
        <x:v>能力・適性・Credit整合済</x:v>
      </x:c>
    </x:row>
    <x:row r="33" ht="24" customHeight="1">
      <x:c r="A33" s="82" t="n">
        <x:v>29</x:v>
      </x:c>
      <x:c r="B33" s="82" t="str">
        <x:v>Jai Hindley</x:v>
      </x:c>
      <x:c r="C33" s="85" t="n">
        <x:v>50</x:v>
      </x:c>
      <x:c r="D33" s="85" t="n">
        <x:v>0</x:v>
      </x:c>
      <x:c r="E33" s="85" t="n">
        <x:v>0</x:v>
      </x:c>
      <x:c r="F33" s="85" t="n">
        <x:v>0</x:v>
      </x:c>
      <x:c r="G33" s="85" t="n">
        <x:v>0</x:v>
      </x:c>
      <x:c r="H33" s="85" t="n">
        <x:v>0</x:v>
      </x:c>
      <x:c r="I33" s="91" t="str">
        <x:v>要出走確認</x:v>
      </x:c>
      <x:c r="J33" s="91" t="str">
        <x:v>1960〜2026完走順位との一致なし。未出走または表記差を要確認</x:v>
      </x:c>
      <x:c r="K33" s="91" t="str">
        <x:v>https://bikeraceinfo.com/classics/paris-roubaix/paris-roubaix-index.html</x:v>
      </x:c>
      <x:c r="L33" s="91" t="str"/>
      <x:c r="M33" s="91" t="str">
        <x:v>能力・適性・Credit整合済</x:v>
      </x:c>
    </x:row>
    <x:row r="34" ht="24" customHeight="1">
      <x:c r="A34" s="82" t="n">
        <x:v>30</x:v>
      </x:c>
      <x:c r="B34" s="82" t="str">
        <x:v>Matej Mohoric</x:v>
      </x:c>
      <x:c r="C34" s="85" t="n">
        <x:v>64</x:v>
      </x:c>
      <x:c r="D34" s="85" t="n">
        <x:v>70</x:v>
      </x:c>
      <x:c r="E34" s="85" t="n">
        <x:v>1</x:v>
      </x:c>
      <x:c r="F34" s="85" t="n">
        <x:v>0</x:v>
      </x:c>
      <x:c r="G34" s="85" t="n">
        <x:v>0</x:v>
      </x:c>
      <x:c r="H34" s="85" t="n">
        <x:v>0</x:v>
      </x:c>
      <x:c r="I34" s="91" t="str">
        <x:v>結果照合済</x:v>
      </x:c>
      <x:c r="J34" s="91" t="str">
        <x:v>最高70位 / 完走1回 / Top10 0回 / 優勝0回</x:v>
      </x:c>
      <x:c r="K34" s="91" t="str">
        <x:v>https://bikeraceinfo.com/classics/paris-roubaix/pr2019.html</x:v>
      </x:c>
      <x:c r="L34" s="91" t="str"/>
      <x:c r="M34" s="91" t="str">
        <x:v>能力・適性・Credit整合済</x:v>
      </x:c>
    </x:row>
    <x:row r="35" ht="24" customHeight="1">
      <x:c r="A35" s="82" t="n">
        <x:v>31</x:v>
      </x:c>
      <x:c r="B35" s="82" t="str">
        <x:v>David Gaudu</x:v>
      </x:c>
      <x:c r="C35" s="85" t="n">
        <x:v>50</x:v>
      </x:c>
      <x:c r="D35" s="85" t="n">
        <x:v>0</x:v>
      </x:c>
      <x:c r="E35" s="85" t="n">
        <x:v>0</x:v>
      </x:c>
      <x:c r="F35" s="85" t="n">
        <x:v>0</x:v>
      </x:c>
      <x:c r="G35" s="85" t="n">
        <x:v>0</x:v>
      </x:c>
      <x:c r="H35" s="85" t="n">
        <x:v>0</x:v>
      </x:c>
      <x:c r="I35" s="91" t="str">
        <x:v>要出走確認</x:v>
      </x:c>
      <x:c r="J35" s="91" t="str">
        <x:v>1960〜2026完走順位との一致なし。未出走または表記差を要確認</x:v>
      </x:c>
      <x:c r="K35" s="91" t="str">
        <x:v>https://bikeraceinfo.com/classics/paris-roubaix/paris-roubaix-index.html</x:v>
      </x:c>
      <x:c r="L35" s="91" t="str"/>
      <x:c r="M35" s="91" t="str">
        <x:v>能力・適性・Credit整合済</x:v>
      </x:c>
    </x:row>
    <x:row r="36" ht="24" customHeight="1">
      <x:c r="A36" s="82" t="n">
        <x:v>32</x:v>
      </x:c>
      <x:c r="B36" s="82" t="str">
        <x:v>Tiesj Benoot</x:v>
      </x:c>
      <x:c r="C36" s="85" t="n">
        <x:v>64</x:v>
      </x:c>
      <x:c r="D36" s="85" t="n">
        <x:v>100</x:v>
      </x:c>
      <x:c r="E36" s="85" t="n">
        <x:v>1</x:v>
      </x:c>
      <x:c r="F36" s="85" t="n">
        <x:v>0</x:v>
      </x:c>
      <x:c r="G36" s="85" t="n">
        <x:v>0</x:v>
      </x:c>
      <x:c r="H36" s="85" t="n">
        <x:v>0</x:v>
      </x:c>
      <x:c r="I36" s="91" t="str">
        <x:v>結果照合済</x:v>
      </x:c>
      <x:c r="J36" s="91" t="str">
        <x:v>最高100位 / 完走1回 / Top10 0回 / 優勝0回</x:v>
      </x:c>
      <x:c r="K36" s="91" t="str">
        <x:v>https://bikeraceinfo.com/classics/paris-roubaix/pr2015.html</x:v>
      </x:c>
      <x:c r="L36" s="91" t="str"/>
      <x:c r="M36" s="91" t="str">
        <x:v>能力・適性・Credit整合済</x:v>
      </x:c>
    </x:row>
    <x:row r="37" ht="24" customHeight="1">
      <x:c r="A37" s="82" t="n">
        <x:v>33</x:v>
      </x:c>
      <x:c r="B37" s="82" t="str">
        <x:v>Valentin Madouas</x:v>
      </x:c>
      <x:c r="C37" s="85" t="n">
        <x:v>50</x:v>
      </x:c>
      <x:c r="D37" s="85" t="n">
        <x:v>0</x:v>
      </x:c>
      <x:c r="E37" s="85" t="n">
        <x:v>0</x:v>
      </x:c>
      <x:c r="F37" s="85" t="n">
        <x:v>0</x:v>
      </x:c>
      <x:c r="G37" s="85" t="n">
        <x:v>0</x:v>
      </x:c>
      <x:c r="H37" s="85" t="n">
        <x:v>0</x:v>
      </x:c>
      <x:c r="I37" s="91" t="str">
        <x:v>要出走確認</x:v>
      </x:c>
      <x:c r="J37" s="91" t="str">
        <x:v>1960〜2026完走順位との一致なし。未出走または表記差を要確認</x:v>
      </x:c>
      <x:c r="K37" s="91" t="str">
        <x:v>https://bikeraceinfo.com/classics/paris-roubaix/paris-roubaix-index.html</x:v>
      </x:c>
      <x:c r="L37" s="91" t="str"/>
      <x:c r="M37" s="91" t="str">
        <x:v>能力・適性・Credit整合済</x:v>
      </x:c>
    </x:row>
    <x:row r="38" ht="24" customHeight="1">
      <x:c r="A38" s="82" t="n">
        <x:v>34</x:v>
      </x:c>
      <x:c r="B38" s="82" t="str">
        <x:v>Florian Lipowitz</x:v>
      </x:c>
      <x:c r="C38" s="85" t="n">
        <x:v>50</x:v>
      </x:c>
      <x:c r="D38" s="85" t="n">
        <x:v>0</x:v>
      </x:c>
      <x:c r="E38" s="85" t="n">
        <x:v>0</x:v>
      </x:c>
      <x:c r="F38" s="85" t="n">
        <x:v>0</x:v>
      </x:c>
      <x:c r="G38" s="85" t="n">
        <x:v>0</x:v>
      </x:c>
      <x:c r="H38" s="85" t="n">
        <x:v>0</x:v>
      </x:c>
      <x:c r="I38" s="91" t="str">
        <x:v>要出走確認</x:v>
      </x:c>
      <x:c r="J38" s="91" t="str">
        <x:v>1960〜2026完走順位との一致なし。未出走または表記差を要確認</x:v>
      </x:c>
      <x:c r="K38" s="91" t="str">
        <x:v>https://bikeraceinfo.com/classics/paris-roubaix/paris-roubaix-index.html</x:v>
      </x:c>
      <x:c r="L38" s="91" t="str"/>
      <x:c r="M38" s="91" t="str">
        <x:v>能力・適性・Credit整合済</x:v>
      </x:c>
    </x:row>
    <x:row r="39" ht="24" customHeight="1">
      <x:c r="A39" s="82" t="n">
        <x:v>35</x:v>
      </x:c>
      <x:c r="B39" s="82" t="str">
        <x:v>Pello Bilbao</x:v>
      </x:c>
      <x:c r="C39" s="85" t="n">
        <x:v>50</x:v>
      </x:c>
      <x:c r="D39" s="85" t="n">
        <x:v>0</x:v>
      </x:c>
      <x:c r="E39" s="85" t="n">
        <x:v>0</x:v>
      </x:c>
      <x:c r="F39" s="85" t="n">
        <x:v>0</x:v>
      </x:c>
      <x:c r="G39" s="85" t="n">
        <x:v>0</x:v>
      </x:c>
      <x:c r="H39" s="85" t="n">
        <x:v>0</x:v>
      </x:c>
      <x:c r="I39" s="91" t="str">
        <x:v>要出走確認</x:v>
      </x:c>
      <x:c r="J39" s="91" t="str">
        <x:v>1960〜2026完走順位との一致なし。未出走または表記差を要確認</x:v>
      </x:c>
      <x:c r="K39" s="91" t="str">
        <x:v>https://bikeraceinfo.com/classics/paris-roubaix/paris-roubaix-index.html</x:v>
      </x:c>
      <x:c r="L39" s="91" t="str"/>
      <x:c r="M39" s="91" t="str">
        <x:v>能力・適性・Credit整合済</x:v>
      </x:c>
    </x:row>
    <x:row r="40" ht="24" customHeight="1">
      <x:c r="A40" s="82" t="n">
        <x:v>36</x:v>
      </x:c>
      <x:c r="B40" s="82" t="str">
        <x:v>Romain Gregoire</x:v>
      </x:c>
      <x:c r="C40" s="85" t="n">
        <x:v>50</x:v>
      </x:c>
      <x:c r="D40" s="85" t="n">
        <x:v>0</x:v>
      </x:c>
      <x:c r="E40" s="85" t="n">
        <x:v>0</x:v>
      </x:c>
      <x:c r="F40" s="85" t="n">
        <x:v>0</x:v>
      </x:c>
      <x:c r="G40" s="85" t="n">
        <x:v>0</x:v>
      </x:c>
      <x:c r="H40" s="85" t="n">
        <x:v>0</x:v>
      </x:c>
      <x:c r="I40" s="91" t="str">
        <x:v>要出走確認</x:v>
      </x:c>
      <x:c r="J40" s="91" t="str">
        <x:v>1960〜2026完走順位との一致なし。未出走または表記差を要確認</x:v>
      </x:c>
      <x:c r="K40" s="91" t="str">
        <x:v>https://bikeraceinfo.com/classics/paris-roubaix/paris-roubaix-index.html</x:v>
      </x:c>
      <x:c r="L40" s="91" t="str"/>
      <x:c r="M40" s="91" t="str">
        <x:v>能力・適性・Credit整合済</x:v>
      </x:c>
    </x:row>
    <x:row r="41" ht="24" customHeight="1">
      <x:c r="A41" s="82" t="n">
        <x:v>37</x:v>
      </x:c>
      <x:c r="B41" s="82" t="str">
        <x:v>Juan Sebastian Molano</x:v>
      </x:c>
      <x:c r="C41" s="85" t="n">
        <x:v>50</x:v>
      </x:c>
      <x:c r="D41" s="85" t="n">
        <x:v>0</x:v>
      </x:c>
      <x:c r="E41" s="85" t="n">
        <x:v>0</x:v>
      </x:c>
      <x:c r="F41" s="85" t="n">
        <x:v>0</x:v>
      </x:c>
      <x:c r="G41" s="85" t="n">
        <x:v>0</x:v>
      </x:c>
      <x:c r="H41" s="85" t="n">
        <x:v>0</x:v>
      </x:c>
      <x:c r="I41" s="91" t="str">
        <x:v>要出走確認</x:v>
      </x:c>
      <x:c r="J41" s="91" t="str">
        <x:v>1960〜2026完走順位との一致なし。未出走または表記差を要確認</x:v>
      </x:c>
      <x:c r="K41" s="91" t="str">
        <x:v>https://bikeraceinfo.com/classics/paris-roubaix/paris-roubaix-index.html</x:v>
      </x:c>
      <x:c r="L41" s="91" t="str"/>
      <x:c r="M41" s="91" t="str">
        <x:v>能力・適性・Credit整合済</x:v>
      </x:c>
    </x:row>
    <x:row r="42" ht="24" customHeight="1">
      <x:c r="A42" s="82" t="n">
        <x:v>38</x:v>
      </x:c>
      <x:c r="B42" s="82" t="str">
        <x:v>Jhonatan Narvaez</x:v>
      </x:c>
      <x:c r="C42" s="85" t="n">
        <x:v>50</x:v>
      </x:c>
      <x:c r="D42" s="85" t="n">
        <x:v>0</x:v>
      </x:c>
      <x:c r="E42" s="85" t="n">
        <x:v>0</x:v>
      </x:c>
      <x:c r="F42" s="85" t="n">
        <x:v>0</x:v>
      </x:c>
      <x:c r="G42" s="85" t="n">
        <x:v>0</x:v>
      </x:c>
      <x:c r="H42" s="85" t="n">
        <x:v>0</x:v>
      </x:c>
      <x:c r="I42" s="91" t="str">
        <x:v>要出走確認</x:v>
      </x:c>
      <x:c r="J42" s="91" t="str">
        <x:v>1960〜2026完走順位との一致なし。未出走または表記差を要確認</x:v>
      </x:c>
      <x:c r="K42" s="91" t="str">
        <x:v>https://bikeraceinfo.com/classics/paris-roubaix/paris-roubaix-index.html</x:v>
      </x:c>
      <x:c r="L42" s="91" t="str"/>
      <x:c r="M42" s="91" t="str">
        <x:v>能力・適性・Credit整合済</x:v>
      </x:c>
    </x:row>
    <x:row r="43" ht="24" customHeight="1">
      <x:c r="A43" s="82" t="n">
        <x:v>39</x:v>
      </x:c>
      <x:c r="B43" s="82" t="str">
        <x:v>Felix Gall</x:v>
      </x:c>
      <x:c r="C43" s="85" t="n">
        <x:v>50</x:v>
      </x:c>
      <x:c r="D43" s="85" t="n">
        <x:v>0</x:v>
      </x:c>
      <x:c r="E43" s="85" t="n">
        <x:v>0</x:v>
      </x:c>
      <x:c r="F43" s="85" t="n">
        <x:v>0</x:v>
      </x:c>
      <x:c r="G43" s="85" t="n">
        <x:v>0</x:v>
      </x:c>
      <x:c r="H43" s="85" t="n">
        <x:v>0</x:v>
      </x:c>
      <x:c r="I43" s="91" t="str">
        <x:v>要出走確認</x:v>
      </x:c>
      <x:c r="J43" s="91" t="str">
        <x:v>1960〜2026完走順位との一致なし。未出走または表記差を要確認</x:v>
      </x:c>
      <x:c r="K43" s="91" t="str">
        <x:v>https://bikeraceinfo.com/classics/paris-roubaix/paris-roubaix-index.html</x:v>
      </x:c>
      <x:c r="L43" s="91" t="str"/>
      <x:c r="M43" s="91" t="str">
        <x:v>能力・適性・Credit整合済</x:v>
      </x:c>
    </x:row>
    <x:row r="44" ht="24" customHeight="1">
      <x:c r="A44" s="82" t="n">
        <x:v>40</x:v>
      </x:c>
      <x:c r="B44" s="82" t="str">
        <x:v>Jordi Meeus</x:v>
      </x:c>
      <x:c r="C44" s="85" t="n">
        <x:v>73</x:v>
      </x:c>
      <x:c r="D44" s="85" t="n">
        <x:v>17</x:v>
      </x:c>
      <x:c r="E44" s="85" t="n">
        <x:v>1</x:v>
      </x:c>
      <x:c r="F44" s="85" t="n">
        <x:v>0</x:v>
      </x:c>
      <x:c r="G44" s="85" t="n">
        <x:v>0</x:v>
      </x:c>
      <x:c r="H44" s="85" t="n">
        <x:v>0</x:v>
      </x:c>
      <x:c r="I44" s="91" t="str">
        <x:v>結果照合済</x:v>
      </x:c>
      <x:c r="J44" s="91" t="str">
        <x:v>最高17位 / 完走1回 / Top10 0回 / 優勝0回</x:v>
      </x:c>
      <x:c r="K44" s="91" t="str">
        <x:v>https://bikeraceinfo.com/classics/paris-roubaix/pr2026.html</x:v>
      </x:c>
      <x:c r="L44" s="91" t="str"/>
      <x:c r="M44" s="91" t="str">
        <x:v>能力・適性・Credit整合済</x:v>
      </x:c>
    </x:row>
    <x:row r="45" ht="24" customHeight="1">
      <x:c r="A45" s="82" t="n">
        <x:v>41</x:v>
      </x:c>
      <x:c r="B45" s="82" t="str">
        <x:v>Tim Merlier</x:v>
      </x:c>
      <x:c r="C45" s="85" t="n">
        <x:v>69</x:v>
      </x:c>
      <x:c r="D45" s="85" t="n">
        <x:v>45</x:v>
      </x:c>
      <x:c r="E45" s="85" t="n">
        <x:v>1</x:v>
      </x:c>
      <x:c r="F45" s="85" t="n">
        <x:v>0</x:v>
      </x:c>
      <x:c r="G45" s="85" t="n">
        <x:v>0</x:v>
      </x:c>
      <x:c r="H45" s="85" t="n">
        <x:v>0</x:v>
      </x:c>
      <x:c r="I45" s="91" t="str">
        <x:v>結果照合済</x:v>
      </x:c>
      <x:c r="J45" s="91" t="str">
        <x:v>最高45位 / 完走1回 / Top10 0回 / 優勝0回</x:v>
      </x:c>
      <x:c r="K45" s="91" t="str">
        <x:v>https://bikeraceinfo.com/classics/paris-roubaix/pr2026.html</x:v>
      </x:c>
      <x:c r="L45" s="91" t="str"/>
      <x:c r="M45" s="91" t="str">
        <x:v>能力・適性・Credit整合済</x:v>
      </x:c>
    </x:row>
    <x:row r="46" ht="24" customHeight="1">
      <x:c r="A46" s="82" t="n">
        <x:v>42</x:v>
      </x:c>
      <x:c r="B46" s="82" t="str">
        <x:v>Antonio Tiberi</x:v>
      </x:c>
      <x:c r="C46" s="85" t="n">
        <x:v>50</x:v>
      </x:c>
      <x:c r="D46" s="85" t="n">
        <x:v>0</x:v>
      </x:c>
      <x:c r="E46" s="85" t="n">
        <x:v>0</x:v>
      </x:c>
      <x:c r="F46" s="85" t="n">
        <x:v>0</x:v>
      </x:c>
      <x:c r="G46" s="85" t="n">
        <x:v>0</x:v>
      </x:c>
      <x:c r="H46" s="85" t="n">
        <x:v>0</x:v>
      </x:c>
      <x:c r="I46" s="91" t="str">
        <x:v>要出走確認</x:v>
      </x:c>
      <x:c r="J46" s="91" t="str">
        <x:v>1960〜2026完走順位との一致なし。未出走または表記差を要確認</x:v>
      </x:c>
      <x:c r="K46" s="91" t="str">
        <x:v>https://bikeraceinfo.com/classics/paris-roubaix/paris-roubaix-index.html</x:v>
      </x:c>
      <x:c r="L46" s="91" t="str"/>
      <x:c r="M46" s="91" t="str">
        <x:v>能力・適性・Credit整合済</x:v>
      </x:c>
    </x:row>
    <x:row r="47" ht="24" customHeight="1">
      <x:c r="A47" s="82" t="n">
        <x:v>43</x:v>
      </x:c>
      <x:c r="B47" s="82" t="str">
        <x:v>Oscar Onley</x:v>
      </x:c>
      <x:c r="C47" s="85" t="n">
        <x:v>50</x:v>
      </x:c>
      <x:c r="D47" s="85" t="n">
        <x:v>0</x:v>
      </x:c>
      <x:c r="E47" s="85" t="n">
        <x:v>0</x:v>
      </x:c>
      <x:c r="F47" s="85" t="n">
        <x:v>0</x:v>
      </x:c>
      <x:c r="G47" s="85" t="n">
        <x:v>0</x:v>
      </x:c>
      <x:c r="H47" s="85" t="n">
        <x:v>0</x:v>
      </x:c>
      <x:c r="I47" s="91" t="str">
        <x:v>要出走確認</x:v>
      </x:c>
      <x:c r="J47" s="91" t="str">
        <x:v>1960〜2026完走順位との一致なし。未出走または表記差を要確認</x:v>
      </x:c>
      <x:c r="K47" s="91" t="str">
        <x:v>https://bikeraceinfo.com/classics/paris-roubaix/paris-roubaix-index.html</x:v>
      </x:c>
      <x:c r="L47" s="91" t="str"/>
      <x:c r="M47" s="91" t="str">
        <x:v>能力・適性・Credit整合済</x:v>
      </x:c>
    </x:row>
    <x:row r="48" ht="24" customHeight="1">
      <x:c r="A48" s="82" t="n">
        <x:v>44</x:v>
      </x:c>
      <x:c r="B48" s="82" t="str">
        <x:v>Benoit Cosnefroy</x:v>
      </x:c>
      <x:c r="C48" s="85" t="n">
        <x:v>50</x:v>
      </x:c>
      <x:c r="D48" s="85" t="n">
        <x:v>0</x:v>
      </x:c>
      <x:c r="E48" s="85" t="n">
        <x:v>0</x:v>
      </x:c>
      <x:c r="F48" s="85" t="n">
        <x:v>0</x:v>
      </x:c>
      <x:c r="G48" s="85" t="n">
        <x:v>0</x:v>
      </x:c>
      <x:c r="H48" s="85" t="n">
        <x:v>0</x:v>
      </x:c>
      <x:c r="I48" s="91" t="str">
        <x:v>要出走確認</x:v>
      </x:c>
      <x:c r="J48" s="91" t="str">
        <x:v>1960〜2026完走順位との一致なし。未出走または表記差を要確認</x:v>
      </x:c>
      <x:c r="K48" s="91" t="str">
        <x:v>https://bikeraceinfo.com/classics/paris-roubaix/paris-roubaix-index.html</x:v>
      </x:c>
      <x:c r="L48" s="91" t="str"/>
      <x:c r="M48" s="91" t="str">
        <x:v>能力・適性・Credit整合済</x:v>
      </x:c>
    </x:row>
    <x:row r="49" ht="24" customHeight="1">
      <x:c r="A49" s="82" t="n">
        <x:v>45</x:v>
      </x:c>
      <x:c r="B49" s="82" t="str">
        <x:v>Mads Pedersen (cyclist)</x:v>
      </x:c>
      <x:c r="C49" s="85" t="n">
        <x:v>83</x:v>
      </x:c>
      <x:c r="D49" s="85" t="n">
        <x:v>0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  <x:c r="I49" s="91" t="str">
        <x:v>要実績照合</x:v>
      </x:c>
      <x:c r="J49" s="91" t="str">
        <x:v>現役300名補充時の脚質暫定値。パリ〜ルーベ／ロンド個人成績の追加照合が必要</x:v>
      </x:c>
      <x:c r="K49" s="91" t="str">
        <x:v>https://www.paris-roubaix.fr/en/history</x:v>
      </x:c>
      <x:c r="L49" s="91" t="str"/>
      <x:c r="M49" s="91" t="str">
        <x:v>能力・適性・Credit整合済</x:v>
      </x:c>
    </x:row>
    <x:row r="50" ht="24" customHeight="1">
      <x:c r="A50" s="82" t="n">
        <x:v>46</x:v>
      </x:c>
      <x:c r="B50" s="82" t="str">
        <x:v>Daniel Martínez (cyclist)</x:v>
      </x:c>
      <x:c r="C50" s="85" t="n">
        <x:v>62</x:v>
      </x:c>
      <x:c r="D50" s="85" t="n">
        <x:v>0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  <x:c r="I50" s="91" t="str">
        <x:v>要実績照合</x:v>
      </x:c>
      <x:c r="J50" s="91" t="str">
        <x:v>現役300名補充時の脚質暫定値。パリ〜ルーベ／ロンド個人成績の追加照合が必要</x:v>
      </x:c>
      <x:c r="K50" s="91" t="str">
        <x:v>https://www.paris-roubaix.fr/en/history</x:v>
      </x:c>
      <x:c r="L50" s="91" t="str"/>
      <x:c r="M50" s="91" t="str">
        <x:v>能力・適性・Credit整合済</x:v>
      </x:c>
    </x:row>
    <x:row r="51" ht="24" customHeight="1">
      <x:c r="A51" s="82" t="n">
        <x:v>47</x:v>
      </x:c>
      <x:c r="B51" s="82" t="str">
        <x:v>Guillaume Martin</x:v>
      </x:c>
      <x:c r="C51" s="85" t="n">
        <x:v>50</x:v>
      </x:c>
      <x:c r="D51" s="85" t="n">
        <x:v>0</x:v>
      </x:c>
      <x:c r="E51" s="85" t="n">
        <x:v>0</x:v>
      </x:c>
      <x:c r="F51" s="85" t="n">
        <x:v>0</x:v>
      </x:c>
      <x:c r="G51" s="85" t="n">
        <x:v>0</x:v>
      </x:c>
      <x:c r="H51" s="85" t="n">
        <x:v>0</x:v>
      </x:c>
      <x:c r="I51" s="91" t="str">
        <x:v>要出走確認</x:v>
      </x:c>
      <x:c r="J51" s="91" t="str">
        <x:v>1960〜2026完走順位との一致なし。未出走または表記差を要確認</x:v>
      </x:c>
      <x:c r="K51" s="91" t="str">
        <x:v>https://bikeraceinfo.com/classics/paris-roubaix/paris-roubaix-index.html</x:v>
      </x:c>
      <x:c r="L51" s="91" t="str"/>
      <x:c r="M51" s="91" t="str">
        <x:v>能力・適性・Credit整合済</x:v>
      </x:c>
    </x:row>
    <x:row r="52" ht="24" customHeight="1">
      <x:c r="A52" s="82" t="n">
        <x:v>48</x:v>
      </x:c>
      <x:c r="B52" s="82" t="str">
        <x:v>Giulio Pellizzari</x:v>
      </x:c>
      <x:c r="C52" s="85" t="n">
        <x:v>50</x:v>
      </x:c>
      <x:c r="D52" s="85" t="n">
        <x:v>0</x:v>
      </x:c>
      <x:c r="E52" s="85" t="n">
        <x:v>0</x:v>
      </x:c>
      <x:c r="F52" s="85" t="n">
        <x:v>0</x:v>
      </x:c>
      <x:c r="G52" s="85" t="n">
        <x:v>0</x:v>
      </x:c>
      <x:c r="H52" s="85" t="n">
        <x:v>0</x:v>
      </x:c>
      <x:c r="I52" s="91" t="str">
        <x:v>要出走確認</x:v>
      </x:c>
      <x:c r="J52" s="91" t="str">
        <x:v>1960〜2026完走順位との一致なし。未出走または表記差を要確認</x:v>
      </x:c>
      <x:c r="K52" s="91" t="str">
        <x:v>https://bikeraceinfo.com/classics/paris-roubaix/paris-roubaix-index.html</x:v>
      </x:c>
      <x:c r="L52" s="91" t="str"/>
      <x:c r="M52" s="91" t="str">
        <x:v>能力・適性・Credit整合済</x:v>
      </x:c>
    </x:row>
    <x:row r="53" ht="24" customHeight="1">
      <x:c r="A53" s="82" t="n">
        <x:v>49</x:v>
      </x:c>
      <x:c r="B53" s="82" t="str">
        <x:v>Enric Mas</x:v>
      </x:c>
      <x:c r="C53" s="85" t="n">
        <x:v>50</x:v>
      </x:c>
      <x:c r="D53" s="85" t="n">
        <x:v>0</x:v>
      </x:c>
      <x:c r="E53" s="85" t="n">
        <x:v>0</x:v>
      </x:c>
      <x:c r="F53" s="85" t="n">
        <x:v>0</x:v>
      </x:c>
      <x:c r="G53" s="85" t="n">
        <x:v>0</x:v>
      </x:c>
      <x:c r="H53" s="85" t="n">
        <x:v>0</x:v>
      </x:c>
      <x:c r="I53" s="91" t="str">
        <x:v>要出走確認</x:v>
      </x:c>
      <x:c r="J53" s="91" t="str">
        <x:v>1960〜2026完走順位との一致なし。未出走または表記差を要確認</x:v>
      </x:c>
      <x:c r="K53" s="91" t="str">
        <x:v>https://bikeraceinfo.com/classics/paris-roubaix/paris-roubaix-index.html</x:v>
      </x:c>
      <x:c r="L53" s="91" t="str"/>
      <x:c r="M53" s="91" t="str">
        <x:v>能力・適性・Credit整合済</x:v>
      </x:c>
    </x:row>
    <x:row r="54" ht="24" customHeight="1">
      <x:c r="A54" s="82" t="n">
        <x:v>50</x:v>
      </x:c>
      <x:c r="B54" s="82" t="str">
        <x:v>Hugo Houle</x:v>
      </x:c>
      <x:c r="C54" s="85" t="n">
        <x:v>62</x:v>
      </x:c>
      <x:c r="D54" s="85" t="n">
        <x:v>0</x:v>
      </x:c>
      <x:c r="E54" s="85" t="n">
        <x:v>0</x:v>
      </x:c>
      <x:c r="F54" s="85" t="n">
        <x:v>0</x:v>
      </x:c>
      <x:c r="G54" s="85" t="n">
        <x:v>0</x:v>
      </x:c>
      <x:c r="H54" s="85" t="n">
        <x:v>0</x:v>
      </x:c>
      <x:c r="I54" s="91" t="str">
        <x:v>要実績照合</x:v>
      </x:c>
      <x:c r="J54" s="91" t="str">
        <x:v>現役300名補充時の脚質暫定値。パリ〜ルーベ／ロンド個人成績の追加照合が必要</x:v>
      </x:c>
      <x:c r="K54" s="91" t="str">
        <x:v>https://www.paris-roubaix.fr/en/history</x:v>
      </x:c>
      <x:c r="L54" s="91" t="str"/>
      <x:c r="M54" s="91" t="str">
        <x:v>能力・適性・Credit整合済</x:v>
      </x:c>
    </x:row>
    <x:row r="55" ht="24" customHeight="1">
      <x:c r="A55" s="82" t="n">
        <x:v>51</x:v>
      </x:c>
      <x:c r="B55" s="82" t="str">
        <x:v>Joshua Tarling</x:v>
      </x:c>
      <x:c r="C55" s="85" t="n">
        <x:v>69</x:v>
      </x:c>
      <x:c r="D55" s="85" t="n">
        <x:v>41</x:v>
      </x:c>
      <x:c r="E55" s="85" t="n">
        <x:v>1</x:v>
      </x:c>
      <x:c r="F55" s="85" t="n">
        <x:v>0</x:v>
      </x:c>
      <x:c r="G55" s="85" t="n">
        <x:v>0</x:v>
      </x:c>
      <x:c r="H55" s="85" t="n">
        <x:v>0</x:v>
      </x:c>
      <x:c r="I55" s="91" t="str">
        <x:v>結果照合済</x:v>
      </x:c>
      <x:c r="J55" s="91" t="str">
        <x:v>最高41位 / 完走1回 / Top10 0回 / 優勝0回</x:v>
      </x:c>
      <x:c r="K55" s="91" t="str">
        <x:v>https://bikeraceinfo.com/classics/paris-roubaix/pr2026.html</x:v>
      </x:c>
      <x:c r="L55" s="91" t="str"/>
      <x:c r="M55" s="91" t="str">
        <x:v>能力・適性・Credit整合済</x:v>
      </x:c>
    </x:row>
    <x:row r="56" ht="24" customHeight="1">
      <x:c r="A56" s="82" t="n">
        <x:v>52</x:v>
      </x:c>
      <x:c r="B56" s="82" t="str">
        <x:v>John Degenkolb</x:v>
      </x:c>
      <x:c r="C56" s="85" t="n">
        <x:v>82</x:v>
      </x:c>
      <x:c r="D56" s="85" t="n">
        <x:v>1</x:v>
      </x:c>
      <x:c r="E56" s="85" t="n">
        <x:v>5</x:v>
      </x:c>
      <x:c r="F56" s="85" t="n">
        <x:v>2</x:v>
      </x:c>
      <x:c r="G56" s="85" t="n">
        <x:v>1</x:v>
      </x:c>
      <x:c r="H56" s="85" t="n">
        <x:v>0</x:v>
      </x:c>
      <x:c r="I56" s="91" t="str">
        <x:v>結果照合済</x:v>
      </x:c>
      <x:c r="J56" s="91" t="str">
        <x:v>最高1位 / 完走5回 / Top10 2回 / 優勝1回</x:v>
      </x:c>
      <x:c r="K56" s="91" t="str">
        <x:v>https://bikeraceinfo.com/classics/paris-roubaix/pr2015.html</x:v>
      </x:c>
      <x:c r="L56" s="91" t="str"/>
      <x:c r="M56" s="91" t="str">
        <x:v>能力・適性・Credit整合済</x:v>
      </x:c>
    </x:row>
    <x:row r="57" ht="24" customHeight="1">
      <x:c r="A57" s="82" t="n">
        <x:v>53</x:v>
      </x:c>
      <x:c r="B57" s="82" t="str">
        <x:v>Florian Sénéchal</x:v>
      </x:c>
      <x:c r="C57" s="85" t="n">
        <x:v>74</x:v>
      </x:c>
      <x:c r="D57" s="85" t="n">
        <x:v>0</x:v>
      </x:c>
      <x:c r="E57" s="85" t="n">
        <x:v>0</x:v>
      </x:c>
      <x:c r="F57" s="85" t="n">
        <x:v>0</x:v>
      </x:c>
      <x:c r="G57" s="85" t="n">
        <x:v>0</x:v>
      </x:c>
      <x:c r="H57" s="85" t="n">
        <x:v>0</x:v>
      </x:c>
      <x:c r="I57" s="91" t="str">
        <x:v>要実績照合</x:v>
      </x:c>
      <x:c r="J57" s="91" t="str">
        <x:v>現役300名補充時の脚質暫定値。パリ〜ルーベ／ロンド個人成績の追加照合が必要</x:v>
      </x:c>
      <x:c r="K57" s="91" t="str">
        <x:v>https://www.paris-roubaix.fr/en/history</x:v>
      </x:c>
      <x:c r="L57" s="91" t="str"/>
      <x:c r="M57" s="91" t="str">
        <x:v>能力・適性・Credit整合済</x:v>
      </x:c>
    </x:row>
    <x:row r="58" ht="24" customHeight="1">
      <x:c r="A58" s="82" t="n">
        <x:v>54</x:v>
      </x:c>
      <x:c r="B58" s="82" t="str">
        <x:v>Bauke Mollema</x:v>
      </x:c>
      <x:c r="C58" s="85" t="n">
        <x:v>57</x:v>
      </x:c>
      <x:c r="D58" s="85" t="n">
        <x:v>0</x:v>
      </x:c>
      <x:c r="E58" s="85" t="n">
        <x:v>0</x:v>
      </x:c>
      <x:c r="F58" s="85" t="n">
        <x:v>0</x:v>
      </x:c>
      <x:c r="G58" s="85" t="n">
        <x:v>0</x:v>
      </x:c>
      <x:c r="H58" s="85" t="n">
        <x:v>0</x:v>
      </x:c>
      <x:c r="I58" s="91" t="str">
        <x:v>要実績照合</x:v>
      </x:c>
      <x:c r="J58" s="91" t="str">
        <x:v>現役300名補充時の脚質暫定値。パリ〜ルーベ／ロンド個人成績の追加照合が必要</x:v>
      </x:c>
      <x:c r="K58" s="91" t="str">
        <x:v>https://www.paris-roubaix.fr/en/history</x:v>
      </x:c>
      <x:c r="L58" s="91" t="str"/>
      <x:c r="M58" s="91" t="str">
        <x:v>能力・適性・Credit整合済</x:v>
      </x:c>
    </x:row>
    <x:row r="59" ht="24" customHeight="1">
      <x:c r="A59" s="82" t="n">
        <x:v>55</x:v>
      </x:c>
      <x:c r="B59" s="82" t="str">
        <x:v>Victor Campenaerts</x:v>
      </x:c>
      <x:c r="C59" s="85" t="n">
        <x:v>50</x:v>
      </x:c>
      <x:c r="D59" s="85" t="n">
        <x:v>0</x:v>
      </x:c>
      <x:c r="E59" s="85" t="n">
        <x:v>0</x:v>
      </x:c>
      <x:c r="F59" s="85" t="n">
        <x:v>0</x:v>
      </x:c>
      <x:c r="G59" s="85" t="n">
        <x:v>0</x:v>
      </x:c>
      <x:c r="H59" s="85" t="n">
        <x:v>0</x:v>
      </x:c>
      <x:c r="I59" s="91" t="str">
        <x:v>要出走確認</x:v>
      </x:c>
      <x:c r="J59" s="91" t="str">
        <x:v>1960〜2026完走順位との一致なし。未出走または表記差を要確認</x:v>
      </x:c>
      <x:c r="K59" s="91" t="str">
        <x:v>https://bikeraceinfo.com/classics/paris-roubaix/paris-roubaix-index.html</x:v>
      </x:c>
      <x:c r="L59" s="91" t="str"/>
      <x:c r="M59" s="91" t="str">
        <x:v>能力・適性・Credit整合済</x:v>
      </x:c>
    </x:row>
    <x:row r="60" ht="24" customHeight="1">
      <x:c r="A60" s="82" t="n">
        <x:v>56</x:v>
      </x:c>
      <x:c r="B60" s="82" t="str">
        <x:v>Richard Carapaz</x:v>
      </x:c>
      <x:c r="C60" s="85" t="n">
        <x:v>50</x:v>
      </x:c>
      <x:c r="D60" s="85" t="n">
        <x:v>0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  <x:c r="I60" s="91" t="str">
        <x:v>要出走確認</x:v>
      </x:c>
      <x:c r="J60" s="91" t="str">
        <x:v>1960〜2026完走順位との一致なし。未出走または表記差を要確認</x:v>
      </x:c>
      <x:c r="K60" s="91" t="str">
        <x:v>https://bikeraceinfo.com/classics/paris-roubaix/paris-roubaix-index.html</x:v>
      </x:c>
      <x:c r="L60" s="91" t="str"/>
      <x:c r="M60" s="91" t="str">
        <x:v>能力・適性・Credit整合済</x:v>
      </x:c>
    </x:row>
    <x:row r="61" ht="24" customHeight="1">
      <x:c r="A61" s="82" t="n">
        <x:v>57</x:v>
      </x:c>
      <x:c r="B61" s="82" t="str">
        <x:v>George Bennett (cyclist)</x:v>
      </x:c>
      <x:c r="C61" s="85" t="n">
        <x:v>58</x:v>
      </x:c>
      <x:c r="D61" s="85" t="n">
        <x:v>0</x:v>
      </x:c>
      <x:c r="E61" s="85" t="n">
        <x:v>0</x:v>
      </x:c>
      <x:c r="F61" s="85" t="n">
        <x:v>0</x:v>
      </x:c>
      <x:c r="G61" s="85" t="n">
        <x:v>0</x:v>
      </x:c>
      <x:c r="H61" s="85" t="n">
        <x:v>0</x:v>
      </x:c>
      <x:c r="I61" s="91" t="str">
        <x:v>要実績照合</x:v>
      </x:c>
      <x:c r="J61" s="91" t="str">
        <x:v>現役300名補充時の脚質暫定値。パリ〜ルーベ／ロンド個人成績の追加照合が必要</x:v>
      </x:c>
      <x:c r="K61" s="91" t="str">
        <x:v>https://www.paris-roubaix.fr/en/history</x:v>
      </x:c>
      <x:c r="L61" s="91" t="str"/>
      <x:c r="M61" s="91" t="str">
        <x:v>能力・適性・Credit整合済</x:v>
      </x:c>
    </x:row>
    <x:row r="62" ht="24" customHeight="1">
      <x:c r="A62" s="82" t="n">
        <x:v>58</x:v>
      </x:c>
      <x:c r="B62" s="82" t="str">
        <x:v>Lennert Van Eetvelt</x:v>
      </x:c>
      <x:c r="C62" s="85" t="n">
        <x:v>57</x:v>
      </x:c>
      <x:c r="D62" s="85" t="n">
        <x:v>0</x:v>
      </x:c>
      <x:c r="E62" s="85" t="n">
        <x:v>0</x:v>
      </x:c>
      <x:c r="F62" s="85" t="n">
        <x:v>0</x:v>
      </x:c>
      <x:c r="G62" s="85" t="n">
        <x:v>0</x:v>
      </x:c>
      <x:c r="H62" s="85" t="n">
        <x:v>0</x:v>
      </x:c>
      <x:c r="I62" s="91" t="str">
        <x:v>要実績照合</x:v>
      </x:c>
      <x:c r="J62" s="91" t="str">
        <x:v>現役300名補充時の脚質暫定値。パリ〜ルーベ／ロンド個人成績の追加照合が必要</x:v>
      </x:c>
      <x:c r="K62" s="91" t="str">
        <x:v>https://www.paris-roubaix.fr/en/history</x:v>
      </x:c>
      <x:c r="L62" s="91" t="str"/>
      <x:c r="M62" s="91" t="str">
        <x:v>能力・適性・Credit整合済</x:v>
      </x:c>
    </x:row>
    <x:row r="63" ht="24" customHeight="1">
      <x:c r="A63" s="82" t="n">
        <x:v>59</x:v>
      </x:c>
      <x:c r="B63" s="82" t="str">
        <x:v>Stefan Bissegger</x:v>
      </x:c>
      <x:c r="C63" s="85" t="n">
        <x:v>76</x:v>
      </x:c>
      <x:c r="D63" s="85" t="n">
        <x:v>8</x:v>
      </x:c>
      <x:c r="E63" s="85" t="n">
        <x:v>1</x:v>
      </x:c>
      <x:c r="F63" s="85" t="n">
        <x:v>1</x:v>
      </x:c>
      <x:c r="G63" s="85" t="n">
        <x:v>0</x:v>
      </x:c>
      <x:c r="H63" s="85" t="n">
        <x:v>0</x:v>
      </x:c>
      <x:c r="I63" s="91" t="str">
        <x:v>結果照合済</x:v>
      </x:c>
      <x:c r="J63" s="91" t="str">
        <x:v>最高8位 / 完走1回 / Top10 1回 / 優勝0回</x:v>
      </x:c>
      <x:c r="K63" s="91" t="str">
        <x:v>https://bikeraceinfo.com/classics/paris-roubaix/pr2026.html</x:v>
      </x:c>
      <x:c r="L63" s="91" t="str"/>
      <x:c r="M63" s="91" t="str">
        <x:v>能力・適性・Credit整合済</x:v>
      </x:c>
    </x:row>
    <x:row r="64" ht="24" customHeight="1">
      <x:c r="A64" s="82" t="n">
        <x:v>60</x:v>
      </x:c>
      <x:c r="B64" s="82" t="str">
        <x:v>Harry Sweeny</x:v>
      </x:c>
      <x:c r="C64" s="85" t="n">
        <x:v>78</x:v>
      </x:c>
      <x:c r="D64" s="85" t="n">
        <x:v>0</x:v>
      </x:c>
      <x:c r="E64" s="85" t="n">
        <x:v>0</x:v>
      </x:c>
      <x:c r="F64" s="85" t="n">
        <x:v>0</x:v>
      </x:c>
      <x:c r="G64" s="85" t="n">
        <x:v>0</x:v>
      </x:c>
      <x:c r="H64" s="85" t="n">
        <x:v>0</x:v>
      </x:c>
      <x:c r="I64" s="91" t="str">
        <x:v>要実績照合</x:v>
      </x:c>
      <x:c r="J64" s="91" t="str">
        <x:v>現役300名補充時の脚質暫定値。パリ〜ルーベ／ロンド個人成績の追加照合が必要</x:v>
      </x:c>
      <x:c r="K64" s="91" t="str">
        <x:v>https://www.paris-roubaix.fr/en/history</x:v>
      </x:c>
      <x:c r="L64" s="91" t="str"/>
      <x:c r="M64" s="91" t="str">
        <x:v>能力・適性・Credit整合済</x:v>
      </x:c>
    </x:row>
    <x:row r="65" ht="24" customHeight="1">
      <x:c r="A65" s="82" t="n">
        <x:v>61</x:v>
      </x:c>
      <x:c r="B65" s="82" t="str">
        <x:v>Jefferson Alveiro Cepeda</x:v>
      </x:c>
      <x:c r="C65" s="85" t="n">
        <x:v>76</x:v>
      </x:c>
      <x:c r="D65" s="85" t="n">
        <x:v>0</x:v>
      </x:c>
      <x:c r="E65" s="85" t="n">
        <x:v>0</x:v>
      </x:c>
      <x:c r="F65" s="85" t="n">
        <x:v>0</x:v>
      </x:c>
      <x:c r="G65" s="85" t="n">
        <x:v>0</x:v>
      </x:c>
      <x:c r="H65" s="85" t="n">
        <x:v>0</x:v>
      </x:c>
      <x:c r="I65" s="91" t="str">
        <x:v>要実績照合</x:v>
      </x:c>
      <x:c r="J65" s="91" t="str">
        <x:v>現役300名補充時の脚質暫定値。パリ〜ルーベ／ロンド個人成績の追加照合が必要</x:v>
      </x:c>
      <x:c r="K65" s="91" t="str">
        <x:v>https://www.paris-roubaix.fr/en/history</x:v>
      </x:c>
      <x:c r="L65" s="91" t="str"/>
      <x:c r="M65" s="91" t="str">
        <x:v>能力・適性・Credit整合済</x:v>
      </x:c>
    </x:row>
    <x:row r="66" ht="24" customHeight="1">
      <x:c r="A66" s="82" t="n">
        <x:v>62</x:v>
      </x:c>
      <x:c r="B66" s="82" t="str">
        <x:v>Gregor Mühlberger</x:v>
      </x:c>
      <x:c r="C66" s="85" t="n">
        <x:v>55</x:v>
      </x:c>
      <x:c r="D66" s="85" t="n">
        <x:v>0</x:v>
      </x:c>
      <x:c r="E66" s="85" t="n">
        <x:v>0</x:v>
      </x:c>
      <x:c r="F66" s="85" t="n">
        <x:v>0</x:v>
      </x:c>
      <x:c r="G66" s="85" t="n">
        <x:v>0</x:v>
      </x:c>
      <x:c r="H66" s="85" t="n">
        <x:v>0</x:v>
      </x:c>
      <x:c r="I66" s="91" t="str">
        <x:v>要実績照合</x:v>
      </x:c>
      <x:c r="J66" s="91" t="str">
        <x:v>現役300名補充時の脚質暫定値。パリ〜ルーベ／ロンド個人成績の追加照合が必要</x:v>
      </x:c>
      <x:c r="K66" s="91" t="str">
        <x:v>https://www.paris-roubaix.fr/en/history</x:v>
      </x:c>
      <x:c r="L66" s="91" t="str"/>
      <x:c r="M66" s="91" t="str">
        <x:v>能力・適性・Credit整合済</x:v>
      </x:c>
    </x:row>
    <x:row r="67" ht="24" customHeight="1">
      <x:c r="A67" s="82" t="n">
        <x:v>63</x:v>
      </x:c>
      <x:c r="B67" s="82" t="str">
        <x:v>Lennard Kämna</x:v>
      </x:c>
      <x:c r="C67" s="85" t="n">
        <x:v>62</x:v>
      </x:c>
      <x:c r="D67" s="85" t="n">
        <x:v>0</x:v>
      </x:c>
      <x:c r="E67" s="85" t="n">
        <x:v>0</x:v>
      </x:c>
      <x:c r="F67" s="85" t="n">
        <x:v>0</x:v>
      </x:c>
      <x:c r="G67" s="85" t="n">
        <x:v>0</x:v>
      </x:c>
      <x:c r="H67" s="85" t="n">
        <x:v>0</x:v>
      </x:c>
      <x:c r="I67" s="91" t="str">
        <x:v>要実績照合</x:v>
      </x:c>
      <x:c r="J67" s="91" t="str">
        <x:v>現役300名補充時の脚質暫定値。パリ〜ルーベ／ロンド個人成績の追加照合が必要</x:v>
      </x:c>
      <x:c r="K67" s="91" t="str">
        <x:v>https://www.paris-roubaix.fr/en/history</x:v>
      </x:c>
      <x:c r="L67" s="91" t="str"/>
      <x:c r="M67" s="91" t="str">
        <x:v>能力・適性・Credit整合済</x:v>
      </x:c>
    </x:row>
    <x:row r="68" ht="24" customHeight="1">
      <x:c r="A68" s="82" t="n">
        <x:v>64</x:v>
      </x:c>
      <x:c r="B68" s="82" t="str">
        <x:v>Lewis Askey</x:v>
      </x:c>
      <x:c r="C68" s="85" t="n">
        <x:v>63</x:v>
      </x:c>
      <x:c r="D68" s="85" t="n">
        <x:v>0</x:v>
      </x:c>
      <x:c r="E68" s="85" t="n">
        <x:v>0</x:v>
      </x:c>
      <x:c r="F68" s="85" t="n">
        <x:v>0</x:v>
      </x:c>
      <x:c r="G68" s="85" t="n">
        <x:v>0</x:v>
      </x:c>
      <x:c r="H68" s="85" t="n">
        <x:v>0</x:v>
      </x:c>
      <x:c r="I68" s="91" t="str">
        <x:v>要実績照合</x:v>
      </x:c>
      <x:c r="J68" s="91" t="str">
        <x:v>現役300名補充時の脚質暫定値。パリ〜ルーベ／ロンド個人成績の追加照合が必要</x:v>
      </x:c>
      <x:c r="K68" s="91" t="str">
        <x:v>https://www.paris-roubaix.fr/en/history</x:v>
      </x:c>
      <x:c r="L68" s="91" t="str"/>
      <x:c r="M68" s="91" t="str">
        <x:v>能力・適性・Credit整合済</x:v>
      </x:c>
    </x:row>
    <x:row r="69" ht="24" customHeight="1">
      <x:c r="A69" s="82" t="n">
        <x:v>65</x:v>
      </x:c>
      <x:c r="B69" s="82" t="str">
        <x:v>Krists Neilands</x:v>
      </x:c>
      <x:c r="C69" s="85" t="n">
        <x:v>59</x:v>
      </x:c>
      <x:c r="D69" s="85" t="n">
        <x:v>0</x:v>
      </x:c>
      <x:c r="E69" s="85" t="n">
        <x:v>0</x:v>
      </x:c>
      <x:c r="F69" s="85" t="n">
        <x:v>0</x:v>
      </x:c>
      <x:c r="G69" s="85" t="n">
        <x:v>0</x:v>
      </x:c>
      <x:c r="H69" s="85" t="n">
        <x:v>0</x:v>
      </x:c>
      <x:c r="I69" s="91" t="str">
        <x:v>要実績照合</x:v>
      </x:c>
      <x:c r="J69" s="91" t="str">
        <x:v>現役300名補充時の脚質暫定値。パリ〜ルーベ／ロンド個人成績の追加照合が必要</x:v>
      </x:c>
      <x:c r="K69" s="91" t="str">
        <x:v>https://www.paris-roubaix.fr/en/history</x:v>
      </x:c>
      <x:c r="L69" s="91" t="str"/>
      <x:c r="M69" s="91" t="str">
        <x:v>能力・適性・Credit整合済</x:v>
      </x:c>
    </x:row>
    <x:row r="70" ht="24" customHeight="1">
      <x:c r="A70" s="82" t="n">
        <x:v>66</x:v>
      </x:c>
      <x:c r="B70" s="82" t="str">
        <x:v>Alexey Lutsenko</x:v>
      </x:c>
      <x:c r="C70" s="85" t="n">
        <x:v>63</x:v>
      </x:c>
      <x:c r="D70" s="85" t="n">
        <x:v>0</x:v>
      </x:c>
      <x:c r="E70" s="85" t="n">
        <x:v>0</x:v>
      </x:c>
      <x:c r="F70" s="85" t="n">
        <x:v>0</x:v>
      </x:c>
      <x:c r="G70" s="85" t="n">
        <x:v>0</x:v>
      </x:c>
      <x:c r="H70" s="85" t="n">
        <x:v>0</x:v>
      </x:c>
      <x:c r="I70" s="91" t="str">
        <x:v>要実績照合</x:v>
      </x:c>
      <x:c r="J70" s="91" t="str">
        <x:v>現役300名補充時の脚質暫定値。パリ〜ルーベ／ロンド個人成績の追加照合が必要</x:v>
      </x:c>
      <x:c r="K70" s="91" t="str">
        <x:v>https://www.paris-roubaix.fr/en/history</x:v>
      </x:c>
      <x:c r="L70" s="91" t="str"/>
      <x:c r="M70" s="91" t="str">
        <x:v>能力・適性・Credit整合済</x:v>
      </x:c>
    </x:row>
    <x:row r="71" ht="24" customHeight="1">
      <x:c r="A71" s="82" t="n">
        <x:v>67</x:v>
      </x:c>
      <x:c r="B71" s="82" t="str">
        <x:v>Carlos Rodríguez (cyclist)</x:v>
      </x:c>
      <x:c r="C71" s="85" t="n">
        <x:v>57</x:v>
      </x:c>
      <x:c r="D71" s="85" t="n">
        <x:v>0</x:v>
      </x:c>
      <x:c r="E71" s="85" t="n">
        <x:v>0</x:v>
      </x:c>
      <x:c r="F71" s="85" t="n">
        <x:v>0</x:v>
      </x:c>
      <x:c r="G71" s="85" t="n">
        <x:v>0</x:v>
      </x:c>
      <x:c r="H71" s="85" t="n">
        <x:v>0</x:v>
      </x:c>
      <x:c r="I71" s="91" t="str">
        <x:v>要実績照合</x:v>
      </x:c>
      <x:c r="J71" s="91" t="str">
        <x:v>現役300名補充時の脚質暫定値。パリ〜ルーベ／ロンド個人成績の追加照合が必要</x:v>
      </x:c>
      <x:c r="K71" s="91" t="str">
        <x:v>https://www.paris-roubaix.fr/en/history</x:v>
      </x:c>
      <x:c r="L71" s="91" t="str"/>
      <x:c r="M71" s="91" t="str">
        <x:v>能力・適性・Credit整合済</x:v>
      </x:c>
    </x:row>
    <x:row r="72" ht="24" customHeight="1">
      <x:c r="A72" s="82" t="n">
        <x:v>68</x:v>
      </x:c>
      <x:c r="B72" s="82" t="str">
        <x:v>Nairo Quintana</x:v>
      </x:c>
      <x:c r="C72" s="85" t="n">
        <x:v>50</x:v>
      </x:c>
      <x:c r="D72" s="85" t="n">
        <x:v>0</x:v>
      </x:c>
      <x:c r="E72" s="85" t="n">
        <x:v>0</x:v>
      </x:c>
      <x:c r="F72" s="85" t="n">
        <x:v>0</x:v>
      </x:c>
      <x:c r="G72" s="85" t="n">
        <x:v>0</x:v>
      </x:c>
      <x:c r="H72" s="85" t="n">
        <x:v>0</x:v>
      </x:c>
      <x:c r="I72" s="91" t="str">
        <x:v>要出走確認</x:v>
      </x:c>
      <x:c r="J72" s="91" t="str">
        <x:v>1960〜2026完走順位との一致なし。未出走または表記差を要確認</x:v>
      </x:c>
      <x:c r="K72" s="91" t="str">
        <x:v>https://bikeraceinfo.com/classics/paris-roubaix/paris-roubaix-index.html</x:v>
      </x:c>
      <x:c r="L72" s="91" t="str"/>
      <x:c r="M72" s="91" t="str">
        <x:v>能力・適性・Credit整合済</x:v>
      </x:c>
    </x:row>
    <x:row r="73" ht="24" customHeight="1">
      <x:c r="A73" s="82" t="n">
        <x:v>69</x:v>
      </x:c>
      <x:c r="B73" s="82" t="str">
        <x:v>Andreas Leknessund</x:v>
      </x:c>
      <x:c r="C73" s="85" t="n">
        <x:v>56</x:v>
      </x:c>
      <x:c r="D73" s="85" t="n">
        <x:v>0</x:v>
      </x:c>
      <x:c r="E73" s="85" t="n">
        <x:v>0</x:v>
      </x:c>
      <x:c r="F73" s="85" t="n">
        <x:v>0</x:v>
      </x:c>
      <x:c r="G73" s="85" t="n">
        <x:v>0</x:v>
      </x:c>
      <x:c r="H73" s="85" t="n">
        <x:v>0</x:v>
      </x:c>
      <x:c r="I73" s="91" t="str">
        <x:v>要実績照合</x:v>
      </x:c>
      <x:c r="J73" s="91" t="str">
        <x:v>現役300名補充時の脚質暫定値。パリ〜ルーベ／ロンド個人成績の追加照合が必要</x:v>
      </x:c>
      <x:c r="K73" s="91" t="str">
        <x:v>https://www.paris-roubaix.fr/en/history</x:v>
      </x:c>
      <x:c r="L73" s="91" t="str"/>
      <x:c r="M73" s="91" t="str">
        <x:v>能力・適性・Credit整合済</x:v>
      </x:c>
    </x:row>
    <x:row r="74" ht="24" customHeight="1">
      <x:c r="A74" s="82" t="n">
        <x:v>70</x:v>
      </x:c>
      <x:c r="B74" s="82" t="str">
        <x:v>Aleksandr Vlasov (cyclist)</x:v>
      </x:c>
      <x:c r="C74" s="85" t="n">
        <x:v>58</x:v>
      </x:c>
      <x:c r="D74" s="85" t="n">
        <x:v>0</x:v>
      </x:c>
      <x:c r="E74" s="85" t="n">
        <x:v>0</x:v>
      </x:c>
      <x:c r="F74" s="85" t="n">
        <x:v>0</x:v>
      </x:c>
      <x:c r="G74" s="85" t="n">
        <x:v>0</x:v>
      </x:c>
      <x:c r="H74" s="85" t="n">
        <x:v>0</x:v>
      </x:c>
      <x:c r="I74" s="91" t="str">
        <x:v>要実績照合</x:v>
      </x:c>
      <x:c r="J74" s="91" t="str">
        <x:v>現役300名補充時の脚質暫定値。パリ〜ルーベ／ロンド個人成績の追加照合が必要</x:v>
      </x:c>
      <x:c r="K74" s="91" t="str">
        <x:v>https://www.paris-roubaix.fr/en/history</x:v>
      </x:c>
      <x:c r="L74" s="91" t="str"/>
      <x:c r="M74" s="91" t="str">
        <x:v>能力・適性・Credit整合済</x:v>
      </x:c>
    </x:row>
    <x:row r="75" ht="24" customHeight="1">
      <x:c r="A75" s="82" t="n">
        <x:v>71</x:v>
      </x:c>
      <x:c r="B75" s="82" t="str">
        <x:v>Carl-Frederik Bévort</x:v>
      </x:c>
      <x:c r="C75" s="85" t="n">
        <x:v>74</x:v>
      </x:c>
      <x:c r="D75" s="85" t="n">
        <x:v>0</x:v>
      </x:c>
      <x:c r="E75" s="85" t="n">
        <x:v>0</x:v>
      </x:c>
      <x:c r="F75" s="85" t="n">
        <x:v>0</x:v>
      </x:c>
      <x:c r="G75" s="85" t="n">
        <x:v>0</x:v>
      </x:c>
      <x:c r="H75" s="85" t="n">
        <x:v>0</x:v>
      </x:c>
      <x:c r="I75" s="91" t="str">
        <x:v>要実績照合</x:v>
      </x:c>
      <x:c r="J75" s="91" t="str">
        <x:v>現役300名補充時の脚質暫定値。パリ〜ルーベ／ロンド個人成績の追加照合が必要</x:v>
      </x:c>
      <x:c r="K75" s="91" t="str">
        <x:v>https://www.paris-roubaix.fr/en/history</x:v>
      </x:c>
      <x:c r="L75" s="91" t="str"/>
      <x:c r="M75" s="91" t="str">
        <x:v>能力・適性・Credit整合済</x:v>
      </x:c>
    </x:row>
    <x:row r="76" ht="24" customHeight="1">
      <x:c r="A76" s="82" t="n">
        <x:v>72</x:v>
      </x:c>
      <x:c r="B76" s="82" t="str">
        <x:v>Frits Biesterbos</x:v>
      </x:c>
      <x:c r="C76" s="85" t="n">
        <x:v>55</x:v>
      </x:c>
      <x:c r="D76" s="85" t="n">
        <x:v>0</x:v>
      </x:c>
      <x:c r="E76" s="85" t="n">
        <x:v>0</x:v>
      </x:c>
      <x:c r="F76" s="85" t="n">
        <x:v>0</x:v>
      </x:c>
      <x:c r="G76" s="85" t="n">
        <x:v>0</x:v>
      </x:c>
      <x:c r="H76" s="85" t="n">
        <x:v>0</x:v>
      </x:c>
      <x:c r="I76" s="91" t="str">
        <x:v>要実績照合</x:v>
      </x:c>
      <x:c r="J76" s="91" t="str">
        <x:v>現役300名補充時の脚質暫定値。パリ〜ルーベ／ロンド個人成績の追加照合が必要</x:v>
      </x:c>
      <x:c r="K76" s="91" t="str">
        <x:v>https://www.paris-roubaix.fr/en/history</x:v>
      </x:c>
      <x:c r="L76" s="91" t="str"/>
      <x:c r="M76" s="91" t="str">
        <x:v>能力・適性・Credit整合済</x:v>
      </x:c>
    </x:row>
    <x:row r="77" ht="24" customHeight="1">
      <x:c r="A77" s="82" t="n">
        <x:v>73</x:v>
      </x:c>
      <x:c r="B77" s="82" t="str">
        <x:v>Ethan Vernon</x:v>
      </x:c>
      <x:c r="C77" s="85" t="n">
        <x:v>58</x:v>
      </x:c>
      <x:c r="D77" s="85" t="n">
        <x:v>0</x:v>
      </x:c>
      <x:c r="E77" s="85" t="n">
        <x:v>0</x:v>
      </x:c>
      <x:c r="F77" s="85" t="n">
        <x:v>0</x:v>
      </x:c>
      <x:c r="G77" s="85" t="n">
        <x:v>0</x:v>
      </x:c>
      <x:c r="H77" s="85" t="n">
        <x:v>0</x:v>
      </x:c>
      <x:c r="I77" s="91" t="str">
        <x:v>要実績照合</x:v>
      </x:c>
      <x:c r="J77" s="91" t="str">
        <x:v>現役300名補充時の脚質暫定値。パリ〜ルーベ／ロンド個人成績の追加照合が必要</x:v>
      </x:c>
      <x:c r="K77" s="91" t="str">
        <x:v>https://www.paris-roubaix.fr/en/history</x:v>
      </x:c>
      <x:c r="L77" s="91" t="str"/>
      <x:c r="M77" s="91" t="str">
        <x:v>能力・適性・Credit整合済</x:v>
      </x:c>
    </x:row>
    <x:row r="78" ht="24" customHeight="1">
      <x:c r="A78" s="82" t="n">
        <x:v>74</x:v>
      </x:c>
      <x:c r="B78" s="82" t="str">
        <x:v>Hugo Hofstetter</x:v>
      </x:c>
      <x:c r="C78" s="85" t="n">
        <x:v>62</x:v>
      </x:c>
      <x:c r="D78" s="85" t="n">
        <x:v>0</x:v>
      </x:c>
      <x:c r="E78" s="85" t="n">
        <x:v>0</x:v>
      </x:c>
      <x:c r="F78" s="85" t="n">
        <x:v>0</x:v>
      </x:c>
      <x:c r="G78" s="85" t="n">
        <x:v>0</x:v>
      </x:c>
      <x:c r="H78" s="85" t="n">
        <x:v>0</x:v>
      </x:c>
      <x:c r="I78" s="91" t="str">
        <x:v>要実績照合</x:v>
      </x:c>
      <x:c r="J78" s="91" t="str">
        <x:v>現役300名補充時の脚質暫定値。パリ〜ルーベ／ロンド個人成績の追加照合が必要</x:v>
      </x:c>
      <x:c r="K78" s="91" t="str">
        <x:v>https://www.paris-roubaix.fr/en/history</x:v>
      </x:c>
      <x:c r="L78" s="91" t="str"/>
      <x:c r="M78" s="91" t="str">
        <x:v>能力・適性・Credit整合済</x:v>
      </x:c>
    </x:row>
    <x:row r="79" ht="24" customHeight="1">
      <x:c r="A79" s="82" t="n">
        <x:v>75</x:v>
      </x:c>
      <x:c r="B79" s="82" t="str">
        <x:v>Itamar Einhorn</x:v>
      </x:c>
      <x:c r="C79" s="85" t="n">
        <x:v>60</x:v>
      </x:c>
      <x:c r="D79" s="85" t="n">
        <x:v>0</x:v>
      </x:c>
      <x:c r="E79" s="85" t="n">
        <x:v>0</x:v>
      </x:c>
      <x:c r="F79" s="85" t="n">
        <x:v>0</x:v>
      </x:c>
      <x:c r="G79" s="85" t="n">
        <x:v>0</x:v>
      </x:c>
      <x:c r="H79" s="85" t="n">
        <x:v>0</x:v>
      </x:c>
      <x:c r="I79" s="91" t="str">
        <x:v>要実績照合</x:v>
      </x:c>
      <x:c r="J79" s="91" t="str">
        <x:v>現役300名補充時の脚質暫定値。パリ〜ルーベ／ロンド個人成績の追加照合が必要</x:v>
      </x:c>
      <x:c r="K79" s="91" t="str">
        <x:v>https://www.paris-roubaix.fr/en/history</x:v>
      </x:c>
      <x:c r="L79" s="91" t="str"/>
      <x:c r="M79" s="91" t="str">
        <x:v>能力・適性・Credit整合済</x:v>
      </x:c>
    </x:row>
    <x:row r="80" ht="24" customHeight="1">
      <x:c r="A80" s="82" t="n">
        <x:v>76</x:v>
      </x:c>
      <x:c r="B80" s="82" t="str">
        <x:v>Albert Torres (cyclist)</x:v>
      </x:c>
      <x:c r="C80" s="85" t="n">
        <x:v>75</x:v>
      </x:c>
      <x:c r="D80" s="85" t="n">
        <x:v>0</x:v>
      </x:c>
      <x:c r="E80" s="85" t="n">
        <x:v>0</x:v>
      </x:c>
      <x:c r="F80" s="85" t="n">
        <x:v>0</x:v>
      </x:c>
      <x:c r="G80" s="85" t="n">
        <x:v>0</x:v>
      </x:c>
      <x:c r="H80" s="85" t="n">
        <x:v>0</x:v>
      </x:c>
      <x:c r="I80" s="91" t="str">
        <x:v>要実績照合</x:v>
      </x:c>
      <x:c r="J80" s="91" t="str">
        <x:v>現役300名補充時の脚質暫定値。パリ〜ルーベ／ロンド個人成績の追加照合が必要</x:v>
      </x:c>
      <x:c r="K80" s="91" t="str">
        <x:v>https://www.paris-roubaix.fr/en/history</x:v>
      </x:c>
      <x:c r="L80" s="91" t="str"/>
      <x:c r="M80" s="91" t="str">
        <x:v>能力・適性・Credit整合済</x:v>
      </x:c>
    </x:row>
    <x:row r="81" ht="24" customHeight="1">
      <x:c r="A81" s="82" t="n">
        <x:v>77</x:v>
      </x:c>
      <x:c r="B81" s="82" t="str">
        <x:v>Iván García Cortina</x:v>
      </x:c>
      <x:c r="C81" s="85" t="n">
        <x:v>74</x:v>
      </x:c>
      <x:c r="D81" s="85" t="n">
        <x:v>0</x:v>
      </x:c>
      <x:c r="E81" s="85" t="n">
        <x:v>0</x:v>
      </x:c>
      <x:c r="F81" s="85" t="n">
        <x:v>0</x:v>
      </x:c>
      <x:c r="G81" s="85" t="n">
        <x:v>0</x:v>
      </x:c>
      <x:c r="H81" s="85" t="n">
        <x:v>0</x:v>
      </x:c>
      <x:c r="I81" s="91" t="str">
        <x:v>要実績照合</x:v>
      </x:c>
      <x:c r="J81" s="91" t="str">
        <x:v>現役300名補充時の脚質暫定値。パリ〜ルーベ／ロンド個人成績の追加照合が必要</x:v>
      </x:c>
      <x:c r="K81" s="91" t="str">
        <x:v>https://www.paris-roubaix.fr/en/history</x:v>
      </x:c>
      <x:c r="L81" s="91" t="str"/>
      <x:c r="M81" s="91" t="str">
        <x:v>能力・適性・Credit整合済</x:v>
      </x:c>
    </x:row>
    <x:row r="82" ht="24" customHeight="1">
      <x:c r="A82" s="82" t="n">
        <x:v>78</x:v>
      </x:c>
      <x:c r="B82" s="82" t="str">
        <x:v>Kevin Geniets</x:v>
      </x:c>
      <x:c r="C82" s="85" t="n">
        <x:v>63</x:v>
      </x:c>
      <x:c r="D82" s="85" t="n">
        <x:v>0</x:v>
      </x:c>
      <x:c r="E82" s="85" t="n">
        <x:v>0</x:v>
      </x:c>
      <x:c r="F82" s="85" t="n">
        <x:v>0</x:v>
      </x:c>
      <x:c r="G82" s="85" t="n">
        <x:v>0</x:v>
      </x:c>
      <x:c r="H82" s="85" t="n">
        <x:v>0</x:v>
      </x:c>
      <x:c r="I82" s="91" t="str">
        <x:v>要実績照合</x:v>
      </x:c>
      <x:c r="J82" s="91" t="str">
        <x:v>現役300名補充時の脚質暫定値。パリ〜ルーベ／ロンド個人成績の追加照合が必要</x:v>
      </x:c>
      <x:c r="K82" s="91" t="str">
        <x:v>https://www.paris-roubaix.fr/en/history</x:v>
      </x:c>
      <x:c r="L82" s="91" t="str"/>
      <x:c r="M82" s="91" t="str">
        <x:v>能力・適性・Credit整合済</x:v>
      </x:c>
    </x:row>
    <x:row r="83" ht="24" customHeight="1">
      <x:c r="A83" s="82" t="n">
        <x:v>79</x:v>
      </x:c>
      <x:c r="B83" s="82" t="str">
        <x:v>Anthon Charmig</x:v>
      </x:c>
      <x:c r="C83" s="85" t="n">
        <x:v>58</x:v>
      </x:c>
      <x:c r="D83" s="85" t="n">
        <x:v>0</x:v>
      </x:c>
      <x:c r="E83" s="85" t="n">
        <x:v>0</x:v>
      </x:c>
      <x:c r="F83" s="85" t="n">
        <x:v>0</x:v>
      </x:c>
      <x:c r="G83" s="85" t="n">
        <x:v>0</x:v>
      </x:c>
      <x:c r="H83" s="85" t="n">
        <x:v>0</x:v>
      </x:c>
      <x:c r="I83" s="91" t="str">
        <x:v>要実績照合</x:v>
      </x:c>
      <x:c r="J83" s="91" t="str">
        <x:v>現役300名補充時の脚質暫定値。パリ〜ルーベ／ロンド個人成績の追加照合が必要</x:v>
      </x:c>
      <x:c r="K83" s="91" t="str">
        <x:v>https://www.paris-roubaix.fr/en/history</x:v>
      </x:c>
      <x:c r="L83" s="91" t="str"/>
      <x:c r="M83" s="91" t="str">
        <x:v>能力・適性・Credit整合済</x:v>
      </x:c>
    </x:row>
    <x:row r="84" ht="24" customHeight="1">
      <x:c r="A84" s="82" t="n">
        <x:v>80</x:v>
      </x:c>
      <x:c r="B84" s="82" t="str">
        <x:v>Andrea Bagioli</x:v>
      </x:c>
      <x:c r="C84" s="85" t="n">
        <x:v>58</x:v>
      </x:c>
      <x:c r="D84" s="85" t="n">
        <x:v>0</x:v>
      </x:c>
      <x:c r="E84" s="85" t="n">
        <x:v>0</x:v>
      </x:c>
      <x:c r="F84" s="85" t="n">
        <x:v>0</x:v>
      </x:c>
      <x:c r="G84" s="85" t="n">
        <x:v>0</x:v>
      </x:c>
      <x:c r="H84" s="85" t="n">
        <x:v>0</x:v>
      </x:c>
      <x:c r="I84" s="91" t="str">
        <x:v>要実績照合</x:v>
      </x:c>
      <x:c r="J84" s="91" t="str">
        <x:v>現役300名補充時の脚質暫定値。パリ〜ルーベ／ロンド個人成績の追加照合が必要</x:v>
      </x:c>
      <x:c r="K84" s="91" t="str">
        <x:v>https://www.paris-roubaix.fr/en/history</x:v>
      </x:c>
      <x:c r="L84" s="91" t="str"/>
      <x:c r="M84" s="91" t="str">
        <x:v>能力・適性・Credit整合済</x:v>
      </x:c>
    </x:row>
    <x:row r="85" ht="24" customHeight="1">
      <x:c r="A85" s="82" t="n">
        <x:v>81</x:v>
      </x:c>
      <x:c r="B85" s="82" t="str">
        <x:v>Alan Hatherly</x:v>
      </x:c>
      <x:c r="C85" s="85" t="n">
        <x:v>61</x:v>
      </x:c>
      <x:c r="D85" s="85" t="n">
        <x:v>0</x:v>
      </x:c>
      <x:c r="E85" s="85" t="n">
        <x:v>0</x:v>
      </x:c>
      <x:c r="F85" s="85" t="n">
        <x:v>0</x:v>
      </x:c>
      <x:c r="G85" s="85" t="n">
        <x:v>0</x:v>
      </x:c>
      <x:c r="H85" s="85" t="n">
        <x:v>0</x:v>
      </x:c>
      <x:c r="I85" s="91" t="str">
        <x:v>要実績照合</x:v>
      </x:c>
      <x:c r="J85" s="91" t="str">
        <x:v>現役300名補充時の脚質暫定値。パリ〜ルーベ／ロンド個人成績の追加照合が必要</x:v>
      </x:c>
      <x:c r="K85" s="91" t="str">
        <x:v>https://www.paris-roubaix.fr/en/history</x:v>
      </x:c>
      <x:c r="L85" s="91" t="str"/>
      <x:c r="M85" s="91" t="str">
        <x:v>能力・適性・Credit整合済</x:v>
      </x:c>
    </x:row>
    <x:row r="86" ht="24" customHeight="1">
      <x:c r="A86" s="82" t="n">
        <x:v>82</x:v>
      </x:c>
      <x:c r="B86" s="82" t="str">
        <x:v>Sepp Kuss</x:v>
      </x:c>
      <x:c r="C86" s="85" t="n">
        <x:v>50</x:v>
      </x:c>
      <x:c r="D86" s="85" t="n">
        <x:v>0</x:v>
      </x:c>
      <x:c r="E86" s="85" t="n">
        <x:v>0</x:v>
      </x:c>
      <x:c r="F86" s="85" t="n">
        <x:v>0</x:v>
      </x:c>
      <x:c r="G86" s="85" t="n">
        <x:v>0</x:v>
      </x:c>
      <x:c r="H86" s="85" t="n">
        <x:v>0</x:v>
      </x:c>
      <x:c r="I86" s="91" t="str">
        <x:v>手動検証済</x:v>
      </x:c>
      <x:c r="J86" s="91" t="str">
        <x:v>未出走</x:v>
      </x:c>
      <x:c r="K86" s="91" t="str">
        <x:v>https://www.paris-roubaix.fr/en/history</x:v>
      </x:c>
      <x:c r="L86" s="91" t="str"/>
      <x:c r="M86" s="91" t="str">
        <x:v>能力・適性・Credit整合済</x:v>
      </x:c>
    </x:row>
    <x:row r="87" ht="24" customHeight="1">
      <x:c r="A87" s="82" t="n">
        <x:v>83</x:v>
      </x:c>
      <x:c r="B87" s="82" t="str">
        <x:v>Cedric Beullens</x:v>
      </x:c>
      <x:c r="C87" s="85" t="n">
        <x:v>56</x:v>
      </x:c>
      <x:c r="D87" s="85" t="n">
        <x:v>0</x:v>
      </x:c>
      <x:c r="E87" s="85" t="n">
        <x:v>0</x:v>
      </x:c>
      <x:c r="F87" s="85" t="n">
        <x:v>0</x:v>
      </x:c>
      <x:c r="G87" s="85" t="n">
        <x:v>0</x:v>
      </x:c>
      <x:c r="H87" s="85" t="n">
        <x:v>0</x:v>
      </x:c>
      <x:c r="I87" s="91" t="str">
        <x:v>要実績照合</x:v>
      </x:c>
      <x:c r="J87" s="91" t="str">
        <x:v>現役300名補充時の脚質暫定値。パリ〜ルーベ／ロンド個人成績の追加照合が必要</x:v>
      </x:c>
      <x:c r="K87" s="91" t="str">
        <x:v>https://www.paris-roubaix.fr/en/history</x:v>
      </x:c>
      <x:c r="L87" s="91" t="str"/>
      <x:c r="M87" s="91" t="str">
        <x:v>能力・適性・Credit整合済</x:v>
      </x:c>
    </x:row>
    <x:row r="88" ht="24" customHeight="1">
      <x:c r="A88" s="82" t="n">
        <x:v>84</x:v>
      </x:c>
      <x:c r="B88" s="82" t="str">
        <x:v>Diego Ulissi</x:v>
      </x:c>
      <x:c r="C88" s="85" t="n">
        <x:v>58</x:v>
      </x:c>
      <x:c r="D88" s="85" t="n">
        <x:v>0</x:v>
      </x:c>
      <x:c r="E88" s="85" t="n">
        <x:v>0</x:v>
      </x:c>
      <x:c r="F88" s="85" t="n">
        <x:v>0</x:v>
      </x:c>
      <x:c r="G88" s="85" t="n">
        <x:v>0</x:v>
      </x:c>
      <x:c r="H88" s="85" t="n">
        <x:v>0</x:v>
      </x:c>
      <x:c r="I88" s="91" t="str">
        <x:v>要実績照合</x:v>
      </x:c>
      <x:c r="J88" s="91" t="str">
        <x:v>現役300名補充時の脚質暫定値。パリ〜ルーベ／ロンド個人成績の追加照合が必要</x:v>
      </x:c>
      <x:c r="K88" s="91" t="str">
        <x:v>https://www.paris-roubaix.fr/en/history</x:v>
      </x:c>
      <x:c r="L88" s="91" t="str"/>
      <x:c r="M88" s="91" t="str">
        <x:v>能力・適性・Credit整合済</x:v>
      </x:c>
    </x:row>
    <x:row r="89" ht="24" customHeight="1">
      <x:c r="A89" s="82" t="n">
        <x:v>85</x:v>
      </x:c>
      <x:c r="B89" s="82" t="str">
        <x:v>Henri Uhlig</x:v>
      </x:c>
      <x:c r="C89" s="85" t="n">
        <x:v>59</x:v>
      </x:c>
      <x:c r="D89" s="85" t="n">
        <x:v>0</x:v>
      </x:c>
      <x:c r="E89" s="85" t="n">
        <x:v>0</x:v>
      </x:c>
      <x:c r="F89" s="85" t="n">
        <x:v>0</x:v>
      </x:c>
      <x:c r="G89" s="85" t="n">
        <x:v>0</x:v>
      </x:c>
      <x:c r="H89" s="85" t="n">
        <x:v>0</x:v>
      </x:c>
      <x:c r="I89" s="91" t="str">
        <x:v>要実績照合</x:v>
      </x:c>
      <x:c r="J89" s="91" t="str">
        <x:v>現役300名補充時の脚質暫定値。パリ〜ルーベ／ロンド個人成績の追加照合が必要</x:v>
      </x:c>
      <x:c r="K89" s="91" t="str">
        <x:v>https://www.paris-roubaix.fr/en/history</x:v>
      </x:c>
      <x:c r="L89" s="91" t="str"/>
      <x:c r="M89" s="91" t="str">
        <x:v>能力・適性・Credit整合済</x:v>
      </x:c>
    </x:row>
    <x:row r="90" ht="24" customHeight="1">
      <x:c r="A90" s="82" t="n">
        <x:v>86</x:v>
      </x:c>
      <x:c r="B90" s="82" t="str">
        <x:v>Alberto Dainese</x:v>
      </x:c>
      <x:c r="C90" s="85" t="n">
        <x:v>56</x:v>
      </x:c>
      <x:c r="D90" s="85" t="n">
        <x:v>0</x:v>
      </x:c>
      <x:c r="E90" s="85" t="n">
        <x:v>0</x:v>
      </x:c>
      <x:c r="F90" s="85" t="n">
        <x:v>0</x:v>
      </x:c>
      <x:c r="G90" s="85" t="n">
        <x:v>0</x:v>
      </x:c>
      <x:c r="H90" s="85" t="n">
        <x:v>0</x:v>
      </x:c>
      <x:c r="I90" s="91" t="str">
        <x:v>要実績照合</x:v>
      </x:c>
      <x:c r="J90" s="91" t="str">
        <x:v>現役300名補充時の脚質暫定値。パリ〜ルーベ／ロンド個人成績の追加照合が必要</x:v>
      </x:c>
      <x:c r="K90" s="91" t="str">
        <x:v>https://www.paris-roubaix.fr/en/history</x:v>
      </x:c>
      <x:c r="L90" s="91" t="str"/>
      <x:c r="M90" s="91" t="str">
        <x:v>能力・適性・Credit整合済</x:v>
      </x:c>
    </x:row>
    <x:row r="91" ht="24" customHeight="1">
      <x:c r="A91" s="82" t="n">
        <x:v>87</x:v>
      </x:c>
      <x:c r="B91" s="82" t="str">
        <x:v>Andrea Vendrame</x:v>
      </x:c>
      <x:c r="C91" s="85" t="n">
        <x:v>53</x:v>
      </x:c>
      <x:c r="D91" s="85" t="n">
        <x:v>0</x:v>
      </x:c>
      <x:c r="E91" s="85" t="n">
        <x:v>0</x:v>
      </x:c>
      <x:c r="F91" s="85" t="n">
        <x:v>0</x:v>
      </x:c>
      <x:c r="G91" s="85" t="n">
        <x:v>0</x:v>
      </x:c>
      <x:c r="H91" s="85" t="n">
        <x:v>0</x:v>
      </x:c>
      <x:c r="I91" s="91" t="str">
        <x:v>要実績照合</x:v>
      </x:c>
      <x:c r="J91" s="91" t="str">
        <x:v>現役300名補充時の脚質暫定値。パリ〜ルーベ／ロンド個人成績の追加照合が必要</x:v>
      </x:c>
      <x:c r="K91" s="91" t="str">
        <x:v>https://www.paris-roubaix.fr/en/history</x:v>
      </x:c>
      <x:c r="L91" s="91" t="str"/>
      <x:c r="M91" s="91" t="str">
        <x:v>能力・適性・Credit整合済</x:v>
      </x:c>
    </x:row>
    <x:row r="92" ht="24" customHeight="1">
      <x:c r="A92" s="82" t="n">
        <x:v>88</x:v>
      </x:c>
      <x:c r="B92" s="82" t="str">
        <x:v>Amaury Capiot</x:v>
      </x:c>
      <x:c r="C92" s="85" t="n">
        <x:v>75</x:v>
      </x:c>
      <x:c r="D92" s="85" t="n">
        <x:v>0</x:v>
      </x:c>
      <x:c r="E92" s="85" t="n">
        <x:v>0</x:v>
      </x:c>
      <x:c r="F92" s="85" t="n">
        <x:v>0</x:v>
      </x:c>
      <x:c r="G92" s="85" t="n">
        <x:v>0</x:v>
      </x:c>
      <x:c r="H92" s="85" t="n">
        <x:v>0</x:v>
      </x:c>
      <x:c r="I92" s="91" t="str">
        <x:v>要実績照合</x:v>
      </x:c>
      <x:c r="J92" s="91" t="str">
        <x:v>現役300名補充時の脚質暫定値。パリ〜ルーベ／ロンド個人成績の追加照合が必要</x:v>
      </x:c>
      <x:c r="K92" s="91" t="str">
        <x:v>https://www.paris-roubaix.fr/en/history</x:v>
      </x:c>
      <x:c r="L92" s="91" t="str"/>
      <x:c r="M92" s="91" t="str">
        <x:v>能力・適性・Credit整合済</x:v>
      </x:c>
    </x:row>
    <x:row r="93" ht="24" customHeight="1">
      <x:c r="A93" s="82" t="n">
        <x:v>89</x:v>
      </x:c>
      <x:c r="B93" s="82" t="str">
        <x:v>Jake Stewart (cyclist)</x:v>
      </x:c>
      <x:c r="C93" s="85" t="n">
        <x:v>76</x:v>
      </x:c>
      <x:c r="D93" s="85" t="n">
        <x:v>0</x:v>
      </x:c>
      <x:c r="E93" s="85" t="n">
        <x:v>0</x:v>
      </x:c>
      <x:c r="F93" s="85" t="n">
        <x:v>0</x:v>
      </x:c>
      <x:c r="G93" s="85" t="n">
        <x:v>0</x:v>
      </x:c>
      <x:c r="H93" s="85" t="n">
        <x:v>0</x:v>
      </x:c>
      <x:c r="I93" s="91" t="str">
        <x:v>要実績照合</x:v>
      </x:c>
      <x:c r="J93" s="91" t="str">
        <x:v>現役300名補充時の脚質暫定値。パリ〜ルーベ／ロンド個人成績の追加照合が必要</x:v>
      </x:c>
      <x:c r="K93" s="91" t="str">
        <x:v>https://www.paris-roubaix.fr/en/history</x:v>
      </x:c>
      <x:c r="L93" s="91" t="str"/>
      <x:c r="M93" s="91" t="str">
        <x:v>能力・適性・Credit整合済</x:v>
      </x:c>
    </x:row>
    <x:row r="94" ht="24" customHeight="1">
      <x:c r="A94" s="82" t="n">
        <x:v>90</x:v>
      </x:c>
      <x:c r="B94" s="82" t="str">
        <x:v>Aaron Gate</x:v>
      </x:c>
      <x:c r="C94" s="85" t="n">
        <x:v>78</x:v>
      </x:c>
      <x:c r="D94" s="85" t="n">
        <x:v>0</x:v>
      </x:c>
      <x:c r="E94" s="85" t="n">
        <x:v>0</x:v>
      </x:c>
      <x:c r="F94" s="85" t="n">
        <x:v>0</x:v>
      </x:c>
      <x:c r="G94" s="85" t="n">
        <x:v>0</x:v>
      </x:c>
      <x:c r="H94" s="85" t="n">
        <x:v>0</x:v>
      </x:c>
      <x:c r="I94" s="91" t="str">
        <x:v>要実績照合</x:v>
      </x:c>
      <x:c r="J94" s="91" t="str">
        <x:v>現役300名補充時の脚質暫定値。パリ〜ルーベ／ロンド個人成績の追加照合が必要</x:v>
      </x:c>
      <x:c r="K94" s="91" t="str">
        <x:v>https://www.paris-roubaix.fr/en/history</x:v>
      </x:c>
      <x:c r="L94" s="91" t="str"/>
      <x:c r="M94" s="91" t="str">
        <x:v>能力・適性・Credit整合済</x:v>
      </x:c>
    </x:row>
    <x:row r="95" ht="24" customHeight="1">
      <x:c r="A95" s="82" t="n">
        <x:v>91</x:v>
      </x:c>
      <x:c r="B95" s="82" t="str">
        <x:v>Jonas Abrahamsen</x:v>
      </x:c>
      <x:c r="C95" s="85" t="n">
        <x:v>74</x:v>
      </x:c>
      <x:c r="D95" s="85" t="n">
        <x:v>0</x:v>
      </x:c>
      <x:c r="E95" s="85" t="n">
        <x:v>0</x:v>
      </x:c>
      <x:c r="F95" s="85" t="n">
        <x:v>0</x:v>
      </x:c>
      <x:c r="G95" s="85" t="n">
        <x:v>0</x:v>
      </x:c>
      <x:c r="H95" s="85" t="n">
        <x:v>0</x:v>
      </x:c>
      <x:c r="I95" s="91" t="str">
        <x:v>要実績照合</x:v>
      </x:c>
      <x:c r="J95" s="91" t="str">
        <x:v>現役300名補充時の脚質暫定値。パリ〜ルーベ／ロンド個人成績の追加照合が必要</x:v>
      </x:c>
      <x:c r="K95" s="91" t="str">
        <x:v>https://www.paris-roubaix.fr/en/history</x:v>
      </x:c>
      <x:c r="L95" s="91" t="str"/>
      <x:c r="M95" s="91" t="str">
        <x:v>能力・適性・Credit整合済</x:v>
      </x:c>
    </x:row>
    <x:row r="96" ht="24" customHeight="1">
      <x:c r="A96" s="82" t="n">
        <x:v>92</x:v>
      </x:c>
      <x:c r="B96" s="82" t="str">
        <x:v>Clément Russo</x:v>
      </x:c>
      <x:c r="C96" s="85" t="n">
        <x:v>77</x:v>
      </x:c>
      <x:c r="D96" s="85" t="n">
        <x:v>0</x:v>
      </x:c>
      <x:c r="E96" s="85" t="n">
        <x:v>0</x:v>
      </x:c>
      <x:c r="F96" s="85" t="n">
        <x:v>0</x:v>
      </x:c>
      <x:c r="G96" s="85" t="n">
        <x:v>0</x:v>
      </x:c>
      <x:c r="H96" s="85" t="n">
        <x:v>0</x:v>
      </x:c>
      <x:c r="I96" s="91" t="str">
        <x:v>要実績照合</x:v>
      </x:c>
      <x:c r="J96" s="91" t="str">
        <x:v>現役300名補充時の脚質暫定値。パリ〜ルーベ／ロンド個人成績の追加照合が必要</x:v>
      </x:c>
      <x:c r="K96" s="91" t="str">
        <x:v>https://www.paris-roubaix.fr/en/history</x:v>
      </x:c>
      <x:c r="L96" s="91" t="str"/>
      <x:c r="M96" s="91" t="str">
        <x:v>能力・適性・Credit整合済</x:v>
      </x:c>
    </x:row>
    <x:row r="97" ht="24" customHeight="1">
      <x:c r="A97" s="82" t="n">
        <x:v>93</x:v>
      </x:c>
      <x:c r="B97" s="82" t="str">
        <x:v>Michał Kwiatkowski</x:v>
      </x:c>
      <x:c r="C97" s="85" t="n">
        <x:v>74</x:v>
      </x:c>
      <x:c r="D97" s="85" t="n">
        <x:v>0</x:v>
      </x:c>
      <x:c r="E97" s="85" t="n">
        <x:v>0</x:v>
      </x:c>
      <x:c r="F97" s="85" t="n">
        <x:v>0</x:v>
      </x:c>
      <x:c r="G97" s="85" t="n">
        <x:v>0</x:v>
      </x:c>
      <x:c r="H97" s="85" t="n">
        <x:v>0</x:v>
      </x:c>
      <x:c r="I97" s="91" t="str">
        <x:v>要実績照合</x:v>
      </x:c>
      <x:c r="J97" s="91" t="str">
        <x:v>現役300名補充時の脚質暫定値。パリ〜ルーベ／ロンド個人成績の追加照合が必要</x:v>
      </x:c>
      <x:c r="K97" s="91" t="str">
        <x:v>https://www.paris-roubaix.fr/en/history</x:v>
      </x:c>
      <x:c r="L97" s="91" t="str"/>
      <x:c r="M97" s="91" t="str">
        <x:v>能力・適性・Credit整合済</x:v>
      </x:c>
    </x:row>
    <x:row r="98" ht="24" customHeight="1">
      <x:c r="A98" s="82" t="n">
        <x:v>94</x:v>
      </x:c>
      <x:c r="B98" s="82" t="str">
        <x:v>Attila Valter</x:v>
      </x:c>
      <x:c r="C98" s="85" t="n">
        <x:v>55</x:v>
      </x:c>
      <x:c r="D98" s="85" t="n">
        <x:v>0</x:v>
      </x:c>
      <x:c r="E98" s="85" t="n">
        <x:v>0</x:v>
      </x:c>
      <x:c r="F98" s="85" t="n">
        <x:v>0</x:v>
      </x:c>
      <x:c r="G98" s="85" t="n">
        <x:v>0</x:v>
      </x:c>
      <x:c r="H98" s="85" t="n">
        <x:v>0</x:v>
      </x:c>
      <x:c r="I98" s="91" t="str">
        <x:v>要実績照合</x:v>
      </x:c>
      <x:c r="J98" s="91" t="str">
        <x:v>現役300名補充時の脚質暫定値。パリ〜ルーベ／ロンド個人成績の追加照合が必要</x:v>
      </x:c>
      <x:c r="K98" s="91" t="str">
        <x:v>https://www.paris-roubaix.fr/en/history</x:v>
      </x:c>
      <x:c r="L98" s="91" t="str"/>
      <x:c r="M98" s="91" t="str">
        <x:v>能力・適性・Credit整合済</x:v>
      </x:c>
    </x:row>
    <x:row r="99" ht="24" customHeight="1">
      <x:c r="A99" s="82" t="n">
        <x:v>95</x:v>
      </x:c>
      <x:c r="B99" s="82" t="str">
        <x:v>James Knox (cyclist)</x:v>
      </x:c>
      <x:c r="C99" s="85" t="n">
        <x:v>56</x:v>
      </x:c>
      <x:c r="D99" s="85" t="n">
        <x:v>0</x:v>
      </x:c>
      <x:c r="E99" s="85" t="n">
        <x:v>0</x:v>
      </x:c>
      <x:c r="F99" s="85" t="n">
        <x:v>0</x:v>
      </x:c>
      <x:c r="G99" s="85" t="n">
        <x:v>0</x:v>
      </x:c>
      <x:c r="H99" s="85" t="n">
        <x:v>0</x:v>
      </x:c>
      <x:c r="I99" s="91" t="str">
        <x:v>要実績照合</x:v>
      </x:c>
      <x:c r="J99" s="91" t="str">
        <x:v>現役300名補充時の脚質暫定値。パリ〜ルーベ／ロンド個人成績の追加照合が必要</x:v>
      </x:c>
      <x:c r="K99" s="91" t="str">
        <x:v>https://www.paris-roubaix.fr/en/history</x:v>
      </x:c>
      <x:c r="L99" s="91" t="str"/>
      <x:c r="M99" s="91" t="str">
        <x:v>能力・適性・Credit整合済</x:v>
      </x:c>
    </x:row>
    <x:row r="100" ht="24" customHeight="1">
      <x:c r="A100" s="82" t="n">
        <x:v>96</x:v>
      </x:c>
      <x:c r="B100" s="82" t="str">
        <x:v>Léo Bisiaux</x:v>
      </x:c>
      <x:c r="C100" s="85" t="n">
        <x:v>76</x:v>
      </x:c>
      <x:c r="D100" s="85" t="n">
        <x:v>0</x:v>
      </x:c>
      <x:c r="E100" s="85" t="n">
        <x:v>0</x:v>
      </x:c>
      <x:c r="F100" s="85" t="n">
        <x:v>0</x:v>
      </x:c>
      <x:c r="G100" s="85" t="n">
        <x:v>0</x:v>
      </x:c>
      <x:c r="H100" s="85" t="n">
        <x:v>0</x:v>
      </x:c>
      <x:c r="I100" s="91" t="str">
        <x:v>要実績照合</x:v>
      </x:c>
      <x:c r="J100" s="91" t="str">
        <x:v>現役300名補充時の脚質暫定値。パリ〜ルーベ／ロンド個人成績の追加照合が必要</x:v>
      </x:c>
      <x:c r="K100" s="91" t="str">
        <x:v>https://www.paris-roubaix.fr/en/history</x:v>
      </x:c>
      <x:c r="L100" s="91" t="str"/>
      <x:c r="M100" s="91" t="str">
        <x:v>能力・適性・Credit整合済</x:v>
      </x:c>
    </x:row>
    <x:row r="101" ht="24" customHeight="1">
      <x:c r="A101" s="82" t="n">
        <x:v>97</x:v>
      </x:c>
      <x:c r="B101" s="82" t="str">
        <x:v>Julien Bernard</x:v>
      </x:c>
      <x:c r="C101" s="85" t="n">
        <x:v>54</x:v>
      </x:c>
      <x:c r="D101" s="85" t="n">
        <x:v>0</x:v>
      </x:c>
      <x:c r="E101" s="85" t="n">
        <x:v>0</x:v>
      </x:c>
      <x:c r="F101" s="85" t="n">
        <x:v>0</x:v>
      </x:c>
      <x:c r="G101" s="85" t="n">
        <x:v>0</x:v>
      </x:c>
      <x:c r="H101" s="85" t="n">
        <x:v>0</x:v>
      </x:c>
      <x:c r="I101" s="91" t="str">
        <x:v>要実績照合</x:v>
      </x:c>
      <x:c r="J101" s="91" t="str">
        <x:v>現役300名補充時の脚質暫定値。パリ〜ルーベ／ロンド個人成績の追加照合が必要</x:v>
      </x:c>
      <x:c r="K101" s="91" t="str">
        <x:v>https://www.paris-roubaix.fr/en/history</x:v>
      </x:c>
      <x:c r="L101" s="91" t="str"/>
      <x:c r="M101" s="91" t="str">
        <x:v>能力・適性・Credit整合済</x:v>
      </x:c>
    </x:row>
    <x:row r="102" ht="24" customHeight="1">
      <x:c r="A102" s="82" t="n">
        <x:v>98</x:v>
      </x:c>
      <x:c r="B102" s="82" t="str">
        <x:v>Jørgen Nordhagen</x:v>
      </x:c>
      <x:c r="C102" s="85" t="n">
        <x:v>60</x:v>
      </x:c>
      <x:c r="D102" s="85" t="n">
        <x:v>0</x:v>
      </x:c>
      <x:c r="E102" s="85" t="n">
        <x:v>0</x:v>
      </x:c>
      <x:c r="F102" s="85" t="n">
        <x:v>0</x:v>
      </x:c>
      <x:c r="G102" s="85" t="n">
        <x:v>0</x:v>
      </x:c>
      <x:c r="H102" s="85" t="n">
        <x:v>0</x:v>
      </x:c>
      <x:c r="I102" s="91" t="str">
        <x:v>要実績照合</x:v>
      </x:c>
      <x:c r="J102" s="91" t="str">
        <x:v>現役300名補充時の脚質暫定値。パリ〜ルーベ／ロンド個人成績の追加照合が必要</x:v>
      </x:c>
      <x:c r="K102" s="91" t="str">
        <x:v>https://www.paris-roubaix.fr/en/history</x:v>
      </x:c>
      <x:c r="L102" s="91" t="str"/>
      <x:c r="M102" s="91" t="str">
        <x:v>能力・適性・Credit整合済</x:v>
      </x:c>
    </x:row>
    <x:row r="103" ht="24" customHeight="1">
      <x:c r="A103" s="82" t="n">
        <x:v>99</x:v>
      </x:c>
      <x:c r="B103" s="82" t="str">
        <x:v>Alessandro Pinarello</x:v>
      </x:c>
      <x:c r="C103" s="85" t="n">
        <x:v>73</x:v>
      </x:c>
      <x:c r="D103" s="85" t="n">
        <x:v>0</x:v>
      </x:c>
      <x:c r="E103" s="85" t="n">
        <x:v>0</x:v>
      </x:c>
      <x:c r="F103" s="85" t="n">
        <x:v>0</x:v>
      </x:c>
      <x:c r="G103" s="85" t="n">
        <x:v>0</x:v>
      </x:c>
      <x:c r="H103" s="85" t="n">
        <x:v>0</x:v>
      </x:c>
      <x:c r="I103" s="91" t="str">
        <x:v>要実績照合</x:v>
      </x:c>
      <x:c r="J103" s="91" t="str">
        <x:v>現役300名補充時の脚質暫定値。パリ〜ルーベ／ロンド個人成績の追加照合が必要</x:v>
      </x:c>
      <x:c r="K103" s="91" t="str">
        <x:v>https://www.paris-roubaix.fr/en/history</x:v>
      </x:c>
      <x:c r="L103" s="91" t="str"/>
      <x:c r="M103" s="91" t="str">
        <x:v>能力・適性・Credit整合済</x:v>
      </x:c>
    </x:row>
    <x:row r="104" ht="24" customHeight="1">
      <x:c r="A104" s="82" t="n">
        <x:v>100</x:v>
      </x:c>
      <x:c r="B104" s="82" t="str">
        <x:v>Ilan Van Wilder</x:v>
      </x:c>
      <x:c r="C104" s="85" t="n">
        <x:v>55</x:v>
      </x:c>
      <x:c r="D104" s="85" t="n">
        <x:v>0</x:v>
      </x:c>
      <x:c r="E104" s="85" t="n">
        <x:v>0</x:v>
      </x:c>
      <x:c r="F104" s="85" t="n">
        <x:v>0</x:v>
      </x:c>
      <x:c r="G104" s="85" t="n">
        <x:v>0</x:v>
      </x:c>
      <x:c r="H104" s="85" t="n">
        <x:v>0</x:v>
      </x:c>
      <x:c r="I104" s="91" t="str">
        <x:v>要実績照合</x:v>
      </x:c>
      <x:c r="J104" s="91" t="str">
        <x:v>現役300名補充時の脚質暫定値。パリ〜ルーベ／ロンド個人成績の追加照合が必要</x:v>
      </x:c>
      <x:c r="K104" s="91" t="str">
        <x:v>https://www.paris-roubaix.fr/en/history</x:v>
      </x:c>
      <x:c r="L104" s="91" t="str"/>
      <x:c r="M104" s="91" t="str">
        <x:v>能力・適性・Credit整合済</x:v>
      </x:c>
    </x:row>
    <x:row r="105" ht="24" customHeight="1">
      <x:c r="A105" s="82" t="n">
        <x:v>101</x:v>
      </x:c>
      <x:c r="B105" s="82" t="str">
        <x:v>Felix Ørn-Kristoff</x:v>
      </x:c>
      <x:c r="C105" s="85" t="n">
        <x:v>71</x:v>
      </x:c>
      <x:c r="D105" s="85" t="n">
        <x:v>0</x:v>
      </x:c>
      <x:c r="E105" s="85" t="n">
        <x:v>0</x:v>
      </x:c>
      <x:c r="F105" s="85" t="n">
        <x:v>0</x:v>
      </x:c>
      <x:c r="G105" s="85" t="n">
        <x:v>0</x:v>
      </x:c>
      <x:c r="H105" s="85" t="n">
        <x:v>0</x:v>
      </x:c>
      <x:c r="I105" s="91" t="str">
        <x:v>要実績照合</x:v>
      </x:c>
      <x:c r="J105" s="91" t="str">
        <x:v>現役300名補充時の脚質暫定値。パリ〜ルーベ／ロンド個人成績の追加照合が必要</x:v>
      </x:c>
      <x:c r="K105" s="91" t="str">
        <x:v>https://www.paris-roubaix.fr/en/history</x:v>
      </x:c>
      <x:c r="L105" s="91" t="str"/>
      <x:c r="M105" s="91" t="str">
        <x:v>能力・適性・Credit整合済</x:v>
      </x:c>
    </x:row>
    <x:row r="106" ht="24" customHeight="1">
      <x:c r="A106" s="82" t="n">
        <x:v>102</x:v>
      </x:c>
      <x:c r="B106" s="82" t="str">
        <x:v>Jan Hirt</x:v>
      </x:c>
      <x:c r="C106" s="85" t="n">
        <x:v>55</x:v>
      </x:c>
      <x:c r="D106" s="85" t="n">
        <x:v>0</x:v>
      </x:c>
      <x:c r="E106" s="85" t="n">
        <x:v>0</x:v>
      </x:c>
      <x:c r="F106" s="85" t="n">
        <x:v>0</x:v>
      </x:c>
      <x:c r="G106" s="85" t="n">
        <x:v>0</x:v>
      </x:c>
      <x:c r="H106" s="85" t="n">
        <x:v>0</x:v>
      </x:c>
      <x:c r="I106" s="91" t="str">
        <x:v>要実績照合</x:v>
      </x:c>
      <x:c r="J106" s="91" t="str">
        <x:v>現役300名補充時の脚質暫定値。パリ〜ルーベ／ロンド個人成績の追加照合が必要</x:v>
      </x:c>
      <x:c r="K106" s="91" t="str">
        <x:v>https://www.paris-roubaix.fr/en/history</x:v>
      </x:c>
      <x:c r="L106" s="91" t="str"/>
      <x:c r="M106" s="91" t="str">
        <x:v>能力・適性・Credit整合済</x:v>
      </x:c>
    </x:row>
    <x:row r="107" ht="24" customHeight="1">
      <x:c r="A107" s="82" t="n">
        <x:v>103</x:v>
      </x:c>
      <x:c r="B107" s="82" t="str">
        <x:v>Cian Uijtdebroeks</x:v>
      </x:c>
      <x:c r="C107" s="85" t="n">
        <x:v>57</x:v>
      </x:c>
      <x:c r="D107" s="85" t="n">
        <x:v>0</x:v>
      </x:c>
      <x:c r="E107" s="85" t="n">
        <x:v>0</x:v>
      </x:c>
      <x:c r="F107" s="85" t="n">
        <x:v>0</x:v>
      </x:c>
      <x:c r="G107" s="85" t="n">
        <x:v>0</x:v>
      </x:c>
      <x:c r="H107" s="85" t="n">
        <x:v>0</x:v>
      </x:c>
      <x:c r="I107" s="91" t="str">
        <x:v>要実績照合</x:v>
      </x:c>
      <x:c r="J107" s="91" t="str">
        <x:v>現役300名補充時の脚質暫定値。パリ〜ルーベ／ロンド個人成績の追加照合が必要</x:v>
      </x:c>
      <x:c r="K107" s="91" t="str">
        <x:v>https://www.paris-roubaix.fr/en/history</x:v>
      </x:c>
      <x:c r="L107" s="91" t="str"/>
      <x:c r="M107" s="91" t="str">
        <x:v>能力・適性・Credit整合済</x:v>
      </x:c>
    </x:row>
    <x:row r="108" ht="24" customHeight="1">
      <x:c r="A108" s="82" t="n">
        <x:v>104</x:v>
      </x:c>
      <x:c r="B108" s="82" t="str">
        <x:v>Ben Healy (cyclist)</x:v>
      </x:c>
      <x:c r="C108" s="85" t="n">
        <x:v>60</x:v>
      </x:c>
      <x:c r="D108" s="85" t="n">
        <x:v>0</x:v>
      </x:c>
      <x:c r="E108" s="85" t="n">
        <x:v>0</x:v>
      </x:c>
      <x:c r="F108" s="85" t="n">
        <x:v>0</x:v>
      </x:c>
      <x:c r="G108" s="85" t="n">
        <x:v>0</x:v>
      </x:c>
      <x:c r="H108" s="85" t="n">
        <x:v>0</x:v>
      </x:c>
      <x:c r="I108" s="91" t="str">
        <x:v>要実績照合</x:v>
      </x:c>
      <x:c r="J108" s="91" t="str">
        <x:v>現役300名補充時の脚質暫定値。パリ〜ルーベ／ロンド個人成績の追加照合が必要</x:v>
      </x:c>
      <x:c r="K108" s="91" t="str">
        <x:v>https://www.paris-roubaix.fr/en/history</x:v>
      </x:c>
      <x:c r="L108" s="91" t="str"/>
      <x:c r="M108" s="91" t="str">
        <x:v>能力・適性・Credit整合済</x:v>
      </x:c>
    </x:row>
    <x:row r="109" ht="24" customHeight="1">
      <x:c r="A109" s="82" t="n">
        <x:v>105</x:v>
      </x:c>
      <x:c r="B109" s="82" t="str">
        <x:v>Enzo Paleni</x:v>
      </x:c>
      <x:c r="C109" s="85" t="n">
        <x:v>53</x:v>
      </x:c>
      <x:c r="D109" s="85" t="n">
        <x:v>0</x:v>
      </x:c>
      <x:c r="E109" s="85" t="n">
        <x:v>0</x:v>
      </x:c>
      <x:c r="F109" s="85" t="n">
        <x:v>0</x:v>
      </x:c>
      <x:c r="G109" s="85" t="n">
        <x:v>0</x:v>
      </x:c>
      <x:c r="H109" s="85" t="n">
        <x:v>0</x:v>
      </x:c>
      <x:c r="I109" s="91" t="str">
        <x:v>要実績照合</x:v>
      </x:c>
      <x:c r="J109" s="91" t="str">
        <x:v>現役300名補充時の脚質暫定値。パリ〜ルーベ／ロンド個人成績の追加照合が必要</x:v>
      </x:c>
      <x:c r="K109" s="91" t="str">
        <x:v>https://www.paris-roubaix.fr/en/history</x:v>
      </x:c>
      <x:c r="L109" s="91" t="str"/>
      <x:c r="M109" s="91" t="str">
        <x:v>能力・適性・Credit整合済</x:v>
      </x:c>
    </x:row>
    <x:row r="110" ht="24" customHeight="1">
      <x:c r="A110" s="82" t="n">
        <x:v>106</x:v>
      </x:c>
      <x:c r="B110" s="82" t="str">
        <x:v>Corbin Strong</x:v>
      </x:c>
      <x:c r="C110" s="85" t="n">
        <x:v>54</x:v>
      </x:c>
      <x:c r="D110" s="85" t="n">
        <x:v>0</x:v>
      </x:c>
      <x:c r="E110" s="85" t="n">
        <x:v>0</x:v>
      </x:c>
      <x:c r="F110" s="85" t="n">
        <x:v>0</x:v>
      </x:c>
      <x:c r="G110" s="85" t="n">
        <x:v>0</x:v>
      </x:c>
      <x:c r="H110" s="85" t="n">
        <x:v>0</x:v>
      </x:c>
      <x:c r="I110" s="91" t="str">
        <x:v>要実績照合</x:v>
      </x:c>
      <x:c r="J110" s="91" t="str">
        <x:v>現役300名補充時の脚質暫定値。パリ〜ルーベ／ロンド個人成績の追加照合が必要</x:v>
      </x:c>
      <x:c r="K110" s="91" t="str">
        <x:v>https://www.paris-roubaix.fr/en/history</x:v>
      </x:c>
      <x:c r="L110" s="91" t="str"/>
      <x:c r="M110" s="91" t="str">
        <x:v>能力・適性・Credit整合済</x:v>
      </x:c>
    </x:row>
    <x:row r="111" ht="24" customHeight="1">
      <x:c r="A111" s="82" t="n">
        <x:v>107</x:v>
      </x:c>
      <x:c r="B111" s="82" t="str">
        <x:v>Lorenzo Rota</x:v>
      </x:c>
      <x:c r="C111" s="85" t="n">
        <x:v>54</x:v>
      </x:c>
      <x:c r="D111" s="85" t="n">
        <x:v>0</x:v>
      </x:c>
      <x:c r="E111" s="85" t="n">
        <x:v>0</x:v>
      </x:c>
      <x:c r="F111" s="85" t="n">
        <x:v>0</x:v>
      </x:c>
      <x:c r="G111" s="85" t="n">
        <x:v>0</x:v>
      </x:c>
      <x:c r="H111" s="85" t="n">
        <x:v>0</x:v>
      </x:c>
      <x:c r="I111" s="91" t="str">
        <x:v>要実績照合</x:v>
      </x:c>
      <x:c r="J111" s="91" t="str">
        <x:v>現役300名補充時の脚質暫定値。パリ〜ルーベ／ロンド個人成績の追加照合が必要</x:v>
      </x:c>
      <x:c r="K111" s="91" t="str">
        <x:v>https://www.paris-roubaix.fr/en/history</x:v>
      </x:c>
      <x:c r="L111" s="91" t="str"/>
      <x:c r="M111" s="91" t="str">
        <x:v>能力・適性・Credit整合済</x:v>
      </x:c>
    </x:row>
    <x:row r="112" ht="24" customHeight="1">
      <x:c r="A112" s="82" t="n">
        <x:v>108</x:v>
      </x:c>
      <x:c r="B112" s="82" t="str">
        <x:v>Anders Skaarseth</x:v>
      </x:c>
      <x:c r="C112" s="85" t="n">
        <x:v>50</x:v>
      </x:c>
      <x:c r="D112" s="85" t="n">
        <x:v>0</x:v>
      </x:c>
      <x:c r="E112" s="85" t="n">
        <x:v>0</x:v>
      </x:c>
      <x:c r="F112" s="85" t="n">
        <x:v>0</x:v>
      </x:c>
      <x:c r="G112" s="85" t="n">
        <x:v>0</x:v>
      </x:c>
      <x:c r="H112" s="85" t="n">
        <x:v>0</x:v>
      </x:c>
      <x:c r="I112" s="91" t="str">
        <x:v>要実績照合</x:v>
      </x:c>
      <x:c r="J112" s="91" t="str">
        <x:v>現役300名補充時の脚質暫定値。パリ〜ルーベ／ロンド個人成績の追加照合が必要</x:v>
      </x:c>
      <x:c r="K112" s="91" t="str">
        <x:v>https://www.paris-roubaix.fr/en/history</x:v>
      </x:c>
      <x:c r="L112" s="91" t="str"/>
      <x:c r="M112" s="91" t="str">
        <x:v>能力・適性・Credit整合済</x:v>
      </x:c>
    </x:row>
    <x:row r="113" ht="24" customHeight="1">
      <x:c r="A113" s="82" t="n">
        <x:v>109</x:v>
      </x:c>
      <x:c r="B113" s="82" t="str">
        <x:v>Johan Jacobs</x:v>
      </x:c>
      <x:c r="C113" s="85" t="n">
        <x:v>52</x:v>
      </x:c>
      <x:c r="D113" s="85" t="n">
        <x:v>0</x:v>
      </x:c>
      <x:c r="E113" s="85" t="n">
        <x:v>0</x:v>
      </x:c>
      <x:c r="F113" s="85" t="n">
        <x:v>0</x:v>
      </x:c>
      <x:c r="G113" s="85" t="n">
        <x:v>0</x:v>
      </x:c>
      <x:c r="H113" s="85" t="n">
        <x:v>0</x:v>
      </x:c>
      <x:c r="I113" s="91" t="str">
        <x:v>要実績照合</x:v>
      </x:c>
      <x:c r="J113" s="91" t="str">
        <x:v>現役300名補充時の脚質暫定値。パリ〜ルーベ／ロンド個人成績の追加照合が必要</x:v>
      </x:c>
      <x:c r="K113" s="91" t="str">
        <x:v>https://www.paris-roubaix.fr/en/history</x:v>
      </x:c>
      <x:c r="L113" s="91" t="str"/>
      <x:c r="M113" s="91" t="str">
        <x:v>能力・適性・Credit整合済</x:v>
      </x:c>
    </x:row>
    <x:row r="114" ht="24" customHeight="1">
      <x:c r="A114" s="82" t="n">
        <x:v>110</x:v>
      </x:c>
      <x:c r="B114" s="82" t="str">
        <x:v>Callum Scotson</x:v>
      </x:c>
      <x:c r="C114" s="85" t="n">
        <x:v>74</x:v>
      </x:c>
      <x:c r="D114" s="85" t="n">
        <x:v>0</x:v>
      </x:c>
      <x:c r="E114" s="85" t="n">
        <x:v>0</x:v>
      </x:c>
      <x:c r="F114" s="85" t="n">
        <x:v>0</x:v>
      </x:c>
      <x:c r="G114" s="85" t="n">
        <x:v>0</x:v>
      </x:c>
      <x:c r="H114" s="85" t="n">
        <x:v>0</x:v>
      </x:c>
      <x:c r="I114" s="91" t="str">
        <x:v>要実績照合</x:v>
      </x:c>
      <x:c r="J114" s="91" t="str">
        <x:v>現役300名補充時の脚質暫定値。パリ〜ルーベ／ロンド個人成績の追加照合が必要</x:v>
      </x:c>
      <x:c r="K114" s="91" t="str">
        <x:v>https://www.paris-roubaix.fr/en/history</x:v>
      </x:c>
      <x:c r="L114" s="91" t="str"/>
      <x:c r="M114" s="91" t="str">
        <x:v>能力・適性・Credit整合済</x:v>
      </x:c>
    </x:row>
    <x:row r="115" ht="24" customHeight="1">
      <x:c r="A115" s="82" t="n">
        <x:v>111</x:v>
      </x:c>
      <x:c r="B115" s="82" t="str">
        <x:v>Lukas Nerurkar</x:v>
      </x:c>
      <x:c r="C115" s="85" t="n">
        <x:v>74</x:v>
      </x:c>
      <x:c r="D115" s="85" t="n">
        <x:v>0</x:v>
      </x:c>
      <x:c r="E115" s="85" t="n">
        <x:v>0</x:v>
      </x:c>
      <x:c r="F115" s="85" t="n">
        <x:v>0</x:v>
      </x:c>
      <x:c r="G115" s="85" t="n">
        <x:v>0</x:v>
      </x:c>
      <x:c r="H115" s="85" t="n">
        <x:v>0</x:v>
      </x:c>
      <x:c r="I115" s="91" t="str">
        <x:v>要実績照合</x:v>
      </x:c>
      <x:c r="J115" s="91" t="str">
        <x:v>現役300名補充時の脚質暫定値。パリ〜ルーベ／ロンド個人成績の追加照合が必要</x:v>
      </x:c>
      <x:c r="K115" s="91" t="str">
        <x:v>https://www.paris-roubaix.fr/en/history</x:v>
      </x:c>
      <x:c r="L115" s="91" t="str"/>
      <x:c r="M115" s="91" t="str">
        <x:v>能力・適性・Credit整合済</x:v>
      </x:c>
    </x:row>
    <x:row r="116" ht="24" customHeight="1">
      <x:c r="A116" s="82" t="n">
        <x:v>112</x:v>
      </x:c>
      <x:c r="B116" s="82" t="str">
        <x:v>Filippo Zana</x:v>
      </x:c>
      <x:c r="C116" s="85" t="n">
        <x:v>59</x:v>
      </x:c>
      <x:c r="D116" s="85" t="n">
        <x:v>0</x:v>
      </x:c>
      <x:c r="E116" s="85" t="n">
        <x:v>0</x:v>
      </x:c>
      <x:c r="F116" s="85" t="n">
        <x:v>0</x:v>
      </x:c>
      <x:c r="G116" s="85" t="n">
        <x:v>0</x:v>
      </x:c>
      <x:c r="H116" s="85" t="n">
        <x:v>0</x:v>
      </x:c>
      <x:c r="I116" s="91" t="str">
        <x:v>要実績照合</x:v>
      </x:c>
      <x:c r="J116" s="91" t="str">
        <x:v>現役300名補充時の脚質暫定値。パリ〜ルーベ／ロンド個人成績の追加照合が必要</x:v>
      </x:c>
      <x:c r="K116" s="91" t="str">
        <x:v>https://www.paris-roubaix.fr/en/history</x:v>
      </x:c>
      <x:c r="L116" s="91" t="str"/>
      <x:c r="M116" s="91" t="str">
        <x:v>能力・適性・Credit整合済</x:v>
      </x:c>
    </x:row>
    <x:row r="117" ht="24" customHeight="1">
      <x:c r="A117" s="82" t="n">
        <x:v>113</x:v>
      </x:c>
      <x:c r="B117" s="82" t="str">
        <x:v>Filippo Conca</x:v>
      </x:c>
      <x:c r="C117" s="85" t="n">
        <x:v>73</x:v>
      </x:c>
      <x:c r="D117" s="85" t="n">
        <x:v>0</x:v>
      </x:c>
      <x:c r="E117" s="85" t="n">
        <x:v>0</x:v>
      </x:c>
      <x:c r="F117" s="85" t="n">
        <x:v>0</x:v>
      </x:c>
      <x:c r="G117" s="85" t="n">
        <x:v>0</x:v>
      </x:c>
      <x:c r="H117" s="85" t="n">
        <x:v>0</x:v>
      </x:c>
      <x:c r="I117" s="91" t="str">
        <x:v>要実績照合</x:v>
      </x:c>
      <x:c r="J117" s="91" t="str">
        <x:v>現役300名補充時の脚質暫定値。パリ〜ルーベ／ロンド個人成績の追加照合が必要</x:v>
      </x:c>
      <x:c r="K117" s="91" t="str">
        <x:v>https://www.paris-roubaix.fr/en/history</x:v>
      </x:c>
      <x:c r="L117" s="91" t="str"/>
      <x:c r="M117" s="91" t="str">
        <x:v>能力・適性・Credit整合済</x:v>
      </x:c>
    </x:row>
    <x:row r="118" ht="24" customHeight="1">
      <x:c r="A118" s="82" t="n">
        <x:v>114</x:v>
      </x:c>
      <x:c r="B118" s="82" t="str">
        <x:v>James Shaw (cyclist)</x:v>
      </x:c>
      <x:c r="C118" s="85" t="n">
        <x:v>62</x:v>
      </x:c>
      <x:c r="D118" s="85" t="n">
        <x:v>0</x:v>
      </x:c>
      <x:c r="E118" s="85" t="n">
        <x:v>0</x:v>
      </x:c>
      <x:c r="F118" s="85" t="n">
        <x:v>0</x:v>
      </x:c>
      <x:c r="G118" s="85" t="n">
        <x:v>0</x:v>
      </x:c>
      <x:c r="H118" s="85" t="n">
        <x:v>0</x:v>
      </x:c>
      <x:c r="I118" s="91" t="str">
        <x:v>要実績照合</x:v>
      </x:c>
      <x:c r="J118" s="91" t="str">
        <x:v>現役300名補充時の脚質暫定値。パリ〜ルーベ／ロンド個人成績の追加照合が必要</x:v>
      </x:c>
      <x:c r="K118" s="91" t="str">
        <x:v>https://www.paris-roubaix.fr/en/history</x:v>
      </x:c>
      <x:c r="L118" s="91" t="str"/>
      <x:c r="M118" s="91" t="str">
        <x:v>能力・適性・Credit整合済</x:v>
      </x:c>
    </x:row>
    <x:row r="119" ht="24" customHeight="1">
      <x:c r="A119" s="82" t="n">
        <x:v>115</x:v>
      </x:c>
      <x:c r="B119" s="82" t="str">
        <x:v>Alex Baudin</x:v>
      </x:c>
      <x:c r="C119" s="85" t="n">
        <x:v>55</x:v>
      </x:c>
      <x:c r="D119" s="85" t="n">
        <x:v>0</x:v>
      </x:c>
      <x:c r="E119" s="85" t="n">
        <x:v>0</x:v>
      </x:c>
      <x:c r="F119" s="85" t="n">
        <x:v>0</x:v>
      </x:c>
      <x:c r="G119" s="85" t="n">
        <x:v>0</x:v>
      </x:c>
      <x:c r="H119" s="85" t="n">
        <x:v>0</x:v>
      </x:c>
      <x:c r="I119" s="91" t="str">
        <x:v>要実績照合</x:v>
      </x:c>
      <x:c r="J119" s="91" t="str">
        <x:v>現役300名補充時の脚質暫定値。パリ〜ルーベ／ロンド個人成績の追加照合が必要</x:v>
      </x:c>
      <x:c r="K119" s="91" t="str">
        <x:v>https://www.paris-roubaix.fr/en/history</x:v>
      </x:c>
      <x:c r="L119" s="91" t="str"/>
      <x:c r="M119" s="91" t="str">
        <x:v>能力・適性・Credit整合済</x:v>
      </x:c>
    </x:row>
    <x:row r="120" ht="24" customHeight="1">
      <x:c r="A120" s="82" t="n">
        <x:v>116</x:v>
      </x:c>
      <x:c r="B120" s="82" t="str">
        <x:v>Alexander Kamp</x:v>
      </x:c>
      <x:c r="C120" s="85" t="n">
        <x:v>54</x:v>
      </x:c>
      <x:c r="D120" s="85" t="n">
        <x:v>0</x:v>
      </x:c>
      <x:c r="E120" s="85" t="n">
        <x:v>0</x:v>
      </x:c>
      <x:c r="F120" s="85" t="n">
        <x:v>0</x:v>
      </x:c>
      <x:c r="G120" s="85" t="n">
        <x:v>0</x:v>
      </x:c>
      <x:c r="H120" s="85" t="n">
        <x:v>0</x:v>
      </x:c>
      <x:c r="I120" s="91" t="str">
        <x:v>要実績照合</x:v>
      </x:c>
      <x:c r="J120" s="91" t="str">
        <x:v>現役300名補充時の脚質暫定値。パリ〜ルーベ／ロンド個人成績の追加照合が必要</x:v>
      </x:c>
      <x:c r="K120" s="91" t="str">
        <x:v>https://www.paris-roubaix.fr/en/history</x:v>
      </x:c>
      <x:c r="L120" s="91" t="str"/>
      <x:c r="M120" s="91" t="str">
        <x:v>能力・適性・Credit整合済</x:v>
      </x:c>
    </x:row>
    <x:row r="121" ht="24" customHeight="1">
      <x:c r="A121" s="82" t="n">
        <x:v>117</x:v>
      </x:c>
      <x:c r="B121" s="82" t="str">
        <x:v>Jorge Arcas</x:v>
      </x:c>
      <x:c r="C121" s="85" t="n">
        <x:v>70</x:v>
      </x:c>
      <x:c r="D121" s="85" t="n">
        <x:v>0</x:v>
      </x:c>
      <x:c r="E121" s="85" t="n">
        <x:v>0</x:v>
      </x:c>
      <x:c r="F121" s="85" t="n">
        <x:v>0</x:v>
      </x:c>
      <x:c r="G121" s="85" t="n">
        <x:v>0</x:v>
      </x:c>
      <x:c r="H121" s="85" t="n">
        <x:v>0</x:v>
      </x:c>
      <x:c r="I121" s="91" t="str">
        <x:v>要実績照合</x:v>
      </x:c>
      <x:c r="J121" s="91" t="str">
        <x:v>現役300名補充時の脚質暫定値。パリ〜ルーベ／ロンド個人成績の追加照合が必要</x:v>
      </x:c>
      <x:c r="K121" s="91" t="str">
        <x:v>https://www.paris-roubaix.fr/en/history</x:v>
      </x:c>
      <x:c r="L121" s="91" t="str"/>
      <x:c r="M121" s="91" t="str">
        <x:v>能力・適性・Credit整合済</x:v>
      </x:c>
    </x:row>
    <x:row r="122" ht="24" customHeight="1">
      <x:c r="A122" s="82" t="n">
        <x:v>118</x:v>
      </x:c>
      <x:c r="B122" s="82" t="str">
        <x:v>Jon Barrenetxea</x:v>
      </x:c>
      <x:c r="C122" s="85" t="n">
        <x:v>54</x:v>
      </x:c>
      <x:c r="D122" s="85" t="n">
        <x:v>0</x:v>
      </x:c>
      <x:c r="E122" s="85" t="n">
        <x:v>0</x:v>
      </x:c>
      <x:c r="F122" s="85" t="n">
        <x:v>0</x:v>
      </x:c>
      <x:c r="G122" s="85" t="n">
        <x:v>0</x:v>
      </x:c>
      <x:c r="H122" s="85" t="n">
        <x:v>0</x:v>
      </x:c>
      <x:c r="I122" s="91" t="str">
        <x:v>要実績照合</x:v>
      </x:c>
      <x:c r="J122" s="91" t="str">
        <x:v>現役300名補充時の脚質暫定値。パリ〜ルーベ／ロンド個人成績の追加照合が必要</x:v>
      </x:c>
      <x:c r="K122" s="91" t="str">
        <x:v>https://www.paris-roubaix.fr/en/history</x:v>
      </x:c>
      <x:c r="L122" s="91" t="str"/>
      <x:c r="M122" s="91" t="str">
        <x:v>能力・適性・Credit整合済</x:v>
      </x:c>
    </x:row>
    <x:row r="123" ht="24" customHeight="1">
      <x:c r="A123" s="82" t="n">
        <x:v>119</x:v>
      </x:c>
      <x:c r="B123" s="82" t="str">
        <x:v>Jefferson Alexander Cepeda</x:v>
      </x:c>
      <x:c r="C123" s="85" t="n">
        <x:v>50</x:v>
      </x:c>
      <x:c r="D123" s="85" t="n">
        <x:v>0</x:v>
      </x:c>
      <x:c r="E123" s="85" t="n">
        <x:v>0</x:v>
      </x:c>
      <x:c r="F123" s="85" t="n">
        <x:v>0</x:v>
      </x:c>
      <x:c r="G123" s="85" t="n">
        <x:v>0</x:v>
      </x:c>
      <x:c r="H123" s="85" t="n">
        <x:v>0</x:v>
      </x:c>
      <x:c r="I123" s="91" t="str">
        <x:v>要実績照合</x:v>
      </x:c>
      <x:c r="J123" s="91" t="str">
        <x:v>現役300名補充時の脚質暫定値。パリ〜ルーベ／ロンド個人成績の追加照合が必要</x:v>
      </x:c>
      <x:c r="K123" s="91" t="str">
        <x:v>https://www.paris-roubaix.fr/en/history</x:v>
      </x:c>
      <x:c r="L123" s="91" t="str"/>
      <x:c r="M123" s="91" t="str">
        <x:v>能力・適性・Credit整合済</x:v>
      </x:c>
    </x:row>
    <x:row r="124" ht="24" customHeight="1">
      <x:c r="A124" s="82" t="n">
        <x:v>120</x:v>
      </x:c>
      <x:c r="B124" s="82" t="str">
        <x:v>Aaron Dockx</x:v>
      </x:c>
      <x:c r="C124" s="85" t="n">
        <x:v>59</x:v>
      </x:c>
      <x:c r="D124" s="85" t="n">
        <x:v>0</x:v>
      </x:c>
      <x:c r="E124" s="85" t="n">
        <x:v>0</x:v>
      </x:c>
      <x:c r="F124" s="85" t="n">
        <x:v>0</x:v>
      </x:c>
      <x:c r="G124" s="85" t="n">
        <x:v>0</x:v>
      </x:c>
      <x:c r="H124" s="85" t="n">
        <x:v>0</x:v>
      </x:c>
      <x:c r="I124" s="91" t="str">
        <x:v>要実績照合</x:v>
      </x:c>
      <x:c r="J124" s="91" t="str">
        <x:v>現役300名補充時の脚質暫定値。パリ〜ルーベ／ロンド個人成績の追加照合が必要</x:v>
      </x:c>
      <x:c r="K124" s="91" t="str">
        <x:v>https://www.paris-roubaix.fr/en/history</x:v>
      </x:c>
      <x:c r="L124" s="91" t="str"/>
      <x:c r="M124" s="91" t="str">
        <x:v>能力・適性・Credit整合済</x:v>
      </x:c>
    </x:row>
    <x:row r="125" ht="24" customHeight="1">
      <x:c r="A125" s="82" t="n">
        <x:v>121</x:v>
      </x:c>
      <x:c r="B125" s="82" t="str">
        <x:v>Filippo Fiorelli</x:v>
      </x:c>
      <x:c r="C125" s="85" t="n">
        <x:v>70</x:v>
      </x:c>
      <x:c r="D125" s="85" t="n">
        <x:v>0</x:v>
      </x:c>
      <x:c r="E125" s="85" t="n">
        <x:v>0</x:v>
      </x:c>
      <x:c r="F125" s="85" t="n">
        <x:v>0</x:v>
      </x:c>
      <x:c r="G125" s="85" t="n">
        <x:v>0</x:v>
      </x:c>
      <x:c r="H125" s="85" t="n">
        <x:v>0</x:v>
      </x:c>
      <x:c r="I125" s="91" t="str">
        <x:v>要実績照合</x:v>
      </x:c>
      <x:c r="J125" s="91" t="str">
        <x:v>現役300名補充時の脚質暫定値。パリ〜ルーベ／ロンド個人成績の追加照合が必要</x:v>
      </x:c>
      <x:c r="K125" s="91" t="str">
        <x:v>https://www.paris-roubaix.fr/en/history</x:v>
      </x:c>
      <x:c r="L125" s="91" t="str"/>
      <x:c r="M125" s="91" t="str">
        <x:v>能力・適性・Credit整合済</x:v>
      </x:c>
    </x:row>
    <x:row r="126" ht="24" customHeight="1">
      <x:c r="A126" s="82" t="n">
        <x:v>122</x:v>
      </x:c>
      <x:c r="B126" s="82" t="str">
        <x:v>Axel Zingle</x:v>
      </x:c>
      <x:c r="C126" s="85" t="n">
        <x:v>54</x:v>
      </x:c>
      <x:c r="D126" s="85" t="n">
        <x:v>0</x:v>
      </x:c>
      <x:c r="E126" s="85" t="n">
        <x:v>0</x:v>
      </x:c>
      <x:c r="F126" s="85" t="n">
        <x:v>0</x:v>
      </x:c>
      <x:c r="G126" s="85" t="n">
        <x:v>0</x:v>
      </x:c>
      <x:c r="H126" s="85" t="n">
        <x:v>0</x:v>
      </x:c>
      <x:c r="I126" s="91" t="str">
        <x:v>要実績照合</x:v>
      </x:c>
      <x:c r="J126" s="91" t="str">
        <x:v>現役300名補充時の脚質暫定値。パリ〜ルーベ／ロンド個人成績の追加照合が必要</x:v>
      </x:c>
      <x:c r="K126" s="91" t="str">
        <x:v>https://www.paris-roubaix.fr/en/history</x:v>
      </x:c>
      <x:c r="L126" s="91" t="str"/>
      <x:c r="M126" s="91" t="str">
        <x:v>能力・適性・Credit整合済</x:v>
      </x:c>
    </x:row>
    <x:row r="127" ht="24" customHeight="1">
      <x:c r="A127" s="82" t="n">
        <x:v>123</x:v>
      </x:c>
      <x:c r="B127" s="82" t="str">
        <x:v>Ben Swift</x:v>
      </x:c>
      <x:c r="C127" s="85" t="n">
        <x:v>59</x:v>
      </x:c>
      <x:c r="D127" s="85" t="n">
        <x:v>0</x:v>
      </x:c>
      <x:c r="E127" s="85" t="n">
        <x:v>0</x:v>
      </x:c>
      <x:c r="F127" s="85" t="n">
        <x:v>0</x:v>
      </x:c>
      <x:c r="G127" s="85" t="n">
        <x:v>0</x:v>
      </x:c>
      <x:c r="H127" s="85" t="n">
        <x:v>0</x:v>
      </x:c>
      <x:c r="I127" s="91" t="str">
        <x:v>要実績照合</x:v>
      </x:c>
      <x:c r="J127" s="91" t="str">
        <x:v>現役300名補充時の脚質暫定値。パリ〜ルーベ／ロンド個人成績の追加照合が必要</x:v>
      </x:c>
      <x:c r="K127" s="91" t="str">
        <x:v>https://www.paris-roubaix.fr/en/history</x:v>
      </x:c>
      <x:c r="L127" s="91" t="str"/>
      <x:c r="M127" s="91" t="str">
        <x:v>能力・適性・Credit整合済</x:v>
      </x:c>
    </x:row>
    <x:row r="128" ht="24" customHeight="1">
      <x:c r="A128" s="82" t="n">
        <x:v>124</x:v>
      </x:c>
      <x:c r="B128" s="82" t="str">
        <x:v>Juan Guillermo Martínez</x:v>
      </x:c>
      <x:c r="C128" s="85" t="n">
        <x:v>56</x:v>
      </x:c>
      <x:c r="D128" s="85" t="n">
        <x:v>0</x:v>
      </x:c>
      <x:c r="E128" s="85" t="n">
        <x:v>0</x:v>
      </x:c>
      <x:c r="F128" s="85" t="n">
        <x:v>0</x:v>
      </x:c>
      <x:c r="G128" s="85" t="n">
        <x:v>0</x:v>
      </x:c>
      <x:c r="H128" s="85" t="n">
        <x:v>0</x:v>
      </x:c>
      <x:c r="I128" s="91" t="str">
        <x:v>要実績照合</x:v>
      </x:c>
      <x:c r="J128" s="91" t="str">
        <x:v>現役300名補充時の脚質暫定値。パリ〜ルーベ／ロンド個人成績の追加照合が必要</x:v>
      </x:c>
      <x:c r="K128" s="91" t="str">
        <x:v>https://www.paris-roubaix.fr/en/history</x:v>
      </x:c>
      <x:c r="L128" s="91" t="str"/>
      <x:c r="M128" s="91" t="str">
        <x:v>能力・適性・Credit整合済</x:v>
      </x:c>
    </x:row>
    <x:row r="129" ht="24" customHeight="1">
      <x:c r="A129" s="82" t="n">
        <x:v>125</x:v>
      </x:c>
      <x:c r="B129" s="82" t="str">
        <x:v>Bjoern Koerdt</x:v>
      </x:c>
      <x:c r="C129" s="85" t="n">
        <x:v>54</x:v>
      </x:c>
      <x:c r="D129" s="85" t="n">
        <x:v>0</x:v>
      </x:c>
      <x:c r="E129" s="85" t="n">
        <x:v>0</x:v>
      </x:c>
      <x:c r="F129" s="85" t="n">
        <x:v>0</x:v>
      </x:c>
      <x:c r="G129" s="85" t="n">
        <x:v>0</x:v>
      </x:c>
      <x:c r="H129" s="85" t="n">
        <x:v>0</x:v>
      </x:c>
      <x:c r="I129" s="91" t="str">
        <x:v>要実績照合</x:v>
      </x:c>
      <x:c r="J129" s="91" t="str">
        <x:v>現役300名補充時の脚質暫定値。パリ〜ルーベ／ロンド個人成績の追加照合が必要</x:v>
      </x:c>
      <x:c r="K129" s="91" t="str">
        <x:v>https://www.paris-roubaix.fr/en/history</x:v>
      </x:c>
      <x:c r="L129" s="91" t="str"/>
      <x:c r="M129" s="91" t="str">
        <x:v>能力・適性・Credit整合済</x:v>
      </x:c>
    </x:row>
    <x:row r="130" ht="24" customHeight="1">
      <x:c r="A130" s="82" t="n">
        <x:v>126</x:v>
      </x:c>
      <x:c r="B130" s="82" t="str">
        <x:v>Marijn van den Berg</x:v>
      </x:c>
      <x:c r="C130" s="85" t="n">
        <x:v>58</x:v>
      </x:c>
      <x:c r="D130" s="85" t="n">
        <x:v>0</x:v>
      </x:c>
      <x:c r="E130" s="85" t="n">
        <x:v>0</x:v>
      </x:c>
      <x:c r="F130" s="85" t="n">
        <x:v>0</x:v>
      </x:c>
      <x:c r="G130" s="85" t="n">
        <x:v>0</x:v>
      </x:c>
      <x:c r="H130" s="85" t="n">
        <x:v>0</x:v>
      </x:c>
      <x:c r="I130" s="91" t="str">
        <x:v>要実績照合</x:v>
      </x:c>
      <x:c r="J130" s="91" t="str">
        <x:v>現役300名補充時の脚質暫定値。パリ〜ルーベ／ロンド個人成績の追加照合が必要</x:v>
      </x:c>
      <x:c r="K130" s="91" t="str">
        <x:v>https://www.paris-roubaix.fr/en/history</x:v>
      </x:c>
      <x:c r="L130" s="91" t="str"/>
      <x:c r="M130" s="91" t="str">
        <x:v>能力・適性・Credit整合済</x:v>
      </x:c>
    </x:row>
    <x:row r="131" ht="24" customHeight="1">
      <x:c r="A131" s="82" t="n">
        <x:v>127</x:v>
      </x:c>
      <x:c r="B131" s="82" t="str">
        <x:v>Huub Artz</x:v>
      </x:c>
      <x:c r="C131" s="85" t="n">
        <x:v>60</x:v>
      </x:c>
      <x:c r="D131" s="85" t="n">
        <x:v>0</x:v>
      </x:c>
      <x:c r="E131" s="85" t="n">
        <x:v>0</x:v>
      </x:c>
      <x:c r="F131" s="85" t="n">
        <x:v>0</x:v>
      </x:c>
      <x:c r="G131" s="85" t="n">
        <x:v>0</x:v>
      </x:c>
      <x:c r="H131" s="85" t="n">
        <x:v>0</x:v>
      </x:c>
      <x:c r="I131" s="91" t="str">
        <x:v>要実績照合</x:v>
      </x:c>
      <x:c r="J131" s="91" t="str">
        <x:v>現役300名補充時の脚質暫定値。パリ〜ルーベ／ロンド個人成績の追加照合が必要</x:v>
      </x:c>
      <x:c r="K131" s="91" t="str">
        <x:v>https://www.paris-roubaix.fr/en/history</x:v>
      </x:c>
      <x:c r="L131" s="91" t="str"/>
      <x:c r="M131" s="91" t="str">
        <x:v>能力・適性・Credit整合済</x:v>
      </x:c>
    </x:row>
    <x:row r="132" ht="24" customHeight="1">
      <x:c r="A132" s="82" t="n">
        <x:v>128</x:v>
      </x:c>
      <x:c r="B132" s="82" t="str">
        <x:v>Jonas Iversby Hvideberg</x:v>
      </x:c>
      <x:c r="C132" s="85" t="n">
        <x:v>54</x:v>
      </x:c>
      <x:c r="D132" s="85" t="n">
        <x:v>0</x:v>
      </x:c>
      <x:c r="E132" s="85" t="n">
        <x:v>0</x:v>
      </x:c>
      <x:c r="F132" s="85" t="n">
        <x:v>0</x:v>
      </x:c>
      <x:c r="G132" s="85" t="n">
        <x:v>0</x:v>
      </x:c>
      <x:c r="H132" s="85" t="n">
        <x:v>0</x:v>
      </x:c>
      <x:c r="I132" s="91" t="str">
        <x:v>要実績照合</x:v>
      </x:c>
      <x:c r="J132" s="91" t="str">
        <x:v>現役300名補充時の脚質暫定値。パリ〜ルーベ／ロンド個人成績の追加照合が必要</x:v>
      </x:c>
      <x:c r="K132" s="91" t="str">
        <x:v>https://www.paris-roubaix.fr/en/history</x:v>
      </x:c>
      <x:c r="L132" s="91" t="str"/>
      <x:c r="M132" s="91" t="str">
        <x:v>能力・適性・Credit整合済</x:v>
      </x:c>
    </x:row>
    <x:row r="133" ht="24" customHeight="1">
      <x:c r="A133" s="82" t="n">
        <x:v>129</x:v>
      </x:c>
      <x:c r="B133" s="82" t="str">
        <x:v>Julius van den Berg</x:v>
      </x:c>
      <x:c r="C133" s="85" t="n">
        <x:v>54</x:v>
      </x:c>
      <x:c r="D133" s="85" t="n">
        <x:v>0</x:v>
      </x:c>
      <x:c r="E133" s="85" t="n">
        <x:v>0</x:v>
      </x:c>
      <x:c r="F133" s="85" t="n">
        <x:v>0</x:v>
      </x:c>
      <x:c r="G133" s="85" t="n">
        <x:v>0</x:v>
      </x:c>
      <x:c r="H133" s="85" t="n">
        <x:v>0</x:v>
      </x:c>
      <x:c r="I133" s="91" t="str">
        <x:v>要実績照合</x:v>
      </x:c>
      <x:c r="J133" s="91" t="str">
        <x:v>現役300名補充時の脚質暫定値。パリ〜ルーベ／ロンド個人成績の追加照合が必要</x:v>
      </x:c>
      <x:c r="K133" s="91" t="str">
        <x:v>https://www.paris-roubaix.fr/en/history</x:v>
      </x:c>
      <x:c r="L133" s="91" t="str"/>
      <x:c r="M133" s="91" t="str">
        <x:v>能力・適性・Credit整合済</x:v>
      </x:c>
    </x:row>
    <x:row r="134" ht="24" customHeight="1">
      <x:c r="A134" s="82" t="n">
        <x:v>130</x:v>
      </x:c>
      <x:c r="B134" s="82" t="str">
        <x:v>Iván Romeo</x:v>
      </x:c>
      <x:c r="C134" s="85" t="n">
        <x:v>55</x:v>
      </x:c>
      <x:c r="D134" s="85" t="n">
        <x:v>0</x:v>
      </x:c>
      <x:c r="E134" s="85" t="n">
        <x:v>0</x:v>
      </x:c>
      <x:c r="F134" s="85" t="n">
        <x:v>0</x:v>
      </x:c>
      <x:c r="G134" s="85" t="n">
        <x:v>0</x:v>
      </x:c>
      <x:c r="H134" s="85" t="n">
        <x:v>0</x:v>
      </x:c>
      <x:c r="I134" s="91" t="str">
        <x:v>要実績照合</x:v>
      </x:c>
      <x:c r="J134" s="91" t="str">
        <x:v>現役300名補充時の脚質暫定値。パリ〜ルーベ／ロンド個人成績の追加照合が必要</x:v>
      </x:c>
      <x:c r="K134" s="91" t="str">
        <x:v>https://www.paris-roubaix.fr/en/history</x:v>
      </x:c>
      <x:c r="L134" s="91" t="str"/>
      <x:c r="M134" s="91" t="str">
        <x:v>能力・適性・Credit整合済</x:v>
      </x:c>
    </x:row>
    <x:row r="135" ht="24" customHeight="1">
      <x:c r="A135" s="82" t="n">
        <x:v>131</x:v>
      </x:c>
      <x:c r="B135" s="82" t="str">
        <x:v>Casper van Uden</x:v>
      </x:c>
      <x:c r="C135" s="85" t="n">
        <x:v>58</x:v>
      </x:c>
      <x:c r="D135" s="85" t="n">
        <x:v>0</x:v>
      </x:c>
      <x:c r="E135" s="85" t="n">
        <x:v>0</x:v>
      </x:c>
      <x:c r="F135" s="85" t="n">
        <x:v>0</x:v>
      </x:c>
      <x:c r="G135" s="85" t="n">
        <x:v>0</x:v>
      </x:c>
      <x:c r="H135" s="85" t="n">
        <x:v>0</x:v>
      </x:c>
      <x:c r="I135" s="91" t="str">
        <x:v>要実績照合</x:v>
      </x:c>
      <x:c r="J135" s="91" t="str">
        <x:v>現役300名補充時の脚質暫定値。パリ〜ルーベ／ロンド個人成績の追加照合が必要</x:v>
      </x:c>
      <x:c r="K135" s="91" t="str">
        <x:v>https://www.paris-roubaix.fr/en/history</x:v>
      </x:c>
      <x:c r="L135" s="91" t="str"/>
      <x:c r="M135" s="91" t="str">
        <x:v>能力・適性・Credit整合済</x:v>
      </x:c>
    </x:row>
    <x:row r="136" ht="24" customHeight="1">
      <x:c r="A136" s="82" t="n">
        <x:v>132</x:v>
      </x:c>
      <x:c r="B136" s="82" t="str">
        <x:v>Andreas Kron</x:v>
      </x:c>
      <x:c r="C136" s="85" t="n">
        <x:v>57</x:v>
      </x:c>
      <x:c r="D136" s="85" t="n">
        <x:v>0</x:v>
      </x:c>
      <x:c r="E136" s="85" t="n">
        <x:v>0</x:v>
      </x:c>
      <x:c r="F136" s="85" t="n">
        <x:v>0</x:v>
      </x:c>
      <x:c r="G136" s="85" t="n">
        <x:v>0</x:v>
      </x:c>
      <x:c r="H136" s="85" t="n">
        <x:v>0</x:v>
      </x:c>
      <x:c r="I136" s="91" t="str">
        <x:v>要実績照合</x:v>
      </x:c>
      <x:c r="J136" s="91" t="str">
        <x:v>現役300名補充時の脚質暫定値。パリ〜ルーベ／ロンド個人成績の追加照合が必要</x:v>
      </x:c>
      <x:c r="K136" s="91" t="str">
        <x:v>https://www.paris-roubaix.fr/en/history</x:v>
      </x:c>
      <x:c r="L136" s="91" t="str"/>
      <x:c r="M136" s="91" t="str">
        <x:v>能力・適性・Credit整合済</x:v>
      </x:c>
    </x:row>
    <x:row r="137" ht="24" customHeight="1">
      <x:c r="A137" s="82" t="n">
        <x:v>133</x:v>
      </x:c>
      <x:c r="B137" s="82" t="str">
        <x:v>Cees Bol</x:v>
      </x:c>
      <x:c r="C137" s="85" t="n">
        <x:v>59</x:v>
      </x:c>
      <x:c r="D137" s="85" t="n">
        <x:v>0</x:v>
      </x:c>
      <x:c r="E137" s="85" t="n">
        <x:v>0</x:v>
      </x:c>
      <x:c r="F137" s="85" t="n">
        <x:v>0</x:v>
      </x:c>
      <x:c r="G137" s="85" t="n">
        <x:v>0</x:v>
      </x:c>
      <x:c r="H137" s="85" t="n">
        <x:v>0</x:v>
      </x:c>
      <x:c r="I137" s="91" t="str">
        <x:v>要実績照合</x:v>
      </x:c>
      <x:c r="J137" s="91" t="str">
        <x:v>現役300名補充時の脚質暫定値。パリ〜ルーベ／ロンド個人成績の追加照合が必要</x:v>
      </x:c>
      <x:c r="K137" s="91" t="str">
        <x:v>https://www.paris-roubaix.fr/en/history</x:v>
      </x:c>
      <x:c r="L137" s="91" t="str"/>
      <x:c r="M137" s="91" t="str">
        <x:v>能力・適性・Credit整合済</x:v>
      </x:c>
    </x:row>
    <x:row r="138" ht="24" customHeight="1">
      <x:c r="A138" s="82" t="n">
        <x:v>134</x:v>
      </x:c>
      <x:c r="B138" s="82" t="str">
        <x:v>Darren Rafferty</x:v>
      </x:c>
      <x:c r="C138" s="85" t="n">
        <x:v>54</x:v>
      </x:c>
      <x:c r="D138" s="85" t="n">
        <x:v>0</x:v>
      </x:c>
      <x:c r="E138" s="85" t="n">
        <x:v>0</x:v>
      </x:c>
      <x:c r="F138" s="85" t="n">
        <x:v>0</x:v>
      </x:c>
      <x:c r="G138" s="85" t="n">
        <x:v>0</x:v>
      </x:c>
      <x:c r="H138" s="85" t="n">
        <x:v>0</x:v>
      </x:c>
      <x:c r="I138" s="91" t="str">
        <x:v>要実績照合</x:v>
      </x:c>
      <x:c r="J138" s="91" t="str">
        <x:v>現役300名補充時の脚質暫定値。パリ〜ルーベ／ロンド個人成績の追加照合が必要</x:v>
      </x:c>
      <x:c r="K138" s="91" t="str">
        <x:v>https://www.paris-roubaix.fr/en/history</x:v>
      </x:c>
      <x:c r="L138" s="91" t="str"/>
      <x:c r="M138" s="91" t="str">
        <x:v>能力・適性・Credit整合済</x:v>
      </x:c>
    </x:row>
    <x:row r="139" ht="24" customHeight="1">
      <x:c r="A139" s="82" t="n">
        <x:v>135</x:v>
      </x:c>
      <x:c r="B139" s="82" t="str">
        <x:v>Amanuel Ghebreigzabhier</x:v>
      </x:c>
      <x:c r="C139" s="85" t="n">
        <x:v>76</x:v>
      </x:c>
      <x:c r="D139" s="85" t="n">
        <x:v>0</x:v>
      </x:c>
      <x:c r="E139" s="85" t="n">
        <x:v>0</x:v>
      </x:c>
      <x:c r="F139" s="85" t="n">
        <x:v>0</x:v>
      </x:c>
      <x:c r="G139" s="85" t="n">
        <x:v>0</x:v>
      </x:c>
      <x:c r="H139" s="85" t="n">
        <x:v>0</x:v>
      </x:c>
      <x:c r="I139" s="91" t="str">
        <x:v>要実績照合</x:v>
      </x:c>
      <x:c r="J139" s="91" t="str">
        <x:v>現役300名補充時の脚質暫定値。パリ〜ルーベ／ロンド個人成績の追加照合が必要</x:v>
      </x:c>
      <x:c r="K139" s="91" t="str">
        <x:v>https://www.paris-roubaix.fr/en/history</x:v>
      </x:c>
      <x:c r="L139" s="91" t="str"/>
      <x:c r="M139" s="91" t="str">
        <x:v>能力・適性・Credit整合済</x:v>
      </x:c>
    </x:row>
    <x:row r="140" ht="24" customHeight="1">
      <x:c r="A140" s="82" t="n">
        <x:v>136</x:v>
      </x:c>
      <x:c r="B140" s="82" t="str">
        <x:v>Jay Vine</x:v>
      </x:c>
      <x:c r="C140" s="85" t="n">
        <x:v>57</x:v>
      </x:c>
      <x:c r="D140" s="85" t="n">
        <x:v>0</x:v>
      </x:c>
      <x:c r="E140" s="85" t="n">
        <x:v>0</x:v>
      </x:c>
      <x:c r="F140" s="85" t="n">
        <x:v>0</x:v>
      </x:c>
      <x:c r="G140" s="85" t="n">
        <x:v>0</x:v>
      </x:c>
      <x:c r="H140" s="85" t="n">
        <x:v>0</x:v>
      </x:c>
      <x:c r="I140" s="91" t="str">
        <x:v>要実績照合</x:v>
      </x:c>
      <x:c r="J140" s="91" t="str">
        <x:v>現役300名補充時の脚質暫定値。パリ〜ルーベ／ロンド個人成績の追加照合が必要</x:v>
      </x:c>
      <x:c r="K140" s="91" t="str">
        <x:v>https://www.paris-roubaix.fr/en/history</x:v>
      </x:c>
      <x:c r="L140" s="91" t="str"/>
      <x:c r="M140" s="91" t="str">
        <x:v>能力・適性・Credit整合済</x:v>
      </x:c>
    </x:row>
    <x:row r="141" ht="24" customHeight="1">
      <x:c r="A141" s="82" t="n">
        <x:v>137</x:v>
      </x:c>
      <x:c r="B141" s="82" t="str">
        <x:v>António Morgado</x:v>
      </x:c>
      <x:c r="C141" s="85" t="n">
        <x:v>77</x:v>
      </x:c>
      <x:c r="D141" s="85" t="n">
        <x:v>0</x:v>
      </x:c>
      <x:c r="E141" s="85" t="n">
        <x:v>0</x:v>
      </x:c>
      <x:c r="F141" s="85" t="n">
        <x:v>0</x:v>
      </x:c>
      <x:c r="G141" s="85" t="n">
        <x:v>0</x:v>
      </x:c>
      <x:c r="H141" s="85" t="n">
        <x:v>0</x:v>
      </x:c>
      <x:c r="I141" s="91" t="str">
        <x:v>要実績照合</x:v>
      </x:c>
      <x:c r="J141" s="91" t="str">
        <x:v>現役300名補充時の脚質暫定値。パリ〜ルーベ／ロンド個人成績の追加照合が必要</x:v>
      </x:c>
      <x:c r="K141" s="91" t="str">
        <x:v>https://www.paris-roubaix.fr/en/history</x:v>
      </x:c>
      <x:c r="L141" s="91" t="str"/>
      <x:c r="M141" s="91" t="str">
        <x:v>能力・適性・Credit整合済</x:v>
      </x:c>
    </x:row>
    <x:row r="142" ht="24" customHeight="1">
      <x:c r="A142" s="82" t="n">
        <x:v>138</x:v>
      </x:c>
      <x:c r="B142" s="82" t="str">
        <x:v>Joshua Giddings (cyclist)</x:v>
      </x:c>
      <x:c r="C142" s="85" t="n">
        <x:v>76</x:v>
      </x:c>
      <x:c r="D142" s="85" t="n">
        <x:v>0</x:v>
      </x:c>
      <x:c r="E142" s="85" t="n">
        <x:v>0</x:v>
      </x:c>
      <x:c r="F142" s="85" t="n">
        <x:v>0</x:v>
      </x:c>
      <x:c r="G142" s="85" t="n">
        <x:v>0</x:v>
      </x:c>
      <x:c r="H142" s="85" t="n">
        <x:v>0</x:v>
      </x:c>
      <x:c r="I142" s="91" t="str">
        <x:v>要実績照合</x:v>
      </x:c>
      <x:c r="J142" s="91" t="str">
        <x:v>現役300名補充時の脚質暫定値。パリ〜ルーベ／ロンド個人成績の追加照合が必要</x:v>
      </x:c>
      <x:c r="K142" s="91" t="str">
        <x:v>https://www.paris-roubaix.fr/en/history</x:v>
      </x:c>
      <x:c r="L142" s="91" t="str"/>
      <x:c r="M142" s="91" t="str">
        <x:v>能力・適性・Credit整合済</x:v>
      </x:c>
    </x:row>
    <x:row r="143" ht="24" customHeight="1">
      <x:c r="A143" s="82" t="n">
        <x:v>139</x:v>
      </x:c>
      <x:c r="B143" s="82" t="str">
        <x:v>Edward Planckaert</x:v>
      </x:c>
      <x:c r="C143" s="85" t="n">
        <x:v>75</x:v>
      </x:c>
      <x:c r="D143" s="85" t="n">
        <x:v>0</x:v>
      </x:c>
      <x:c r="E143" s="85" t="n">
        <x:v>0</x:v>
      </x:c>
      <x:c r="F143" s="85" t="n">
        <x:v>0</x:v>
      </x:c>
      <x:c r="G143" s="85" t="n">
        <x:v>0</x:v>
      </x:c>
      <x:c r="H143" s="85" t="n">
        <x:v>0</x:v>
      </x:c>
      <x:c r="I143" s="91" t="str">
        <x:v>要実績照合</x:v>
      </x:c>
      <x:c r="J143" s="91" t="str">
        <x:v>現役300名補充時の脚質暫定値。パリ〜ルーベ／ロンド個人成績の追加照合が必要</x:v>
      </x:c>
      <x:c r="K143" s="91" t="str">
        <x:v>https://www.paris-roubaix.fr/en/history</x:v>
      </x:c>
      <x:c r="L143" s="91" t="str"/>
      <x:c r="M143" s="91" t="str">
        <x:v>能力・適性・Credit整合済</x:v>
      </x:c>
    </x:row>
    <x:row r="144" ht="24" customHeight="1">
      <x:c r="A144" s="82" t="n">
        <x:v>140</x:v>
      </x:c>
      <x:c r="B144" s="82" t="str">
        <x:v>Colby Simmons</x:v>
      </x:c>
      <x:c r="C144" s="85" t="n">
        <x:v>58</x:v>
      </x:c>
      <x:c r="D144" s="85" t="n">
        <x:v>0</x:v>
      </x:c>
      <x:c r="E144" s="85" t="n">
        <x:v>0</x:v>
      </x:c>
      <x:c r="F144" s="85" t="n">
        <x:v>0</x:v>
      </x:c>
      <x:c r="G144" s="85" t="n">
        <x:v>0</x:v>
      </x:c>
      <x:c r="H144" s="85" t="n">
        <x:v>0</x:v>
      </x:c>
      <x:c r="I144" s="91" t="str">
        <x:v>要実績照合</x:v>
      </x:c>
      <x:c r="J144" s="91" t="str">
        <x:v>現役300名補充時の脚質暫定値。パリ〜ルーベ／ロンド個人成績の追加照合が必要</x:v>
      </x:c>
      <x:c r="K144" s="91" t="str">
        <x:v>https://www.paris-roubaix.fr/en/history</x:v>
      </x:c>
      <x:c r="L144" s="91" t="str"/>
      <x:c r="M144" s="91" t="str">
        <x:v>能力・適性・Credit整合済</x:v>
      </x:c>
    </x:row>
    <x:row r="145" ht="24" customHeight="1">
      <x:c r="A145" s="82" t="n">
        <x:v>141</x:v>
      </x:c>
      <x:c r="B145" s="82" t="str">
        <x:v>Anton Schiffer</x:v>
      </x:c>
      <x:c r="C145" s="85" t="n">
        <x:v>56</x:v>
      </x:c>
      <x:c r="D145" s="85" t="n">
        <x:v>0</x:v>
      </x:c>
      <x:c r="E145" s="85" t="n">
        <x:v>0</x:v>
      </x:c>
      <x:c r="F145" s="85" t="n">
        <x:v>0</x:v>
      </x:c>
      <x:c r="G145" s="85" t="n">
        <x:v>0</x:v>
      </x:c>
      <x:c r="H145" s="85" t="n">
        <x:v>0</x:v>
      </x:c>
      <x:c r="I145" s="91" t="str">
        <x:v>要実績照合</x:v>
      </x:c>
      <x:c r="J145" s="91" t="str">
        <x:v>現役300名補充時の脚質暫定値。パリ〜ルーベ／ロンド個人成績の追加照合が必要</x:v>
      </x:c>
      <x:c r="K145" s="91" t="str">
        <x:v>https://www.paris-roubaix.fr/en/history</x:v>
      </x:c>
      <x:c r="L145" s="91" t="str"/>
      <x:c r="M145" s="91" t="str">
        <x:v>能力・適性・Credit整合済</x:v>
      </x:c>
    </x:row>
    <x:row r="146" ht="24" customHeight="1">
      <x:c r="A146" s="82" t="n">
        <x:v>142</x:v>
      </x:c>
      <x:c r="B146" s="82" t="str">
        <x:v>Javier Romo</x:v>
      </x:c>
      <x:c r="C146" s="85" t="n">
        <x:v>70</x:v>
      </x:c>
      <x:c r="D146" s="85" t="n">
        <x:v>0</x:v>
      </x:c>
      <x:c r="E146" s="85" t="n">
        <x:v>0</x:v>
      </x:c>
      <x:c r="F146" s="85" t="n">
        <x:v>0</x:v>
      </x:c>
      <x:c r="G146" s="85" t="n">
        <x:v>0</x:v>
      </x:c>
      <x:c r="H146" s="85" t="n">
        <x:v>0</x:v>
      </x:c>
      <x:c r="I146" s="91" t="str">
        <x:v>要実績照合</x:v>
      </x:c>
      <x:c r="J146" s="91" t="str">
        <x:v>現役300名補充時の脚質暫定値。パリ〜ルーベ／ロンド個人成績の追加照合が必要</x:v>
      </x:c>
      <x:c r="K146" s="91" t="str">
        <x:v>https://www.paris-roubaix.fr/en/history</x:v>
      </x:c>
      <x:c r="L146" s="91" t="str"/>
      <x:c r="M146" s="91" t="str">
        <x:v>能力・適性・Credit整合済</x:v>
      </x:c>
    </x:row>
    <x:row r="147" ht="24" customHeight="1">
      <x:c r="A147" s="82" t="n">
        <x:v>143</x:v>
      </x:c>
      <x:c r="B147" s="82" t="str">
        <x:v>Magnus Cort</x:v>
      </x:c>
      <x:c r="C147" s="85" t="n">
        <x:v>60</x:v>
      </x:c>
      <x:c r="D147" s="85" t="n">
        <x:v>0</x:v>
      </x:c>
      <x:c r="E147" s="85" t="n">
        <x:v>0</x:v>
      </x:c>
      <x:c r="F147" s="85" t="n">
        <x:v>0</x:v>
      </x:c>
      <x:c r="G147" s="85" t="n">
        <x:v>0</x:v>
      </x:c>
      <x:c r="H147" s="85" t="n">
        <x:v>0</x:v>
      </x:c>
      <x:c r="I147" s="91" t="str">
        <x:v>要実績照合</x:v>
      </x:c>
      <x:c r="J147" s="91" t="str">
        <x:v>現役300名補充時の脚質暫定値。パリ〜ルーベ／ロンド個人成績の追加照合が必要</x:v>
      </x:c>
      <x:c r="K147" s="91" t="str">
        <x:v>https://www.paris-roubaix.fr/en/history</x:v>
      </x:c>
      <x:c r="L147" s="91" t="str"/>
      <x:c r="M147" s="91" t="str">
        <x:v>能力・適性・Credit整合済</x:v>
      </x:c>
    </x:row>
    <x:row r="148" ht="24" customHeight="1">
      <x:c r="A148" s="82" t="n">
        <x:v>144</x:v>
      </x:c>
      <x:c r="B148" s="82" t="str">
        <x:v>Christian Scaroni</x:v>
      </x:c>
      <x:c r="C148" s="85" t="n">
        <x:v>63</x:v>
      </x:c>
      <x:c r="D148" s="85" t="n">
        <x:v>0</x:v>
      </x:c>
      <x:c r="E148" s="85" t="n">
        <x:v>0</x:v>
      </x:c>
      <x:c r="F148" s="85" t="n">
        <x:v>0</x:v>
      </x:c>
      <x:c r="G148" s="85" t="n">
        <x:v>0</x:v>
      </x:c>
      <x:c r="H148" s="85" t="n">
        <x:v>0</x:v>
      </x:c>
      <x:c r="I148" s="91" t="str">
        <x:v>要実績照合</x:v>
      </x:c>
      <x:c r="J148" s="91" t="str">
        <x:v>現役300名補充時の脚質暫定値。パリ〜ルーベ／ロンド個人成績の追加照合が必要</x:v>
      </x:c>
      <x:c r="K148" s="91" t="str">
        <x:v>https://www.paris-roubaix.fr/en/history</x:v>
      </x:c>
      <x:c r="L148" s="91" t="str"/>
      <x:c r="M148" s="91" t="str">
        <x:v>能力・適性・Credit整合済</x:v>
      </x:c>
    </x:row>
    <x:row r="149" ht="24" customHeight="1">
      <x:c r="A149" s="82" t="n">
        <x:v>145</x:v>
      </x:c>
      <x:c r="B149" s="82" t="str">
        <x:v>Cristián Rodríguez (cyclist)</x:v>
      </x:c>
      <x:c r="C149" s="85" t="n">
        <x:v>57</x:v>
      </x:c>
      <x:c r="D149" s="85" t="n">
        <x:v>0</x:v>
      </x:c>
      <x:c r="E149" s="85" t="n">
        <x:v>0</x:v>
      </x:c>
      <x:c r="F149" s="85" t="n">
        <x:v>0</x:v>
      </x:c>
      <x:c r="G149" s="85" t="n">
        <x:v>0</x:v>
      </x:c>
      <x:c r="H149" s="85" t="n">
        <x:v>0</x:v>
      </x:c>
      <x:c r="I149" s="91" t="str">
        <x:v>要実績照合</x:v>
      </x:c>
      <x:c r="J149" s="91" t="str">
        <x:v>現役300名補充時の脚質暫定値。パリ〜ルーベ／ロンド個人成績の追加照合が必要</x:v>
      </x:c>
      <x:c r="K149" s="91" t="str">
        <x:v>https://www.paris-roubaix.fr/en/history</x:v>
      </x:c>
      <x:c r="L149" s="91" t="str"/>
      <x:c r="M149" s="91" t="str">
        <x:v>能力・適性・Credit整合済</x:v>
      </x:c>
    </x:row>
    <x:row r="150" ht="24" customHeight="1">
      <x:c r="A150" s="82" t="n">
        <x:v>146</x:v>
      </x:c>
      <x:c r="B150" s="82" t="str">
        <x:v>Gianluca Pollefliet</x:v>
      </x:c>
      <x:c r="C150" s="85" t="n">
        <x:v>70</x:v>
      </x:c>
      <x:c r="D150" s="85" t="n">
        <x:v>0</x:v>
      </x:c>
      <x:c r="E150" s="85" t="n">
        <x:v>0</x:v>
      </x:c>
      <x:c r="F150" s="85" t="n">
        <x:v>0</x:v>
      </x:c>
      <x:c r="G150" s="85" t="n">
        <x:v>0</x:v>
      </x:c>
      <x:c r="H150" s="85" t="n">
        <x:v>0</x:v>
      </x:c>
      <x:c r="I150" s="91" t="str">
        <x:v>要実績照合</x:v>
      </x:c>
      <x:c r="J150" s="91" t="str">
        <x:v>現役300名補充時の脚質暫定値。パリ〜ルーベ／ロンド個人成績の追加照合が必要</x:v>
      </x:c>
      <x:c r="K150" s="91" t="str">
        <x:v>https://www.paris-roubaix.fr/en/history</x:v>
      </x:c>
      <x:c r="L150" s="91" t="str"/>
      <x:c r="M150" s="91" t="str">
        <x:v>能力・適性・Credit整合済</x:v>
      </x:c>
    </x:row>
    <x:row r="151" ht="24" customHeight="1">
      <x:c r="A151" s="82" t="n">
        <x:v>147</x:v>
      </x:c>
      <x:c r="B151" s="82" t="str">
        <x:v>Georg Steinhauser</x:v>
      </x:c>
      <x:c r="C151" s="85" t="n">
        <x:v>58</x:v>
      </x:c>
      <x:c r="D151" s="85" t="n">
        <x:v>0</x:v>
      </x:c>
      <x:c r="E151" s="85" t="n">
        <x:v>0</x:v>
      </x:c>
      <x:c r="F151" s="85" t="n">
        <x:v>0</x:v>
      </x:c>
      <x:c r="G151" s="85" t="n">
        <x:v>0</x:v>
      </x:c>
      <x:c r="H151" s="85" t="n">
        <x:v>0</x:v>
      </x:c>
      <x:c r="I151" s="91" t="str">
        <x:v>要実績照合</x:v>
      </x:c>
      <x:c r="J151" s="91" t="str">
        <x:v>現役300名補充時の脚質暫定値。パリ〜ルーベ／ロンド個人成績の追加照合が必要</x:v>
      </x:c>
      <x:c r="K151" s="91" t="str">
        <x:v>https://www.paris-roubaix.fr/en/history</x:v>
      </x:c>
      <x:c r="L151" s="91" t="str"/>
      <x:c r="M151" s="91" t="str">
        <x:v>能力・適性・Credit整合済</x:v>
      </x:c>
    </x:row>
    <x:row r="152" ht="24" customHeight="1">
      <x:c r="A152" s="82" t="n">
        <x:v>148</x:v>
      </x:c>
      <x:c r="B152" s="82" t="str">
        <x:v>Ben Tulett</x:v>
      </x:c>
      <x:c r="C152" s="85" t="n">
        <x:v>61</x:v>
      </x:c>
      <x:c r="D152" s="85" t="n">
        <x:v>0</x:v>
      </x:c>
      <x:c r="E152" s="85" t="n">
        <x:v>0</x:v>
      </x:c>
      <x:c r="F152" s="85" t="n">
        <x:v>0</x:v>
      </x:c>
      <x:c r="G152" s="85" t="n">
        <x:v>0</x:v>
      </x:c>
      <x:c r="H152" s="85" t="n">
        <x:v>0</x:v>
      </x:c>
      <x:c r="I152" s="91" t="str">
        <x:v>要実績照合</x:v>
      </x:c>
      <x:c r="J152" s="91" t="str">
        <x:v>現役300名補充時の脚質暫定値。パリ〜ルーベ／ロンド個人成績の追加照合が必要</x:v>
      </x:c>
      <x:c r="K152" s="91" t="str">
        <x:v>https://www.paris-roubaix.fr/en/history</x:v>
      </x:c>
      <x:c r="L152" s="91" t="str"/>
      <x:c r="M152" s="91" t="str">
        <x:v>能力・適性・Credit整合済</x:v>
      </x:c>
    </x:row>
    <x:row r="153" ht="24" customHeight="1">
      <x:c r="A153" s="82" t="n">
        <x:v>149</x:v>
      </x:c>
      <x:c r="B153" s="82" t="str">
        <x:v>Andrew August</x:v>
      </x:c>
      <x:c r="C153" s="85" t="n">
        <x:v>62</x:v>
      </x:c>
      <x:c r="D153" s="85" t="n">
        <x:v>0</x:v>
      </x:c>
      <x:c r="E153" s="85" t="n">
        <x:v>0</x:v>
      </x:c>
      <x:c r="F153" s="85" t="n">
        <x:v>0</x:v>
      </x:c>
      <x:c r="G153" s="85" t="n">
        <x:v>0</x:v>
      </x:c>
      <x:c r="H153" s="85" t="n">
        <x:v>0</x:v>
      </x:c>
      <x:c r="I153" s="91" t="str">
        <x:v>要実績照合</x:v>
      </x:c>
      <x:c r="J153" s="91" t="str">
        <x:v>現役300名補充時の脚質暫定値。パリ〜ルーベ／ロンド個人成績の追加照合が必要</x:v>
      </x:c>
      <x:c r="K153" s="91" t="str">
        <x:v>https://www.paris-roubaix.fr/en/history</x:v>
      </x:c>
      <x:c r="L153" s="91" t="str"/>
      <x:c r="M153" s="91" t="str">
        <x:v>能力・適性・Credit整合済</x:v>
      </x:c>
    </x:row>
    <x:row r="154" ht="24" customHeight="1">
      <x:c r="A154" s="82" t="n">
        <x:v>150</x:v>
      </x:c>
      <x:c r="B154" s="82" t="str">
        <x:v>Bram Welten</x:v>
      </x:c>
      <x:c r="C154" s="85" t="n">
        <x:v>58</x:v>
      </x:c>
      <x:c r="D154" s="85" t="n">
        <x:v>0</x:v>
      </x:c>
      <x:c r="E154" s="85" t="n">
        <x:v>0</x:v>
      </x:c>
      <x:c r="F154" s="85" t="n">
        <x:v>0</x:v>
      </x:c>
      <x:c r="G154" s="85" t="n">
        <x:v>0</x:v>
      </x:c>
      <x:c r="H154" s="85" t="n">
        <x:v>0</x:v>
      </x:c>
      <x:c r="I154" s="91" t="str">
        <x:v>要実績照合</x:v>
      </x:c>
      <x:c r="J154" s="91" t="str">
        <x:v>現役300名補充時の脚質暫定値。パリ〜ルーベ／ロンド個人成績の追加照合が必要</x:v>
      </x:c>
      <x:c r="K154" s="91" t="str">
        <x:v>https://www.paris-roubaix.fr/en/history</x:v>
      </x:c>
      <x:c r="L154" s="91" t="str"/>
      <x:c r="M154" s="91" t="str">
        <x:v>能力・適性・Credit整合済</x:v>
      </x:c>
    </x:row>
    <x:row r="155" ht="24" customHeight="1">
      <x:c r="A155" s="82" t="n">
        <x:v>151</x:v>
      </x:c>
      <x:c r="B155" s="82" t="str">
        <x:v>Ben O'Connor (cyclist)</x:v>
      </x:c>
      <x:c r="C155" s="85" t="n">
        <x:v>58</x:v>
      </x:c>
      <x:c r="D155" s="85" t="n">
        <x:v>0</x:v>
      </x:c>
      <x:c r="E155" s="85" t="n">
        <x:v>0</x:v>
      </x:c>
      <x:c r="F155" s="85" t="n">
        <x:v>0</x:v>
      </x:c>
      <x:c r="G155" s="85" t="n">
        <x:v>0</x:v>
      </x:c>
      <x:c r="H155" s="85" t="n">
        <x:v>0</x:v>
      </x:c>
      <x:c r="I155" s="91" t="str">
        <x:v>要実績照合</x:v>
      </x:c>
      <x:c r="J155" s="91" t="str">
        <x:v>現役300名補充時の脚質暫定値。パリ〜ルーベ／ロンド個人成績の追加照合が必要</x:v>
      </x:c>
      <x:c r="K155" s="91" t="str">
        <x:v>https://www.paris-roubaix.fr/en/history</x:v>
      </x:c>
      <x:c r="L155" s="91" t="str"/>
      <x:c r="M155" s="91" t="str">
        <x:v>能力・適性・Credit整合済</x:v>
      </x:c>
    </x:row>
    <x:row r="156" ht="24" customHeight="1">
      <x:c r="A156" s="82" t="n">
        <x:v>152</x:v>
      </x:c>
      <x:c r="B156" s="82" t="str">
        <x:v>Henrik Pedersen (cyclist)</x:v>
      </x:c>
      <x:c r="C156" s="85" t="n">
        <x:v>56</x:v>
      </x:c>
      <x:c r="D156" s="85" t="n">
        <x:v>0</x:v>
      </x:c>
      <x:c r="E156" s="85" t="n">
        <x:v>0</x:v>
      </x:c>
      <x:c r="F156" s="85" t="n">
        <x:v>0</x:v>
      </x:c>
      <x:c r="G156" s="85" t="n">
        <x:v>0</x:v>
      </x:c>
      <x:c r="H156" s="85" t="n">
        <x:v>0</x:v>
      </x:c>
      <x:c r="I156" s="91" t="str">
        <x:v>要実績照合</x:v>
      </x:c>
      <x:c r="J156" s="91" t="str">
        <x:v>現役300名補充時の脚質暫定値。パリ〜ルーベ／ロンド個人成績の追加照合が必要</x:v>
      </x:c>
      <x:c r="K156" s="91" t="str">
        <x:v>https://www.paris-roubaix.fr/en/history</x:v>
      </x:c>
      <x:c r="L156" s="91" t="str"/>
      <x:c r="M156" s="91" t="str">
        <x:v>能力・適性・Credit整合済</x:v>
      </x:c>
    </x:row>
    <x:row r="157" ht="24" customHeight="1">
      <x:c r="A157" s="82" t="n">
        <x:v>153</x:v>
      </x:c>
      <x:c r="B157" s="82" t="str">
        <x:v>Guillermo Thomas Silva</x:v>
      </x:c>
      <x:c r="C157" s="85" t="n">
        <x:v>54</x:v>
      </x:c>
      <x:c r="D157" s="85" t="n">
        <x:v>0</x:v>
      </x:c>
      <x:c r="E157" s="85" t="n">
        <x:v>0</x:v>
      </x:c>
      <x:c r="F157" s="85" t="n">
        <x:v>0</x:v>
      </x:c>
      <x:c r="G157" s="85" t="n">
        <x:v>0</x:v>
      </x:c>
      <x:c r="H157" s="85" t="n">
        <x:v>0</x:v>
      </x:c>
      <x:c r="I157" s="91" t="str">
        <x:v>要実績照合</x:v>
      </x:c>
      <x:c r="J157" s="91" t="str">
        <x:v>現役300名補充時の脚質暫定値。パリ〜ルーベ／ロンド個人成績の追加照合が必要</x:v>
      </x:c>
      <x:c r="K157" s="91" t="str">
        <x:v>https://www.paris-roubaix.fr/en/history</x:v>
      </x:c>
      <x:c r="L157" s="91" t="str"/>
      <x:c r="M157" s="91" t="str">
        <x:v>能力・適性・Credit整合済</x:v>
      </x:c>
    </x:row>
    <x:row r="158" ht="24" customHeight="1">
      <x:c r="A158" s="82" t="n">
        <x:v>154</x:v>
      </x:c>
      <x:c r="B158" s="82" t="str">
        <x:v>Brandon Rivera</x:v>
      </x:c>
      <x:c r="C158" s="85" t="n">
        <x:v>56</x:v>
      </x:c>
      <x:c r="D158" s="85" t="n">
        <x:v>0</x:v>
      </x:c>
      <x:c r="E158" s="85" t="n">
        <x:v>0</x:v>
      </x:c>
      <x:c r="F158" s="85" t="n">
        <x:v>0</x:v>
      </x:c>
      <x:c r="G158" s="85" t="n">
        <x:v>0</x:v>
      </x:c>
      <x:c r="H158" s="85" t="n">
        <x:v>0</x:v>
      </x:c>
      <x:c r="I158" s="91" t="str">
        <x:v>要実績照合</x:v>
      </x:c>
      <x:c r="J158" s="91" t="str">
        <x:v>現役300名補充時の脚質暫定値。パリ〜ルーベ／ロンド個人成績の追加照合が必要</x:v>
      </x:c>
      <x:c r="K158" s="91" t="str">
        <x:v>https://www.paris-roubaix.fr/en/history</x:v>
      </x:c>
      <x:c r="L158" s="91" t="str"/>
      <x:c r="M158" s="91" t="str">
        <x:v>能力・適性・Credit整合済</x:v>
      </x:c>
    </x:row>
    <x:row r="159" ht="24" customHeight="1">
      <x:c r="A159" s="82" t="n">
        <x:v>155</x:v>
      </x:c>
      <x:c r="B159" s="82" t="str">
        <x:v>Jacopo Mosca</x:v>
      </x:c>
      <x:c r="C159" s="85" t="n">
        <x:v>56</x:v>
      </x:c>
      <x:c r="D159" s="85" t="n">
        <x:v>0</x:v>
      </x:c>
      <x:c r="E159" s="85" t="n">
        <x:v>0</x:v>
      </x:c>
      <x:c r="F159" s="85" t="n">
        <x:v>0</x:v>
      </x:c>
      <x:c r="G159" s="85" t="n">
        <x:v>0</x:v>
      </x:c>
      <x:c r="H159" s="85" t="n">
        <x:v>0</x:v>
      </x:c>
      <x:c r="I159" s="91" t="str">
        <x:v>要実績照合</x:v>
      </x:c>
      <x:c r="J159" s="91" t="str">
        <x:v>現役300名補充時の脚質暫定値。パリ〜ルーベ／ロンド個人成績の追加照合が必要</x:v>
      </x:c>
      <x:c r="K159" s="91" t="str">
        <x:v>https://www.paris-roubaix.fr/en/history</x:v>
      </x:c>
      <x:c r="L159" s="91" t="str"/>
      <x:c r="M159" s="91" t="str">
        <x:v>能力・適性・Credit整合済</x:v>
      </x:c>
    </x:row>
    <x:row r="160" ht="24" customHeight="1">
      <x:c r="A160" s="82" t="n">
        <x:v>156</x:v>
      </x:c>
      <x:c r="B160" s="82" t="str">
        <x:v>Fabio Van den Bossche</x:v>
      </x:c>
      <x:c r="C160" s="85" t="n">
        <x:v>57</x:v>
      </x:c>
      <x:c r="D160" s="85" t="n">
        <x:v>0</x:v>
      </x:c>
      <x:c r="E160" s="85" t="n">
        <x:v>0</x:v>
      </x:c>
      <x:c r="F160" s="85" t="n">
        <x:v>0</x:v>
      </x:c>
      <x:c r="G160" s="85" t="n">
        <x:v>0</x:v>
      </x:c>
      <x:c r="H160" s="85" t="n">
        <x:v>0</x:v>
      </x:c>
      <x:c r="I160" s="91" t="str">
        <x:v>要実績照合</x:v>
      </x:c>
      <x:c r="J160" s="91" t="str">
        <x:v>現役300名補充時の脚質暫定値。パリ〜ルーベ／ロンド個人成績の追加照合が必要</x:v>
      </x:c>
      <x:c r="K160" s="91" t="str">
        <x:v>https://www.paris-roubaix.fr/en/history</x:v>
      </x:c>
      <x:c r="L160" s="91" t="str"/>
      <x:c r="M160" s="91" t="str">
        <x:v>能力・適性・Credit整合済</x:v>
      </x:c>
    </x:row>
    <x:row r="161" ht="24" customHeight="1">
      <x:c r="A161" s="82" t="n">
        <x:v>157</x:v>
      </x:c>
      <x:c r="B161" s="82" t="str">
        <x:v>Jonas Rickaert</x:v>
      </x:c>
      <x:c r="C161" s="85" t="n">
        <x:v>51</x:v>
      </x:c>
      <x:c r="D161" s="85" t="n">
        <x:v>0</x:v>
      </x:c>
      <x:c r="E161" s="85" t="n">
        <x:v>0</x:v>
      </x:c>
      <x:c r="F161" s="85" t="n">
        <x:v>0</x:v>
      </x:c>
      <x:c r="G161" s="85" t="n">
        <x:v>0</x:v>
      </x:c>
      <x:c r="H161" s="85" t="n">
        <x:v>0</x:v>
      </x:c>
      <x:c r="I161" s="91" t="str">
        <x:v>要実績照合</x:v>
      </x:c>
      <x:c r="J161" s="91" t="str">
        <x:v>現役300名補充時の脚質暫定値。パリ〜ルーベ／ロンド個人成績の追加照合が必要</x:v>
      </x:c>
      <x:c r="K161" s="91" t="str">
        <x:v>https://www.paris-roubaix.fr/en/history</x:v>
      </x:c>
      <x:c r="L161" s="91" t="str"/>
      <x:c r="M161" s="91" t="str">
        <x:v>能力・適性・Credit整合済</x:v>
      </x:c>
    </x:row>
    <x:row r="162" ht="24" customHeight="1">
      <x:c r="A162" s="82" t="n">
        <x:v>158</x:v>
      </x:c>
      <x:c r="B162" s="82" t="str">
        <x:v>Carlos Canal</x:v>
      </x:c>
      <x:c r="C162" s="85" t="n">
        <x:v>58</x:v>
      </x:c>
      <x:c r="D162" s="85" t="n">
        <x:v>0</x:v>
      </x:c>
      <x:c r="E162" s="85" t="n">
        <x:v>0</x:v>
      </x:c>
      <x:c r="F162" s="85" t="n">
        <x:v>0</x:v>
      </x:c>
      <x:c r="G162" s="85" t="n">
        <x:v>0</x:v>
      </x:c>
      <x:c r="H162" s="85" t="n">
        <x:v>0</x:v>
      </x:c>
      <x:c r="I162" s="91" t="str">
        <x:v>要実績照合</x:v>
      </x:c>
      <x:c r="J162" s="91" t="str">
        <x:v>現役300名補充時の脚質暫定値。パリ〜ルーベ／ロンド個人成績の追加照合が必要</x:v>
      </x:c>
      <x:c r="K162" s="91" t="str">
        <x:v>https://www.paris-roubaix.fr/en/history</x:v>
      </x:c>
      <x:c r="L162" s="91" t="str"/>
      <x:c r="M162" s="91" t="str">
        <x:v>能力・適性・Credit整合済</x:v>
      </x:c>
    </x:row>
    <x:row r="163" ht="24" customHeight="1">
      <x:c r="A163" s="82" t="n">
        <x:v>159</x:v>
      </x:c>
      <x:c r="B163" s="82" t="str">
        <x:v>Antoine L'Hote</x:v>
      </x:c>
      <x:c r="C163" s="85" t="n">
        <x:v>57</x:v>
      </x:c>
      <x:c r="D163" s="85" t="n">
        <x:v>0</x:v>
      </x:c>
      <x:c r="E163" s="85" t="n">
        <x:v>0</x:v>
      </x:c>
      <x:c r="F163" s="85" t="n">
        <x:v>0</x:v>
      </x:c>
      <x:c r="G163" s="85" t="n">
        <x:v>0</x:v>
      </x:c>
      <x:c r="H163" s="85" t="n">
        <x:v>0</x:v>
      </x:c>
      <x:c r="I163" s="91" t="str">
        <x:v>要実績照合</x:v>
      </x:c>
      <x:c r="J163" s="91" t="str">
        <x:v>現役300名補充時の脚質暫定値。パリ〜ルーベ／ロンド個人成績の追加照合が必要</x:v>
      </x:c>
      <x:c r="K163" s="91" t="str">
        <x:v>https://www.paris-roubaix.fr/en/history</x:v>
      </x:c>
      <x:c r="L163" s="91" t="str"/>
      <x:c r="M163" s="91" t="str">
        <x:v>能力・適性・Credit整合済</x:v>
      </x:c>
    </x:row>
    <x:row r="164" ht="24" customHeight="1">
      <x:c r="A164" s="82" t="n">
        <x:v>160</x:v>
      </x:c>
      <x:c r="B164" s="82" t="str">
        <x:v>Daan Hoole</x:v>
      </x:c>
      <x:c r="C164" s="85" t="n">
        <x:v>58</x:v>
      </x:c>
      <x:c r="D164" s="85" t="n">
        <x:v>0</x:v>
      </x:c>
      <x:c r="E164" s="85" t="n">
        <x:v>0</x:v>
      </x:c>
      <x:c r="F164" s="85" t="n">
        <x:v>0</x:v>
      </x:c>
      <x:c r="G164" s="85" t="n">
        <x:v>0</x:v>
      </x:c>
      <x:c r="H164" s="85" t="n">
        <x:v>0</x:v>
      </x:c>
      <x:c r="I164" s="91" t="str">
        <x:v>要実績照合</x:v>
      </x:c>
      <x:c r="J164" s="91" t="str">
        <x:v>現役300名補充時の脚質暫定値。パリ〜ルーベ／ロンド個人成績の追加照合が必要</x:v>
      </x:c>
      <x:c r="K164" s="91" t="str">
        <x:v>https://www.paris-roubaix.fr/en/history</x:v>
      </x:c>
      <x:c r="L164" s="91" t="str"/>
      <x:c r="M164" s="91" t="str">
        <x:v>能力・適性・Credit整合済</x:v>
      </x:c>
    </x:row>
    <x:row r="165" ht="24" customHeight="1">
      <x:c r="A165" s="82" t="n">
        <x:v>161</x:v>
      </x:c>
      <x:c r="B165" s="82" t="str">
        <x:v>Ben Turner (cyclist)</x:v>
      </x:c>
      <x:c r="C165" s="85" t="n">
        <x:v>58</x:v>
      </x:c>
      <x:c r="D165" s="85" t="n">
        <x:v>0</x:v>
      </x:c>
      <x:c r="E165" s="85" t="n">
        <x:v>0</x:v>
      </x:c>
      <x:c r="F165" s="85" t="n">
        <x:v>0</x:v>
      </x:c>
      <x:c r="G165" s="85" t="n">
        <x:v>0</x:v>
      </x:c>
      <x:c r="H165" s="85" t="n">
        <x:v>0</x:v>
      </x:c>
      <x:c r="I165" s="91" t="str">
        <x:v>要実績照合</x:v>
      </x:c>
      <x:c r="J165" s="91" t="str">
        <x:v>現役300名補充時の脚質暫定値。パリ〜ルーベ／ロンド個人成績の追加照合が必要</x:v>
      </x:c>
      <x:c r="K165" s="91" t="str">
        <x:v>https://www.paris-roubaix.fr/en/history</x:v>
      </x:c>
      <x:c r="L165" s="91" t="str"/>
      <x:c r="M165" s="91" t="str">
        <x:v>能力・適性・Credit整合済</x:v>
      </x:c>
    </x:row>
    <x:row r="166" ht="24" customHeight="1">
      <x:c r="A166" s="82" t="n">
        <x:v>162</x:v>
      </x:c>
      <x:c r="B166" s="82" t="str">
        <x:v>Dries De Bondt</x:v>
      </x:c>
      <x:c r="C166" s="85" t="n">
        <x:v>57</x:v>
      </x:c>
      <x:c r="D166" s="85" t="n">
        <x:v>0</x:v>
      </x:c>
      <x:c r="E166" s="85" t="n">
        <x:v>0</x:v>
      </x:c>
      <x:c r="F166" s="85" t="n">
        <x:v>0</x:v>
      </x:c>
      <x:c r="G166" s="85" t="n">
        <x:v>0</x:v>
      </x:c>
      <x:c r="H166" s="85" t="n">
        <x:v>0</x:v>
      </x:c>
      <x:c r="I166" s="91" t="str">
        <x:v>要実績照合</x:v>
      </x:c>
      <x:c r="J166" s="91" t="str">
        <x:v>現役300名補充時の脚質暫定値。パリ〜ルーベ／ロンド個人成績の追加照合が必要</x:v>
      </x:c>
      <x:c r="K166" s="91" t="str">
        <x:v>https://www.paris-roubaix.fr/en/history</x:v>
      </x:c>
      <x:c r="L166" s="91" t="str"/>
      <x:c r="M166" s="91" t="str">
        <x:v>能力・適性・Credit整合済</x:v>
      </x:c>
    </x:row>
    <x:row r="167" ht="24" customHeight="1">
      <x:c r="A167" s="82" t="n">
        <x:v>163</x:v>
      </x:c>
      <x:c r="B167" s="82" t="str">
        <x:v>Bruno Armirail</x:v>
      </x:c>
      <x:c r="C167" s="85" t="n">
        <x:v>58</x:v>
      </x:c>
      <x:c r="D167" s="85" t="n">
        <x:v>0</x:v>
      </x:c>
      <x:c r="E167" s="85" t="n">
        <x:v>0</x:v>
      </x:c>
      <x:c r="F167" s="85" t="n">
        <x:v>0</x:v>
      </x:c>
      <x:c r="G167" s="85" t="n">
        <x:v>0</x:v>
      </x:c>
      <x:c r="H167" s="85" t="n">
        <x:v>0</x:v>
      </x:c>
      <x:c r="I167" s="91" t="str">
        <x:v>要実績照合</x:v>
      </x:c>
      <x:c r="J167" s="91" t="str">
        <x:v>現役300名補充時の脚質暫定値。パリ〜ルーベ／ロンド個人成績の追加照合が必要</x:v>
      </x:c>
      <x:c r="K167" s="91" t="str">
        <x:v>https://www.paris-roubaix.fr/en/history</x:v>
      </x:c>
      <x:c r="L167" s="91" t="str"/>
      <x:c r="M167" s="91" t="str">
        <x:v>能力・適性・Credit整合済</x:v>
      </x:c>
    </x:row>
    <x:row r="168" ht="24" customHeight="1">
      <x:c r="A168" s="82" t="n">
        <x:v>164</x:v>
      </x:c>
      <x:c r="B168" s="82" t="str">
        <x:v>Gleb Syritsa</x:v>
      </x:c>
      <x:c r="C168" s="85" t="n">
        <x:v>73</x:v>
      </x:c>
      <x:c r="D168" s="85" t="n">
        <x:v>0</x:v>
      </x:c>
      <x:c r="E168" s="85" t="n">
        <x:v>0</x:v>
      </x:c>
      <x:c r="F168" s="85" t="n">
        <x:v>0</x:v>
      </x:c>
      <x:c r="G168" s="85" t="n">
        <x:v>0</x:v>
      </x:c>
      <x:c r="H168" s="85" t="n">
        <x:v>0</x:v>
      </x:c>
      <x:c r="I168" s="91" t="str">
        <x:v>要実績照合</x:v>
      </x:c>
      <x:c r="J168" s="91" t="str">
        <x:v>現役300名補充時の脚質暫定値。パリ〜ルーベ／ロンド個人成績の追加照合が必要</x:v>
      </x:c>
      <x:c r="K168" s="91" t="str">
        <x:v>https://www.paris-roubaix.fr/en/history</x:v>
      </x:c>
      <x:c r="L168" s="91" t="str"/>
      <x:c r="M168" s="91" t="str">
        <x:v>能力・適性・Credit整合済</x:v>
      </x:c>
    </x:row>
    <x:row r="169" ht="24" customHeight="1">
      <x:c r="A169" s="82" t="n">
        <x:v>165</x:v>
      </x:c>
      <x:c r="B169" s="82" t="str">
        <x:v>Jarno Widar</x:v>
      </x:c>
      <x:c r="C169" s="85" t="n">
        <x:v>52</x:v>
      </x:c>
      <x:c r="D169" s="85" t="n">
        <x:v>0</x:v>
      </x:c>
      <x:c r="E169" s="85" t="n">
        <x:v>0</x:v>
      </x:c>
      <x:c r="F169" s="85" t="n">
        <x:v>0</x:v>
      </x:c>
      <x:c r="G169" s="85" t="n">
        <x:v>0</x:v>
      </x:c>
      <x:c r="H169" s="85" t="n">
        <x:v>0</x:v>
      </x:c>
      <x:c r="I169" s="91" t="str">
        <x:v>要実績照合</x:v>
      </x:c>
      <x:c r="J169" s="91" t="str">
        <x:v>現役300名補充時の脚質暫定値。パリ〜ルーベ／ロンド個人成績の追加照合が必要</x:v>
      </x:c>
      <x:c r="K169" s="91" t="str">
        <x:v>https://www.paris-roubaix.fr/en/history</x:v>
      </x:c>
      <x:c r="L169" s="91" t="str"/>
      <x:c r="M169" s="91" t="str">
        <x:v>能力・適性・Credit整合済</x:v>
      </x:c>
    </x:row>
    <x:row r="170" ht="24" customHeight="1">
      <x:c r="A170" s="82" t="n">
        <x:v>166</x:v>
      </x:c>
      <x:c r="B170" s="82" t="str">
        <x:v>Dries De Pooter</x:v>
      </x:c>
      <x:c r="C170" s="85" t="n">
        <x:v>71</x:v>
      </x:c>
      <x:c r="D170" s="85" t="n">
        <x:v>0</x:v>
      </x:c>
      <x:c r="E170" s="85" t="n">
        <x:v>0</x:v>
      </x:c>
      <x:c r="F170" s="85" t="n">
        <x:v>0</x:v>
      </x:c>
      <x:c r="G170" s="85" t="n">
        <x:v>0</x:v>
      </x:c>
      <x:c r="H170" s="85" t="n">
        <x:v>0</x:v>
      </x:c>
      <x:c r="I170" s="91" t="str">
        <x:v>要実績照合</x:v>
      </x:c>
      <x:c r="J170" s="91" t="str">
        <x:v>現役300名補充時の脚質暫定値。パリ〜ルーベ／ロンド個人成績の追加照合が必要</x:v>
      </x:c>
      <x:c r="K170" s="91" t="str">
        <x:v>https://www.paris-roubaix.fr/en/history</x:v>
      </x:c>
      <x:c r="L170" s="91" t="str"/>
      <x:c r="M170" s="91" t="str">
        <x:v>能力・適性・Credit整合済</x:v>
      </x:c>
    </x:row>
    <x:row r="171" ht="24" customHeight="1">
      <x:c r="A171" s="82" t="n">
        <x:v>167</x:v>
      </x:c>
      <x:c r="B171" s="82" t="str">
        <x:v>Markus Hoelgaard</x:v>
      </x:c>
      <x:c r="C171" s="85" t="n">
        <x:v>74</x:v>
      </x:c>
      <x:c r="D171" s="85" t="n">
        <x:v>0</x:v>
      </x:c>
      <x:c r="E171" s="85" t="n">
        <x:v>0</x:v>
      </x:c>
      <x:c r="F171" s="85" t="n">
        <x:v>0</x:v>
      </x:c>
      <x:c r="G171" s="85" t="n">
        <x:v>0</x:v>
      </x:c>
      <x:c r="H171" s="85" t="n">
        <x:v>0</x:v>
      </x:c>
      <x:c r="I171" s="91" t="str">
        <x:v>要実績照合</x:v>
      </x:c>
      <x:c r="J171" s="91" t="str">
        <x:v>現役300名補充時の脚質暫定値。パリ〜ルーベ／ロンド個人成績の追加照合が必要</x:v>
      </x:c>
      <x:c r="K171" s="91" t="str">
        <x:v>https://www.paris-roubaix.fr/en/history</x:v>
      </x:c>
      <x:c r="L171" s="91" t="str"/>
      <x:c r="M171" s="91" t="str">
        <x:v>能力・適性・Credit整合済</x:v>
      </x:c>
    </x:row>
    <x:row r="172" ht="24" customHeight="1">
      <x:c r="A172" s="82" t="n">
        <x:v>168</x:v>
      </x:c>
      <x:c r="B172" s="82" t="str">
        <x:v>Afonso Eulálio</x:v>
      </x:c>
      <x:c r="C172" s="85" t="n">
        <x:v>56</x:v>
      </x:c>
      <x:c r="D172" s="85" t="n">
        <x:v>0</x:v>
      </x:c>
      <x:c r="E172" s="85" t="n">
        <x:v>0</x:v>
      </x:c>
      <x:c r="F172" s="85" t="n">
        <x:v>0</x:v>
      </x:c>
      <x:c r="G172" s="85" t="n">
        <x:v>0</x:v>
      </x:c>
      <x:c r="H172" s="85" t="n">
        <x:v>0</x:v>
      </x:c>
      <x:c r="I172" s="91" t="str">
        <x:v>要実績照合</x:v>
      </x:c>
      <x:c r="J172" s="91" t="str">
        <x:v>現役300名補充時の脚質暫定値。パリ〜ルーベ／ロンド個人成績の追加照合が必要</x:v>
      </x:c>
      <x:c r="K172" s="91" t="str">
        <x:v>https://www.paris-roubaix.fr/en/history</x:v>
      </x:c>
      <x:c r="L172" s="91" t="str"/>
      <x:c r="M172" s="91" t="str">
        <x:v>能力・適性・Credit整合済</x:v>
      </x:c>
    </x:row>
    <x:row r="173" ht="24" customHeight="1">
      <x:c r="A173" s="82" t="n">
        <x:v>169</x:v>
      </x:c>
      <x:c r="B173" s="82" t="str">
        <x:v>Chris Hamilton (cyclist)</x:v>
      </x:c>
      <x:c r="C173" s="85" t="n">
        <x:v>57</x:v>
      </x:c>
      <x:c r="D173" s="85" t="n">
        <x:v>0</x:v>
      </x:c>
      <x:c r="E173" s="85" t="n">
        <x:v>0</x:v>
      </x:c>
      <x:c r="F173" s="85" t="n">
        <x:v>0</x:v>
      </x:c>
      <x:c r="G173" s="85" t="n">
        <x:v>0</x:v>
      </x:c>
      <x:c r="H173" s="85" t="n">
        <x:v>0</x:v>
      </x:c>
      <x:c r="I173" s="91" t="str">
        <x:v>要実績照合</x:v>
      </x:c>
      <x:c r="J173" s="91" t="str">
        <x:v>現役300名補充時の脚質暫定値。パリ〜ルーベ／ロンド個人成績の追加照合が必要</x:v>
      </x:c>
      <x:c r="K173" s="91" t="str">
        <x:v>https://www.paris-roubaix.fr/en/history</x:v>
      </x:c>
      <x:c r="L173" s="91" t="str"/>
      <x:c r="M173" s="91" t="str">
        <x:v>能力・適性・Credit整合済</x:v>
      </x:c>
    </x:row>
    <x:row r="174" ht="24" customHeight="1">
      <x:c r="A174" s="82" t="n">
        <x:v>170</x:v>
      </x:c>
      <x:c r="B174" s="82" t="str">
        <x:v>Jonas Geens</x:v>
      </x:c>
      <x:c r="C174" s="85" t="n">
        <x:v>52</x:v>
      </x:c>
      <x:c r="D174" s="85" t="n">
        <x:v>0</x:v>
      </x:c>
      <x:c r="E174" s="85" t="n">
        <x:v>0</x:v>
      </x:c>
      <x:c r="F174" s="85" t="n">
        <x:v>0</x:v>
      </x:c>
      <x:c r="G174" s="85" t="n">
        <x:v>0</x:v>
      </x:c>
      <x:c r="H174" s="85" t="n">
        <x:v>0</x:v>
      </x:c>
      <x:c r="I174" s="91" t="str">
        <x:v>要実績照合</x:v>
      </x:c>
      <x:c r="J174" s="91" t="str">
        <x:v>現役300名補充時の脚質暫定値。パリ〜ルーベ／ロンド個人成績の追加照合が必要</x:v>
      </x:c>
      <x:c r="K174" s="91" t="str">
        <x:v>https://www.paris-roubaix.fr/en/history</x:v>
      </x:c>
      <x:c r="L174" s="91" t="str"/>
      <x:c r="M174" s="91" t="str">
        <x:v>能力・適性・Credit整合済</x:v>
      </x:c>
    </x:row>
    <x:row r="175" ht="24" customHeight="1">
      <x:c r="A175" s="82" t="n">
        <x:v>171</x:v>
      </x:c>
      <x:c r="B175" s="82" t="str">
        <x:v>Adrià Pericas</x:v>
      </x:c>
      <x:c r="C175" s="85" t="n">
        <x:v>69</x:v>
      </x:c>
      <x:c r="D175" s="85" t="n">
        <x:v>0</x:v>
      </x:c>
      <x:c r="E175" s="85" t="n">
        <x:v>0</x:v>
      </x:c>
      <x:c r="F175" s="85" t="n">
        <x:v>0</x:v>
      </x:c>
      <x:c r="G175" s="85" t="n">
        <x:v>0</x:v>
      </x:c>
      <x:c r="H175" s="85" t="n">
        <x:v>0</x:v>
      </x:c>
      <x:c r="I175" s="91" t="str">
        <x:v>要実績照合</x:v>
      </x:c>
      <x:c r="J175" s="91" t="str">
        <x:v>現役300名補充時の脚質暫定値。パリ〜ルーベ／ロンド個人成績の追加照合が必要</x:v>
      </x:c>
      <x:c r="K175" s="91" t="str">
        <x:v>https://www.paris-roubaix.fr/en/history</x:v>
      </x:c>
      <x:c r="L175" s="91" t="str"/>
      <x:c r="M175" s="91" t="str">
        <x:v>能力・適性・Credit整合済</x:v>
      </x:c>
    </x:row>
    <x:row r="176" ht="24" customHeight="1">
      <x:c r="A176" s="82" t="n">
        <x:v>172</x:v>
      </x:c>
      <x:c r="B176" s="82" t="str">
        <x:v>Gerben Thijssen</x:v>
      </x:c>
      <x:c r="C176" s="85" t="n">
        <x:v>54</x:v>
      </x:c>
      <x:c r="D176" s="85" t="n">
        <x:v>0</x:v>
      </x:c>
      <x:c r="E176" s="85" t="n">
        <x:v>0</x:v>
      </x:c>
      <x:c r="F176" s="85" t="n">
        <x:v>0</x:v>
      </x:c>
      <x:c r="G176" s="85" t="n">
        <x:v>0</x:v>
      </x:c>
      <x:c r="H176" s="85" t="n">
        <x:v>0</x:v>
      </x:c>
      <x:c r="I176" s="91" t="str">
        <x:v>要実績照合</x:v>
      </x:c>
      <x:c r="J176" s="91" t="str">
        <x:v>現役300名補充時の脚質暫定値。パリ〜ルーベ／ロンド個人成績の追加照合が必要</x:v>
      </x:c>
      <x:c r="K176" s="91" t="str">
        <x:v>https://www.paris-roubaix.fr/en/history</x:v>
      </x:c>
      <x:c r="L176" s="91" t="str"/>
      <x:c r="M176" s="91" t="str">
        <x:v>能力・適性・Credit整合済</x:v>
      </x:c>
    </x:row>
    <x:row r="177" ht="24" customHeight="1">
      <x:c r="A177" s="82" t="n">
        <x:v>173</x:v>
      </x:c>
      <x:c r="B177" s="82" t="str">
        <x:v>Anders Foldager</x:v>
      </x:c>
      <x:c r="C177" s="85" t="n">
        <x:v>54</x:v>
      </x:c>
      <x:c r="D177" s="85" t="n">
        <x:v>0</x:v>
      </x:c>
      <x:c r="E177" s="85" t="n">
        <x:v>0</x:v>
      </x:c>
      <x:c r="F177" s="85" t="n">
        <x:v>0</x:v>
      </x:c>
      <x:c r="G177" s="85" t="n">
        <x:v>0</x:v>
      </x:c>
      <x:c r="H177" s="85" t="n">
        <x:v>0</x:v>
      </x:c>
      <x:c r="I177" s="91" t="str">
        <x:v>要実績照合</x:v>
      </x:c>
      <x:c r="J177" s="91" t="str">
        <x:v>現役300名補充時の脚質暫定値。パリ〜ルーベ／ロンド個人成績の追加照合が必要</x:v>
      </x:c>
      <x:c r="K177" s="91" t="str">
        <x:v>https://www.paris-roubaix.fr/en/history</x:v>
      </x:c>
      <x:c r="L177" s="91" t="str"/>
      <x:c r="M177" s="91" t="str">
        <x:v>能力・適性・Credit整合済</x:v>
      </x:c>
    </x:row>
    <x:row r="178" ht="24" customHeight="1">
      <x:c r="A178" s="82" t="n">
        <x:v>174</x:v>
      </x:c>
      <x:c r="B178" s="82" t="str">
        <x:v>Alberto Bruttomesso</x:v>
      </x:c>
      <x:c r="C178" s="85" t="n">
        <x:v>67</x:v>
      </x:c>
      <x:c r="D178" s="85" t="n">
        <x:v>0</x:v>
      </x:c>
      <x:c r="E178" s="85" t="n">
        <x:v>0</x:v>
      </x:c>
      <x:c r="F178" s="85" t="n">
        <x:v>0</x:v>
      </x:c>
      <x:c r="G178" s="85" t="n">
        <x:v>0</x:v>
      </x:c>
      <x:c r="H178" s="85" t="n">
        <x:v>0</x:v>
      </x:c>
      <x:c r="I178" s="91" t="str">
        <x:v>要実績照合</x:v>
      </x:c>
      <x:c r="J178" s="91" t="str">
        <x:v>現役300名補充時の脚質暫定値。パリ〜ルーベ／ロンド個人成績の追加照合が必要</x:v>
      </x:c>
      <x:c r="K178" s="91" t="str">
        <x:v>https://www.paris-roubaix.fr/en/history</x:v>
      </x:c>
      <x:c r="L178" s="91" t="str"/>
      <x:c r="M178" s="91" t="str">
        <x:v>能力・適性・Credit整合済</x:v>
      </x:c>
    </x:row>
    <x:row r="179" ht="24" customHeight="1">
      <x:c r="A179" s="82" t="n">
        <x:v>175</x:v>
      </x:c>
      <x:c r="B179" s="82" t="str">
        <x:v>Emiel Verstrynge</x:v>
      </x:c>
      <x:c r="C179" s="85" t="n">
        <x:v>55</x:v>
      </x:c>
      <x:c r="D179" s="85" t="n">
        <x:v>0</x:v>
      </x:c>
      <x:c r="E179" s="85" t="n">
        <x:v>0</x:v>
      </x:c>
      <x:c r="F179" s="85" t="n">
        <x:v>0</x:v>
      </x:c>
      <x:c r="G179" s="85" t="n">
        <x:v>0</x:v>
      </x:c>
      <x:c r="H179" s="85" t="n">
        <x:v>0</x:v>
      </x:c>
      <x:c r="I179" s="91" t="str">
        <x:v>要実績照合</x:v>
      </x:c>
      <x:c r="J179" s="91" t="str">
        <x:v>現役300名補充時の脚質暫定値。パリ〜ルーベ／ロンド個人成績の追加照合が必要</x:v>
      </x:c>
      <x:c r="K179" s="91" t="str">
        <x:v>https://www.paris-roubaix.fr/en/history</x:v>
      </x:c>
      <x:c r="L179" s="91" t="str"/>
      <x:c r="M179" s="91" t="str">
        <x:v>能力・適性・Credit整合済</x:v>
      </x:c>
    </x:row>
    <x:row r="180" ht="24" customHeight="1">
      <x:c r="A180" s="82" t="n">
        <x:v>176</x:v>
      </x:c>
      <x:c r="B180" s="82" t="str">
        <x:v>Davide Toneatti</x:v>
      </x:c>
      <x:c r="C180" s="85" t="n">
        <x:v>66</x:v>
      </x:c>
      <x:c r="D180" s="85" t="n">
        <x:v>0</x:v>
      </x:c>
      <x:c r="E180" s="85" t="n">
        <x:v>0</x:v>
      </x:c>
      <x:c r="F180" s="85" t="n">
        <x:v>0</x:v>
      </x:c>
      <x:c r="G180" s="85" t="n">
        <x:v>0</x:v>
      </x:c>
      <x:c r="H180" s="85" t="n">
        <x:v>0</x:v>
      </x:c>
      <x:c r="I180" s="91" t="str">
        <x:v>要実績照合</x:v>
      </x:c>
      <x:c r="J180" s="91" t="str">
        <x:v>現役300名補充時の脚質暫定値。パリ〜ルーベ／ロンド個人成績の追加照合が必要</x:v>
      </x:c>
      <x:c r="K180" s="91" t="str">
        <x:v>https://www.paris-roubaix.fr/en/history</x:v>
      </x:c>
      <x:c r="L180" s="91" t="str"/>
      <x:c r="M180" s="91" t="str">
        <x:v>能力・適性・Credit整合済</x:v>
      </x:c>
    </x:row>
    <x:row r="181" ht="24" customHeight="1">
      <x:c r="A181" s="82" t="n">
        <x:v>177</x:v>
      </x:c>
      <x:c r="B181" s="82" t="str">
        <x:v>Arne Marit</x:v>
      </x:c>
      <x:c r="C181" s="85" t="n">
        <x:v>55</x:v>
      </x:c>
      <x:c r="D181" s="85" t="n">
        <x:v>0</x:v>
      </x:c>
      <x:c r="E181" s="85" t="n">
        <x:v>0</x:v>
      </x:c>
      <x:c r="F181" s="85" t="n">
        <x:v>0</x:v>
      </x:c>
      <x:c r="G181" s="85" t="n">
        <x:v>0</x:v>
      </x:c>
      <x:c r="H181" s="85" t="n">
        <x:v>0</x:v>
      </x:c>
      <x:c r="I181" s="91" t="str">
        <x:v>要実績照合</x:v>
      </x:c>
      <x:c r="J181" s="91" t="str">
        <x:v>現役300名補充時の脚質暫定値。パリ〜ルーベ／ロンド個人成績の追加照合が必要</x:v>
      </x:c>
      <x:c r="K181" s="91" t="str">
        <x:v>https://www.paris-roubaix.fr/en/history</x:v>
      </x:c>
      <x:c r="L181" s="91" t="str"/>
      <x:c r="M181" s="91" t="str">
        <x:v>能力・適性・Credit整合済</x:v>
      </x:c>
    </x:row>
    <x:row r="182" ht="24" customHeight="1">
      <x:c r="A182" s="82" t="n">
        <x:v>178</x:v>
      </x:c>
      <x:c r="B182" s="82" t="str">
        <x:v>Brady Gilmore</x:v>
      </x:c>
      <x:c r="C182" s="85" t="n">
        <x:v>58</x:v>
      </x:c>
      <x:c r="D182" s="85" t="n">
        <x:v>0</x:v>
      </x:c>
      <x:c r="E182" s="85" t="n">
        <x:v>0</x:v>
      </x:c>
      <x:c r="F182" s="85" t="n">
        <x:v>0</x:v>
      </x:c>
      <x:c r="G182" s="85" t="n">
        <x:v>0</x:v>
      </x:c>
      <x:c r="H182" s="85" t="n">
        <x:v>0</x:v>
      </x:c>
      <x:c r="I182" s="91" t="str">
        <x:v>要実績照合</x:v>
      </x:c>
      <x:c r="J182" s="91" t="str">
        <x:v>現役300名補充時の脚質暫定値。パリ〜ルーベ／ロンド個人成績の追加照合が必要</x:v>
      </x:c>
      <x:c r="K182" s="91" t="str">
        <x:v>https://www.paris-roubaix.fr/en/history</x:v>
      </x:c>
      <x:c r="L182" s="91" t="str"/>
      <x:c r="M182" s="91" t="str">
        <x:v>能力・適性・Credit整合済</x:v>
      </x:c>
    </x:row>
    <x:row r="183" ht="24" customHeight="1">
      <x:c r="A183" s="82" t="n">
        <x:v>179</x:v>
      </x:c>
      <x:c r="B183" s="82" t="str">
        <x:v>Johannes Staune-Mittet</x:v>
      </x:c>
      <x:c r="C183" s="85" t="n">
        <x:v>56</x:v>
      </x:c>
      <x:c r="D183" s="85" t="n">
        <x:v>0</x:v>
      </x:c>
      <x:c r="E183" s="85" t="n">
        <x:v>0</x:v>
      </x:c>
      <x:c r="F183" s="85" t="n">
        <x:v>0</x:v>
      </x:c>
      <x:c r="G183" s="85" t="n">
        <x:v>0</x:v>
      </x:c>
      <x:c r="H183" s="85" t="n">
        <x:v>0</x:v>
      </x:c>
      <x:c r="I183" s="91" t="str">
        <x:v>要実績照合</x:v>
      </x:c>
      <x:c r="J183" s="91" t="str">
        <x:v>現役300名補充時の脚質暫定値。パリ〜ルーベ／ロンド個人成績の追加照合が必要</x:v>
      </x:c>
      <x:c r="K183" s="91" t="str">
        <x:v>https://www.paris-roubaix.fr/en/history</x:v>
      </x:c>
      <x:c r="L183" s="91" t="str"/>
      <x:c r="M183" s="91" t="str">
        <x:v>能力・適性・Credit整合済</x:v>
      </x:c>
    </x:row>
    <x:row r="184" ht="24" customHeight="1">
      <x:c r="A184" s="82" t="n">
        <x:v>180</x:v>
      </x:c>
      <x:c r="B184" s="82" t="str">
        <x:v>Ayco Bastiaens</x:v>
      </x:c>
      <x:c r="C184" s="85" t="n">
        <x:v>50</x:v>
      </x:c>
      <x:c r="D184" s="85" t="n">
        <x:v>0</x:v>
      </x:c>
      <x:c r="E184" s="85" t="n">
        <x:v>0</x:v>
      </x:c>
      <x:c r="F184" s="85" t="n">
        <x:v>0</x:v>
      </x:c>
      <x:c r="G184" s="85" t="n">
        <x:v>0</x:v>
      </x:c>
      <x:c r="H184" s="85" t="n">
        <x:v>0</x:v>
      </x:c>
      <x:c r="I184" s="91" t="str">
        <x:v>要実績照合</x:v>
      </x:c>
      <x:c r="J184" s="91" t="str">
        <x:v>現役300名補充時の脚質暫定値。パリ〜ルーベ／ロンド個人成績の追加照合が必要</x:v>
      </x:c>
      <x:c r="K184" s="91" t="str">
        <x:v>https://www.paris-roubaix.fr/en/history</x:v>
      </x:c>
      <x:c r="L184" s="91" t="str"/>
      <x:c r="M184" s="91" t="str">
        <x:v>能力・適性・Credit整合済</x:v>
      </x:c>
    </x:row>
    <x:row r="185" ht="24" customHeight="1">
      <x:c r="A185" s="82" t="n">
        <x:v>181</x:v>
      </x:c>
      <x:c r="B185" s="82" t="str">
        <x:v>Jensen Plowright</x:v>
      </x:c>
      <x:c r="C185" s="85" t="n">
        <x:v>50</x:v>
      </x:c>
      <x:c r="D185" s="85" t="n">
        <x:v>0</x:v>
      </x:c>
      <x:c r="E185" s="85" t="n">
        <x:v>0</x:v>
      </x:c>
      <x:c r="F185" s="85" t="n">
        <x:v>0</x:v>
      </x:c>
      <x:c r="G185" s="85" t="n">
        <x:v>0</x:v>
      </x:c>
      <x:c r="H185" s="85" t="n">
        <x:v>0</x:v>
      </x:c>
      <x:c r="I185" s="91" t="str">
        <x:v>要実績照合</x:v>
      </x:c>
      <x:c r="J185" s="91" t="str">
        <x:v>現役300名補充時の脚質暫定値。パリ〜ルーベ／ロンド個人成績の追加照合が必要</x:v>
      </x:c>
      <x:c r="K185" s="91" t="str">
        <x:v>https://www.paris-roubaix.fr/en/history</x:v>
      </x:c>
      <x:c r="L185" s="91" t="str"/>
      <x:c r="M185" s="91" t="str">
        <x:v>能力・適性・Credit整合済</x:v>
      </x:c>
    </x:row>
    <x:row r="186" ht="24" customHeight="1">
      <x:c r="A186" s="82" t="n">
        <x:v>182</x:v>
      </x:c>
      <x:c r="B186" s="82" t="str">
        <x:v>Ethan Hayter</x:v>
      </x:c>
      <x:c r="C186" s="85" t="n">
        <x:v>65</x:v>
      </x:c>
      <x:c r="D186" s="85" t="n">
        <x:v>0</x:v>
      </x:c>
      <x:c r="E186" s="85" t="n">
        <x:v>0</x:v>
      </x:c>
      <x:c r="F186" s="85" t="n">
        <x:v>0</x:v>
      </x:c>
      <x:c r="G186" s="85" t="n">
        <x:v>0</x:v>
      </x:c>
      <x:c r="H186" s="85" t="n">
        <x:v>0</x:v>
      </x:c>
      <x:c r="I186" s="91" t="str">
        <x:v>要実績照合</x:v>
      </x:c>
      <x:c r="J186" s="91" t="str">
        <x:v>現役300名補充時の脚質暫定値。パリ〜ルーベ／ロンド個人成績の追加照合が必要</x:v>
      </x:c>
      <x:c r="K186" s="91" t="str">
        <x:v>https://www.paris-roubaix.fr/en/history</x:v>
      </x:c>
      <x:c r="L186" s="91" t="str"/>
      <x:c r="M186" s="91" t="str">
        <x:v>能力・適性・Credit整合済</x:v>
      </x:c>
    </x:row>
    <x:row r="187" ht="24" customHeight="1">
      <x:c r="A187" s="82" t="n">
        <x:v>183</x:v>
      </x:c>
      <x:c r="B187" s="82" t="str">
        <x:v>Johan Price-Pejtersen</x:v>
      </x:c>
      <x:c r="C187" s="85" t="n">
        <x:v>64</x:v>
      </x:c>
      <x:c r="D187" s="85" t="n">
        <x:v>0</x:v>
      </x:c>
      <x:c r="E187" s="85" t="n">
        <x:v>0</x:v>
      </x:c>
      <x:c r="F187" s="85" t="n">
        <x:v>0</x:v>
      </x:c>
      <x:c r="G187" s="85" t="n">
        <x:v>0</x:v>
      </x:c>
      <x:c r="H187" s="85" t="n">
        <x:v>0</x:v>
      </x:c>
      <x:c r="I187" s="91" t="str">
        <x:v>要実績照合</x:v>
      </x:c>
      <x:c r="J187" s="91" t="str">
        <x:v>現役300名補充時の脚質暫定値。パリ〜ルーベ／ロンド個人成績の追加照合が必要</x:v>
      </x:c>
      <x:c r="K187" s="91" t="str">
        <x:v>https://www.paris-roubaix.fr/en/history</x:v>
      </x:c>
      <x:c r="L187" s="91" t="str"/>
      <x:c r="M187" s="91" t="str">
        <x:v>能力・適性・Credit整合済</x:v>
      </x:c>
    </x:row>
    <x:row r="188" ht="24" customHeight="1">
      <x:c r="A188" s="82" t="n">
        <x:v>184</x:v>
      </x:c>
      <x:c r="B188" s="82" t="str">
        <x:v>Callum Thornley</x:v>
      </x:c>
      <x:c r="C188" s="85" t="n">
        <x:v>64</x:v>
      </x:c>
      <x:c r="D188" s="85" t="n">
        <x:v>0</x:v>
      </x:c>
      <x:c r="E188" s="85" t="n">
        <x:v>0</x:v>
      </x:c>
      <x:c r="F188" s="85" t="n">
        <x:v>0</x:v>
      </x:c>
      <x:c r="G188" s="85" t="n">
        <x:v>0</x:v>
      </x:c>
      <x:c r="H188" s="85" t="n">
        <x:v>0</x:v>
      </x:c>
      <x:c r="I188" s="91" t="str">
        <x:v>要実績照合</x:v>
      </x:c>
      <x:c r="J188" s="91" t="str">
        <x:v>現役300名補充時の脚質暫定値。パリ〜ルーベ／ロンド個人成績の追加照合が必要</x:v>
      </x:c>
      <x:c r="K188" s="91" t="str">
        <x:v>https://www.paris-roubaix.fr/en/history</x:v>
      </x:c>
      <x:c r="L188" s="91" t="str"/>
      <x:c r="M188" s="91" t="str">
        <x:v>能力・適性・Credit整合済</x:v>
      </x:c>
    </x:row>
    <x:row r="189" ht="24" customHeight="1">
      <x:c r="A189" s="82" t="n">
        <x:v>185</x:v>
      </x:c>
      <x:c r="B189" s="82" t="str">
        <x:v>Alec Segaert</x:v>
      </x:c>
      <x:c r="C189" s="85" t="n">
        <x:v>62</x:v>
      </x:c>
      <x:c r="D189" s="85" t="n">
        <x:v>0</x:v>
      </x:c>
      <x:c r="E189" s="85" t="n">
        <x:v>0</x:v>
      </x:c>
      <x:c r="F189" s="85" t="n">
        <x:v>0</x:v>
      </x:c>
      <x:c r="G189" s="85" t="n">
        <x:v>0</x:v>
      </x:c>
      <x:c r="H189" s="85" t="n">
        <x:v>0</x:v>
      </x:c>
      <x:c r="I189" s="91" t="str">
        <x:v>要実績照合</x:v>
      </x:c>
      <x:c r="J189" s="91" t="str">
        <x:v>現役300名補充時の脚質暫定値。パリ〜ルーベ／ロンド個人成績の追加照合が必要</x:v>
      </x:c>
      <x:c r="K189" s="91" t="str">
        <x:v>https://www.paris-roubaix.fr/en/history</x:v>
      </x:c>
      <x:c r="L189" s="91" t="str"/>
      <x:c r="M189" s="91" t="str">
        <x:v>能力・適性・Credit整合済</x:v>
      </x:c>
    </x:row>
    <x:row r="190" ht="24" customHeight="1">
      <x:c r="A190" s="82" t="n">
        <x:v>186</x:v>
      </x:c>
      <x:c r="B190" s="82" t="str">
        <x:v>Edoardo Zambanini</x:v>
      </x:c>
      <x:c r="C190" s="85" t="n">
        <x:v>57</x:v>
      </x:c>
      <x:c r="D190" s="85" t="n">
        <x:v>0</x:v>
      </x:c>
      <x:c r="E190" s="85" t="n">
        <x:v>0</x:v>
      </x:c>
      <x:c r="F190" s="85" t="n">
        <x:v>0</x:v>
      </x:c>
      <x:c r="G190" s="85" t="n">
        <x:v>0</x:v>
      </x:c>
      <x:c r="H190" s="85" t="n">
        <x:v>0</x:v>
      </x:c>
      <x:c r="I190" s="91" t="str">
        <x:v>要実績照合</x:v>
      </x:c>
      <x:c r="J190" s="91" t="str">
        <x:v>現役300名補充時の脚質暫定値。パリ〜ルーベ／ロンド個人成績の追加照合が必要</x:v>
      </x:c>
      <x:c r="K190" s="91" t="str">
        <x:v>https://www.paris-roubaix.fr/en/history</x:v>
      </x:c>
      <x:c r="L190" s="91" t="str"/>
      <x:c r="M190" s="91" t="str">
        <x:v>能力・適性・Credit整合済</x:v>
      </x:c>
    </x:row>
    <x:row r="191" ht="24" customHeight="1">
      <x:c r="A191" s="82" t="n">
        <x:v>187</x:v>
      </x:c>
      <x:c r="B191" s="82" t="str">
        <x:v>Emil Herzog</x:v>
      </x:c>
      <x:c r="C191" s="85" t="n">
        <x:v>56</x:v>
      </x:c>
      <x:c r="D191" s="85" t="n">
        <x:v>0</x:v>
      </x:c>
      <x:c r="E191" s="85" t="n">
        <x:v>0</x:v>
      </x:c>
      <x:c r="F191" s="85" t="n">
        <x:v>0</x:v>
      </x:c>
      <x:c r="G191" s="85" t="n">
        <x:v>0</x:v>
      </x:c>
      <x:c r="H191" s="85" t="n">
        <x:v>0</x:v>
      </x:c>
      <x:c r="I191" s="91" t="str">
        <x:v>要実績照合</x:v>
      </x:c>
      <x:c r="J191" s="91" t="str">
        <x:v>現役300名補充時の脚質暫定値。パリ〜ルーベ／ロンド個人成績の追加照合が必要</x:v>
      </x:c>
      <x:c r="K191" s="91" t="str">
        <x:v>https://www.paris-roubaix.fr/en/history</x:v>
      </x:c>
      <x:c r="L191" s="91" t="str"/>
      <x:c r="M191" s="91" t="str">
        <x:v>能力・適性・Credit整合済</x:v>
      </x:c>
    </x:row>
    <x:row r="192" ht="24" customHeight="1">
      <x:c r="A192" s="82" t="n">
        <x:v>188</x:v>
      </x:c>
      <x:c r="B192" s="82" t="str">
        <x:v>Joseph Blackmore</x:v>
      </x:c>
      <x:c r="C192" s="85" t="n">
        <x:v>69</x:v>
      </x:c>
      <x:c r="D192" s="85" t="n">
        <x:v>0</x:v>
      </x:c>
      <x:c r="E192" s="85" t="n">
        <x:v>0</x:v>
      </x:c>
      <x:c r="F192" s="85" t="n">
        <x:v>0</x:v>
      </x:c>
      <x:c r="G192" s="85" t="n">
        <x:v>0</x:v>
      </x:c>
      <x:c r="H192" s="85" t="n">
        <x:v>0</x:v>
      </x:c>
      <x:c r="I192" s="91" t="str">
        <x:v>要実績照合</x:v>
      </x:c>
      <x:c r="J192" s="91" t="str">
        <x:v>現役300名補充時の脚質暫定値。パリ〜ルーベ／ロンド個人成績の追加照合が必要</x:v>
      </x:c>
      <x:c r="K192" s="91" t="str">
        <x:v>https://www.paris-roubaix.fr/en/history</x:v>
      </x:c>
      <x:c r="L192" s="91" t="str"/>
      <x:c r="M192" s="91" t="str">
        <x:v>能力・適性・Credit整合済</x:v>
      </x:c>
    </x:row>
    <x:row r="193" ht="24" customHeight="1">
      <x:c r="A193" s="82" t="n">
        <x:v>189</x:v>
      </x:c>
      <x:c r="B193" s="82" t="str">
        <x:v>Georg Zimmermann</x:v>
      </x:c>
      <x:c r="C193" s="85" t="n">
        <x:v>54</x:v>
      </x:c>
      <x:c r="D193" s="85" t="n">
        <x:v>0</x:v>
      </x:c>
      <x:c r="E193" s="85" t="n">
        <x:v>0</x:v>
      </x:c>
      <x:c r="F193" s="85" t="n">
        <x:v>0</x:v>
      </x:c>
      <x:c r="G193" s="85" t="n">
        <x:v>0</x:v>
      </x:c>
      <x:c r="H193" s="85" t="n">
        <x:v>0</x:v>
      </x:c>
      <x:c r="I193" s="91" t="str">
        <x:v>要実績照合</x:v>
      </x:c>
      <x:c r="J193" s="91" t="str">
        <x:v>現役300名補充時の脚質暫定値。パリ〜ルーベ／ロンド個人成績の追加照合が必要</x:v>
      </x:c>
      <x:c r="K193" s="91" t="str">
        <x:v>https://www.paris-roubaix.fr/en/history</x:v>
      </x:c>
      <x:c r="L193" s="91" t="str"/>
      <x:c r="M193" s="91" t="str">
        <x:v>能力・適性・Credit整合済</x:v>
      </x:c>
    </x:row>
    <x:row r="194" ht="24" customHeight="1">
      <x:c r="A194" s="82" t="n">
        <x:v>190</x:v>
      </x:c>
      <x:c r="B194" s="82" t="str">
        <x:v>Lionel Taminiaux</x:v>
      </x:c>
      <x:c r="C194" s="85" t="n">
        <x:v>51</x:v>
      </x:c>
      <x:c r="D194" s="85" t="n">
        <x:v>0</x:v>
      </x:c>
      <x:c r="E194" s="85" t="n">
        <x:v>0</x:v>
      </x:c>
      <x:c r="F194" s="85" t="n">
        <x:v>0</x:v>
      </x:c>
      <x:c r="G194" s="85" t="n">
        <x:v>0</x:v>
      </x:c>
      <x:c r="H194" s="85" t="n">
        <x:v>0</x:v>
      </x:c>
      <x:c r="I194" s="91" t="str">
        <x:v>要実績照合</x:v>
      </x:c>
      <x:c r="J194" s="91" t="str">
        <x:v>現役300名補充時の脚質暫定値。パリ〜ルーベ／ロンド個人成績の追加照合が必要</x:v>
      </x:c>
      <x:c r="K194" s="91" t="str">
        <x:v>https://www.paris-roubaix.fr/en/history</x:v>
      </x:c>
      <x:c r="L194" s="91" t="str"/>
      <x:c r="M194" s="91" t="str">
        <x:v>能力・適性・Credit整合済</x:v>
      </x:c>
    </x:row>
    <x:row r="195" ht="24" customHeight="1">
      <x:c r="A195" s="82" t="n">
        <x:v>191</x:v>
      </x:c>
      <x:c r="B195" s="82" t="str">
        <x:v>Gal Glivar</x:v>
      </x:c>
      <x:c r="C195" s="85" t="n">
        <x:v>73</x:v>
      </x:c>
      <x:c r="D195" s="85" t="n">
        <x:v>0</x:v>
      </x:c>
      <x:c r="E195" s="85" t="n">
        <x:v>0</x:v>
      </x:c>
      <x:c r="F195" s="85" t="n">
        <x:v>0</x:v>
      </x:c>
      <x:c r="G195" s="85" t="n">
        <x:v>0</x:v>
      </x:c>
      <x:c r="H195" s="85" t="n">
        <x:v>0</x:v>
      </x:c>
      <x:c r="I195" s="91" t="str">
        <x:v>要実績照合</x:v>
      </x:c>
      <x:c r="J195" s="91" t="str">
        <x:v>現役300名補充時の脚質暫定値。パリ〜ルーベ／ロンド個人成績の追加照合が必要</x:v>
      </x:c>
      <x:c r="K195" s="91" t="str">
        <x:v>https://www.paris-roubaix.fr/en/history</x:v>
      </x:c>
      <x:c r="L195" s="91" t="str"/>
      <x:c r="M195" s="91" t="str">
        <x:v>能力・適性・Credit整合済</x:v>
      </x:c>
    </x:row>
    <x:row r="196" ht="24" customHeight="1">
      <x:c r="A196" s="82" t="n">
        <x:v>192</x:v>
      </x:c>
      <x:c r="B196" s="82" t="str">
        <x:v>Jonas Rutsch</x:v>
      </x:c>
      <x:c r="C196" s="85" t="n">
        <x:v>73</x:v>
      </x:c>
      <x:c r="D196" s="85" t="n">
        <x:v>0</x:v>
      </x:c>
      <x:c r="E196" s="85" t="n">
        <x:v>0</x:v>
      </x:c>
      <x:c r="F196" s="85" t="n">
        <x:v>0</x:v>
      </x:c>
      <x:c r="G196" s="85" t="n">
        <x:v>0</x:v>
      </x:c>
      <x:c r="H196" s="85" t="n">
        <x:v>0</x:v>
      </x:c>
      <x:c r="I196" s="91" t="str">
        <x:v>要実績照合</x:v>
      </x:c>
      <x:c r="J196" s="91" t="str">
        <x:v>現役300名補充時の脚質暫定値。パリ〜ルーベ／ロンド個人成績の追加照合が必要</x:v>
      </x:c>
      <x:c r="K196" s="91" t="str">
        <x:v>https://www.paris-roubaix.fr/en/history</x:v>
      </x:c>
      <x:c r="L196" s="91" t="str"/>
      <x:c r="M196" s="91" t="str">
        <x:v>能力・適性・Credit整合済</x:v>
      </x:c>
    </x:row>
    <x:row r="197" ht="24" customHeight="1">
      <x:c r="A197" s="82" t="n">
        <x:v>193</x:v>
      </x:c>
      <x:c r="B197" s="82" t="str">
        <x:v>Axel Laurance</x:v>
      </x:c>
      <x:c r="C197" s="85" t="n">
        <x:v>61</x:v>
      </x:c>
      <x:c r="D197" s="85" t="n">
        <x:v>0</x:v>
      </x:c>
      <x:c r="E197" s="85" t="n">
        <x:v>0</x:v>
      </x:c>
      <x:c r="F197" s="85" t="n">
        <x:v>0</x:v>
      </x:c>
      <x:c r="G197" s="85" t="n">
        <x:v>0</x:v>
      </x:c>
      <x:c r="H197" s="85" t="n">
        <x:v>0</x:v>
      </x:c>
      <x:c r="I197" s="91" t="str">
        <x:v>要実績照合</x:v>
      </x:c>
      <x:c r="J197" s="91" t="str">
        <x:v>現役300名補充時の脚質暫定値。パリ〜ルーベ／ロンド個人成績の追加照合が必要</x:v>
      </x:c>
      <x:c r="K197" s="91" t="str">
        <x:v>https://www.paris-roubaix.fr/en/history</x:v>
      </x:c>
      <x:c r="L197" s="91" t="str"/>
      <x:c r="M197" s="91" t="str">
        <x:v>能力・適性・Credit整合済</x:v>
      </x:c>
    </x:row>
    <x:row r="198" ht="24" customHeight="1">
      <x:c r="A198" s="82" t="n">
        <x:v>194</x:v>
      </x:c>
      <x:c r="B198" s="82" t="str">
        <x:v>Frank van den Broek</x:v>
      </x:c>
      <x:c r="C198" s="85" t="n">
        <x:v>72</x:v>
      </x:c>
      <x:c r="D198" s="85" t="n">
        <x:v>0</x:v>
      </x:c>
      <x:c r="E198" s="85" t="n">
        <x:v>0</x:v>
      </x:c>
      <x:c r="F198" s="85" t="n">
        <x:v>0</x:v>
      </x:c>
      <x:c r="G198" s="85" t="n">
        <x:v>0</x:v>
      </x:c>
      <x:c r="H198" s="85" t="n">
        <x:v>0</x:v>
      </x:c>
      <x:c r="I198" s="91" t="str">
        <x:v>要実績照合</x:v>
      </x:c>
      <x:c r="J198" s="91" t="str">
        <x:v>現役300名補充時の脚質暫定値。パリ〜ルーベ／ロンド個人成績の追加照合が必要</x:v>
      </x:c>
      <x:c r="K198" s="91" t="str">
        <x:v>https://www.paris-roubaix.fr/en/history</x:v>
      </x:c>
      <x:c r="L198" s="91" t="str"/>
      <x:c r="M198" s="91" t="str">
        <x:v>能力・適性・Credit整合済</x:v>
      </x:c>
    </x:row>
    <x:row r="199" ht="24" customHeight="1">
      <x:c r="A199" s="82" t="n">
        <x:v>195</x:v>
      </x:c>
      <x:c r="B199" s="82" t="str">
        <x:v>Matthew Riccitello</x:v>
      </x:c>
      <x:c r="C199" s="85" t="n">
        <x:v>50</x:v>
      </x:c>
      <x:c r="D199" s="85" t="n">
        <x:v>0</x:v>
      </x:c>
      <x:c r="E199" s="85" t="n">
        <x:v>0</x:v>
      </x:c>
      <x:c r="F199" s="85" t="n">
        <x:v>0</x:v>
      </x:c>
      <x:c r="G199" s="85" t="n">
        <x:v>0</x:v>
      </x:c>
      <x:c r="H199" s="85" t="n">
        <x:v>0</x:v>
      </x:c>
      <x:c r="I199" s="91" t="str">
        <x:v>要実績照合</x:v>
      </x:c>
      <x:c r="J199" s="91" t="str">
        <x:v>現役300名補充時の脚質暫定値。パリ〜ルーベ／ロンド個人成績の追加照合が必要</x:v>
      </x:c>
      <x:c r="K199" s="91" t="str">
        <x:v>https://www.paris-roubaix.fr/en/history</x:v>
      </x:c>
      <x:c r="L199" s="91" t="str"/>
      <x:c r="M199" s="91" t="str">
        <x:v>能力・適性・Credit整合済</x:v>
      </x:c>
    </x:row>
    <x:row r="200" ht="24" customHeight="1">
      <x:c r="A200" s="82" t="n">
        <x:v>196</x:v>
      </x:c>
      <x:c r="B200" s="82" t="str">
        <x:v>Andrea Raccagni Noviero</x:v>
      </x:c>
      <x:c r="C200" s="85" t="n">
        <x:v>70</x:v>
      </x:c>
      <x:c r="D200" s="85" t="n">
        <x:v>0</x:v>
      </x:c>
      <x:c r="E200" s="85" t="n">
        <x:v>0</x:v>
      </x:c>
      <x:c r="F200" s="85" t="n">
        <x:v>0</x:v>
      </x:c>
      <x:c r="G200" s="85" t="n">
        <x:v>0</x:v>
      </x:c>
      <x:c r="H200" s="85" t="n">
        <x:v>0</x:v>
      </x:c>
      <x:c r="I200" s="91" t="str">
        <x:v>要実績照合</x:v>
      </x:c>
      <x:c r="J200" s="91" t="str">
        <x:v>現役300名補充時の脚質暫定値。パリ〜ルーベ／ロンド個人成績の追加照合が必要</x:v>
      </x:c>
      <x:c r="K200" s="91" t="str">
        <x:v>https://www.paris-roubaix.fr/en/history</x:v>
      </x:c>
      <x:c r="L200" s="91" t="str"/>
      <x:c r="M200" s="91" t="str">
        <x:v>能力・適性・Credit整合済</x:v>
      </x:c>
    </x:row>
    <x:row r="201" ht="24" customHeight="1">
      <x:c r="A201" s="82" t="n">
        <x:v>197</x:v>
      </x:c>
      <x:c r="B201" s="82" t="str">
        <x:v>Gianmarco Garofoli</x:v>
      </x:c>
      <x:c r="C201" s="85" t="n">
        <x:v>52</x:v>
      </x:c>
      <x:c r="D201" s="85" t="n">
        <x:v>0</x:v>
      </x:c>
      <x:c r="E201" s="85" t="n">
        <x:v>0</x:v>
      </x:c>
      <x:c r="F201" s="85" t="n">
        <x:v>0</x:v>
      </x:c>
      <x:c r="G201" s="85" t="n">
        <x:v>0</x:v>
      </x:c>
      <x:c r="H201" s="85" t="n">
        <x:v>0</x:v>
      </x:c>
      <x:c r="I201" s="91" t="str">
        <x:v>要実績照合</x:v>
      </x:c>
      <x:c r="J201" s="91" t="str">
        <x:v>現役300名補充時の脚質暫定値。パリ〜ルーベ／ロンド個人成績の追加照合が必要</x:v>
      </x:c>
      <x:c r="K201" s="91" t="str">
        <x:v>https://www.paris-roubaix.fr/en/history</x:v>
      </x:c>
      <x:c r="L201" s="91" t="str"/>
      <x:c r="M201" s="91" t="str">
        <x:v>能力・適性・Credit整合済</x:v>
      </x:c>
    </x:row>
    <x:row r="202" ht="24" customHeight="1">
      <x:c r="A202" s="82" t="n">
        <x:v>198</x:v>
      </x:c>
      <x:c r="B202" s="82" t="str">
        <x:v>Gijs Leemreize</x:v>
      </x:c>
      <x:c r="C202" s="85" t="n">
        <x:v>50</x:v>
      </x:c>
      <x:c r="D202" s="85" t="n">
        <x:v>0</x:v>
      </x:c>
      <x:c r="E202" s="85" t="n">
        <x:v>0</x:v>
      </x:c>
      <x:c r="F202" s="85" t="n">
        <x:v>0</x:v>
      </x:c>
      <x:c r="G202" s="85" t="n">
        <x:v>0</x:v>
      </x:c>
      <x:c r="H202" s="85" t="n">
        <x:v>0</x:v>
      </x:c>
      <x:c r="I202" s="91" t="str">
        <x:v>要実績照合</x:v>
      </x:c>
      <x:c r="J202" s="91" t="str">
        <x:v>現役300名補充時の脚質暫定値。パリ〜ルーベ／ロンド個人成績の追加照合が必要</x:v>
      </x:c>
      <x:c r="K202" s="91" t="str">
        <x:v>https://www.paris-roubaix.fr/en/history</x:v>
      </x:c>
      <x:c r="L202" s="91" t="str"/>
      <x:c r="M202" s="91" t="str">
        <x:v>能力・適性・Credit整合済</x:v>
      </x:c>
    </x:row>
    <x:row r="203" ht="24" customHeight="1">
      <x:c r="A203" s="82" t="n">
        <x:v>199</x:v>
      </x:c>
      <x:c r="B203" s="82" t="str">
        <x:v>Lars Craps</x:v>
      </x:c>
      <x:c r="C203" s="85" t="n">
        <x:v>69</x:v>
      </x:c>
      <x:c r="D203" s="85" t="n">
        <x:v>0</x:v>
      </x:c>
      <x:c r="E203" s="85" t="n">
        <x:v>0</x:v>
      </x:c>
      <x:c r="F203" s="85" t="n">
        <x:v>0</x:v>
      </x:c>
      <x:c r="G203" s="85" t="n">
        <x:v>0</x:v>
      </x:c>
      <x:c r="H203" s="85" t="n">
        <x:v>0</x:v>
      </x:c>
      <x:c r="I203" s="91" t="str">
        <x:v>要実績照合</x:v>
      </x:c>
      <x:c r="J203" s="91" t="str">
        <x:v>現役300名補充時の脚質暫定値。パリ〜ルーベ／ロンド個人成績の追加照合が必要</x:v>
      </x:c>
      <x:c r="K203" s="91" t="str">
        <x:v>https://www.paris-roubaix.fr/en/history</x:v>
      </x:c>
      <x:c r="L203" s="91" t="str"/>
      <x:c r="M203" s="91" t="str">
        <x:v>能力・適性・Credit整合済</x:v>
      </x:c>
    </x:row>
    <x:row r="204" ht="24" customHeight="1">
      <x:c r="A204" s="82" t="n">
        <x:v>200</x:v>
      </x:c>
      <x:c r="B204" s="82" t="str">
        <x:v>Diego Pescador</x:v>
      </x:c>
      <x:c r="C204" s="85" t="n">
        <x:v>50</x:v>
      </x:c>
      <x:c r="D204" s="85" t="n">
        <x:v>0</x:v>
      </x:c>
      <x:c r="E204" s="85" t="n">
        <x:v>0</x:v>
      </x:c>
      <x:c r="F204" s="85" t="n">
        <x:v>0</x:v>
      </x:c>
      <x:c r="G204" s="85" t="n">
        <x:v>0</x:v>
      </x:c>
      <x:c r="H204" s="85" t="n">
        <x:v>0</x:v>
      </x:c>
      <x:c r="I204" s="91" t="str">
        <x:v>要実績照合</x:v>
      </x:c>
      <x:c r="J204" s="91" t="str">
        <x:v>現役300名補充時の脚質暫定値。パリ〜ルーベ／ロンド個人成績の追加照合が必要</x:v>
      </x:c>
      <x:c r="K204" s="91" t="str">
        <x:v>https://www.paris-roubaix.fr/en/history</x:v>
      </x:c>
      <x:c r="L204" s="91" t="str"/>
      <x:c r="M204" s="91" t="str">
        <x:v>能力・適性・Credit整合済</x:v>
      </x:c>
    </x:row>
    <x:row r="205" ht="24" customHeight="1">
      <x:c r="A205" s="82" t="n">
        <x:v>201</x:v>
      </x:c>
      <x:c r="B205" s="82" t="str">
        <x:v>Fran Miholjević</x:v>
      </x:c>
      <x:c r="C205" s="85" t="n">
        <x:v>57</x:v>
      </x:c>
      <x:c r="D205" s="85" t="n">
        <x:v>0</x:v>
      </x:c>
      <x:c r="E205" s="85" t="n">
        <x:v>0</x:v>
      </x:c>
      <x:c r="F205" s="85" t="n">
        <x:v>0</x:v>
      </x:c>
      <x:c r="G205" s="85" t="n">
        <x:v>0</x:v>
      </x:c>
      <x:c r="H205" s="85" t="n">
        <x:v>0</x:v>
      </x:c>
      <x:c r="I205" s="91" t="str">
        <x:v>要実績照合</x:v>
      </x:c>
      <x:c r="J205" s="91" t="str">
        <x:v>現役300名補充時の脚質暫定値。パリ〜ルーベ／ロンド個人成績の追加照合が必要</x:v>
      </x:c>
      <x:c r="K205" s="91" t="str">
        <x:v>https://www.paris-roubaix.fr/en/history</x:v>
      </x:c>
      <x:c r="L205" s="91" t="str"/>
      <x:c r="M205" s="91" t="str">
        <x:v>能力・適性・Credit整合済</x:v>
      </x:c>
    </x:row>
    <x:row r="206" ht="24" customHeight="1">
      <x:c r="A206" s="82" t="n">
        <x:v>202</x:v>
      </x:c>
      <x:c r="B206" s="82" t="str">
        <x:v>Madis Mihkels</x:v>
      </x:c>
      <x:c r="C206" s="85" t="n">
        <x:v>57</x:v>
      </x:c>
      <x:c r="D206" s="85" t="n">
        <x:v>0</x:v>
      </x:c>
      <x:c r="E206" s="85" t="n">
        <x:v>0</x:v>
      </x:c>
      <x:c r="F206" s="85" t="n">
        <x:v>0</x:v>
      </x:c>
      <x:c r="G206" s="85" t="n">
        <x:v>0</x:v>
      </x:c>
      <x:c r="H206" s="85" t="n">
        <x:v>0</x:v>
      </x:c>
      <x:c r="I206" s="91" t="str">
        <x:v>要実績照合</x:v>
      </x:c>
      <x:c r="J206" s="91" t="str">
        <x:v>現役300名補充時の脚質暫定値。パリ〜ルーベ／ロンド個人成績の追加照合が必要</x:v>
      </x:c>
      <x:c r="K206" s="91" t="str">
        <x:v>https://www.paris-roubaix.fr/en/history</x:v>
      </x:c>
      <x:c r="L206" s="91" t="str"/>
      <x:c r="M206" s="91" t="str">
        <x:v>能力・適性・Credit整合済</x:v>
      </x:c>
    </x:row>
    <x:row r="207" ht="24" customHeight="1">
      <x:c r="A207" s="82" t="n">
        <x:v>203</x:v>
      </x:c>
      <x:c r="B207" s="82" t="str">
        <x:v>Luke Lamperti</x:v>
      </x:c>
      <x:c r="C207" s="85" t="n">
        <x:v>54</x:v>
      </x:c>
      <x:c r="D207" s="85" t="n">
        <x:v>0</x:v>
      </x:c>
      <x:c r="E207" s="85" t="n">
        <x:v>0</x:v>
      </x:c>
      <x:c r="F207" s="85" t="n">
        <x:v>0</x:v>
      </x:c>
      <x:c r="G207" s="85" t="n">
        <x:v>0</x:v>
      </x:c>
      <x:c r="H207" s="85" t="n">
        <x:v>0</x:v>
      </x:c>
      <x:c r="I207" s="91" t="str">
        <x:v>要実績照合</x:v>
      </x:c>
      <x:c r="J207" s="91" t="str">
        <x:v>現役300名補充時の脚質暫定値。パリ〜ルーベ／ロンド個人成績の追加照合が必要</x:v>
      </x:c>
      <x:c r="K207" s="91" t="str">
        <x:v>https://www.paris-roubaix.fr/en/history</x:v>
      </x:c>
      <x:c r="L207" s="91" t="str"/>
      <x:c r="M207" s="91" t="str">
        <x:v>能力・適性・Credit整合済</x:v>
      </x:c>
    </x:row>
    <x:row r="208" ht="24" customHeight="1">
      <x:c r="A208" s="82" t="n">
        <x:v>204</x:v>
      </x:c>
      <x:c r="B208" s="82" t="str">
        <x:v>Dries Van Gestel</x:v>
      </x:c>
      <x:c r="C208" s="85" t="n">
        <x:v>53</x:v>
      </x:c>
      <x:c r="D208" s="85" t="n">
        <x:v>0</x:v>
      </x:c>
      <x:c r="E208" s="85" t="n">
        <x:v>0</x:v>
      </x:c>
      <x:c r="F208" s="85" t="n">
        <x:v>0</x:v>
      </x:c>
      <x:c r="G208" s="85" t="n">
        <x:v>0</x:v>
      </x:c>
      <x:c r="H208" s="85" t="n">
        <x:v>0</x:v>
      </x:c>
      <x:c r="I208" s="91" t="str">
        <x:v>要実績照合</x:v>
      </x:c>
      <x:c r="J208" s="91" t="str">
        <x:v>現役300名補充時の脚質暫定値。パリ〜ルーベ／ロンド個人成績の追加照合が必要</x:v>
      </x:c>
      <x:c r="K208" s="91" t="str">
        <x:v>https://www.paris-roubaix.fr/en/history</x:v>
      </x:c>
      <x:c r="L208" s="91" t="str"/>
      <x:c r="M208" s="91" t="str">
        <x:v>能力・適性・Credit整合済</x:v>
      </x:c>
    </x:row>
    <x:row r="209" ht="24" customHeight="1">
      <x:c r="A209" s="82" t="n">
        <x:v>205</x:v>
      </x:c>
      <x:c r="B209" s="82" t="str">
        <x:v>Ben Zwiehoff</x:v>
      </x:c>
      <x:c r="C209" s="85" t="n">
        <x:v>59</x:v>
      </x:c>
      <x:c r="D209" s="85" t="n">
        <x:v>0</x:v>
      </x:c>
      <x:c r="E209" s="85" t="n">
        <x:v>0</x:v>
      </x:c>
      <x:c r="F209" s="85" t="n">
        <x:v>0</x:v>
      </x:c>
      <x:c r="G209" s="85" t="n">
        <x:v>0</x:v>
      </x:c>
      <x:c r="H209" s="85" t="n">
        <x:v>0</x:v>
      </x:c>
      <x:c r="I209" s="91" t="str">
        <x:v>要実績照合</x:v>
      </x:c>
      <x:c r="J209" s="91" t="str">
        <x:v>現役300名補充時の脚質暫定値。パリ〜ルーベ／ロンド個人成績の追加照合が必要</x:v>
      </x:c>
      <x:c r="K209" s="91" t="str">
        <x:v>https://www.paris-roubaix.fr/en/history</x:v>
      </x:c>
      <x:c r="L209" s="91" t="str"/>
      <x:c r="M209" s="91" t="str">
        <x:v>能力・適性・Credit整合済</x:v>
      </x:c>
    </x:row>
    <x:row r="210" ht="24" customHeight="1">
      <x:c r="A210" s="82" t="n">
        <x:v>206</x:v>
      </x:c>
      <x:c r="B210" s="82" t="str">
        <x:v>Fredrik Dversnes</x:v>
      </x:c>
      <x:c r="C210" s="85" t="n">
        <x:v>58</x:v>
      </x:c>
      <x:c r="D210" s="85" t="n">
        <x:v>0</x:v>
      </x:c>
      <x:c r="E210" s="85" t="n">
        <x:v>0</x:v>
      </x:c>
      <x:c r="F210" s="85" t="n">
        <x:v>0</x:v>
      </x:c>
      <x:c r="G210" s="85" t="n">
        <x:v>0</x:v>
      </x:c>
      <x:c r="H210" s="85" t="n">
        <x:v>0</x:v>
      </x:c>
      <x:c r="I210" s="91" t="str">
        <x:v>要実績照合</x:v>
      </x:c>
      <x:c r="J210" s="91" t="str">
        <x:v>現役300名補充時の脚質暫定値。パリ〜ルーベ／ロンド個人成績の追加照合が必要</x:v>
      </x:c>
      <x:c r="K210" s="91" t="str">
        <x:v>https://www.paris-roubaix.fr/en/history</x:v>
      </x:c>
      <x:c r="L210" s="91" t="str"/>
      <x:c r="M210" s="91" t="str">
        <x:v>能力・適性・Credit整合済</x:v>
      </x:c>
    </x:row>
    <x:row r="211" ht="24" customHeight="1">
      <x:c r="A211" s="82" t="n">
        <x:v>207</x:v>
      </x:c>
      <x:c r="B211" s="82" t="str">
        <x:v>Jardi Christiaan van der Lee</x:v>
      </x:c>
      <x:c r="C211" s="85" t="n">
        <x:v>53</x:v>
      </x:c>
      <x:c r="D211" s="85" t="n">
        <x:v>0</x:v>
      </x:c>
      <x:c r="E211" s="85" t="n">
        <x:v>0</x:v>
      </x:c>
      <x:c r="F211" s="85" t="n">
        <x:v>0</x:v>
      </x:c>
      <x:c r="G211" s="85" t="n">
        <x:v>0</x:v>
      </x:c>
      <x:c r="H211" s="85" t="n">
        <x:v>0</x:v>
      </x:c>
      <x:c r="I211" s="91" t="str">
        <x:v>要実績照合</x:v>
      </x:c>
      <x:c r="J211" s="91" t="str">
        <x:v>現役300名補充時の脚質暫定値。パリ〜ルーベ／ロンド個人成績の追加照合が必要</x:v>
      </x:c>
      <x:c r="K211" s="91" t="str">
        <x:v>https://www.paris-roubaix.fr/en/history</x:v>
      </x:c>
      <x:c r="L211" s="91" t="str"/>
      <x:c r="M211" s="91" t="str">
        <x:v>能力・適性・Credit整合済</x:v>
      </x:c>
    </x:row>
    <x:row r="212" ht="24" customHeight="1">
      <x:c r="A212" s="82" t="n">
        <x:v>208</x:v>
      </x:c>
      <x:c r="B212" s="82" t="str">
        <x:v>Gonzalo Serrano</x:v>
      </x:c>
      <x:c r="C212" s="85" t="n">
        <x:v>56</x:v>
      </x:c>
      <x:c r="D212" s="85" t="n">
        <x:v>0</x:v>
      </x:c>
      <x:c r="E212" s="85" t="n">
        <x:v>0</x:v>
      </x:c>
      <x:c r="F212" s="85" t="n">
        <x:v>0</x:v>
      </x:c>
      <x:c r="G212" s="85" t="n">
        <x:v>0</x:v>
      </x:c>
      <x:c r="H212" s="85" t="n">
        <x:v>0</x:v>
      </x:c>
      <x:c r="I212" s="91" t="str">
        <x:v>要実績照合</x:v>
      </x:c>
      <x:c r="J212" s="91" t="str">
        <x:v>現役300名補充時の脚質暫定値。パリ〜ルーベ／ロンド個人成績の追加照合が必要</x:v>
      </x:c>
      <x:c r="K212" s="91" t="str">
        <x:v>https://www.paris-roubaix.fr/en/history</x:v>
      </x:c>
      <x:c r="L212" s="91" t="str"/>
      <x:c r="M212" s="91" t="str">
        <x:v>能力・適性・Credit整合済</x:v>
      </x:c>
    </x:row>
    <x:row r="213" ht="24" customHeight="1">
      <x:c r="A213" s="82" t="n">
        <x:v>209</x:v>
      </x:c>
      <x:c r="B213" s="82" t="str">
        <x:v>Ådne Holter</x:v>
      </x:c>
      <x:c r="C213" s="85" t="n">
        <x:v>58</x:v>
      </x:c>
      <x:c r="D213" s="85" t="n">
        <x:v>0</x:v>
      </x:c>
      <x:c r="E213" s="85" t="n">
        <x:v>0</x:v>
      </x:c>
      <x:c r="F213" s="85" t="n">
        <x:v>0</x:v>
      </x:c>
      <x:c r="G213" s="85" t="n">
        <x:v>0</x:v>
      </x:c>
      <x:c r="H213" s="85" t="n">
        <x:v>0</x:v>
      </x:c>
      <x:c r="I213" s="91" t="str">
        <x:v>要実績照合</x:v>
      </x:c>
      <x:c r="J213" s="91" t="str">
        <x:v>現役300名補充時の脚質暫定値。パリ〜ルーベ／ロンド個人成績の追加照合が必要</x:v>
      </x:c>
      <x:c r="K213" s="91" t="str">
        <x:v>https://www.paris-roubaix.fr/en/history</x:v>
      </x:c>
      <x:c r="L213" s="91" t="str"/>
      <x:c r="M213" s="91" t="str">
        <x:v>能力・適性・Credit整合済</x:v>
      </x:c>
    </x:row>
    <x:row r="214" ht="24" customHeight="1">
      <x:c r="A214" s="82" t="n">
        <x:v>210</x:v>
      </x:c>
      <x:c r="B214" s="82" t="str">
        <x:v>Alessandro Romele</x:v>
      </x:c>
      <x:c r="C214" s="85" t="n">
        <x:v>55</x:v>
      </x:c>
      <x:c r="D214" s="85" t="n">
        <x:v>0</x:v>
      </x:c>
      <x:c r="E214" s="85" t="n">
        <x:v>0</x:v>
      </x:c>
      <x:c r="F214" s="85" t="n">
        <x:v>0</x:v>
      </x:c>
      <x:c r="G214" s="85" t="n">
        <x:v>0</x:v>
      </x:c>
      <x:c r="H214" s="85" t="n">
        <x:v>0</x:v>
      </x:c>
      <x:c r="I214" s="91" t="str">
        <x:v>要実績照合</x:v>
      </x:c>
      <x:c r="J214" s="91" t="str">
        <x:v>現役300名補充時の脚質暫定値。パリ〜ルーベ／ロンド個人成績の追加照合が必要</x:v>
      </x:c>
      <x:c r="K214" s="91" t="str">
        <x:v>https://www.paris-roubaix.fr/en/history</x:v>
      </x:c>
      <x:c r="L214" s="91" t="str"/>
      <x:c r="M214" s="91" t="str">
        <x:v>能力・適性・Credit整合済</x:v>
      </x:c>
    </x:row>
    <x:row r="215" ht="24" customHeight="1">
      <x:c r="A215" s="82" t="n">
        <x:v>211</x:v>
      </x:c>
      <x:c r="B215" s="82" t="str">
        <x:v>Erlend Blikra</x:v>
      </x:c>
      <x:c r="C215" s="85" t="n">
        <x:v>52</x:v>
      </x:c>
      <x:c r="D215" s="85" t="n">
        <x:v>0</x:v>
      </x:c>
      <x:c r="E215" s="85" t="n">
        <x:v>0</x:v>
      </x:c>
      <x:c r="F215" s="85" t="n">
        <x:v>0</x:v>
      </x:c>
      <x:c r="G215" s="85" t="n">
        <x:v>0</x:v>
      </x:c>
      <x:c r="H215" s="85" t="n">
        <x:v>0</x:v>
      </x:c>
      <x:c r="I215" s="91" t="str">
        <x:v>要実績照合</x:v>
      </x:c>
      <x:c r="J215" s="91" t="str">
        <x:v>現役300名補充時の脚質暫定値。パリ〜ルーベ／ロンド個人成績の追加照合が必要</x:v>
      </x:c>
      <x:c r="K215" s="91" t="str">
        <x:v>https://www.paris-roubaix.fr/en/history</x:v>
      </x:c>
      <x:c r="L215" s="91" t="str"/>
      <x:c r="M215" s="91" t="str">
        <x:v>能力・適性・Credit整合済</x:v>
      </x:c>
    </x:row>
    <x:row r="216" ht="24" customHeight="1">
      <x:c r="A216" s="82" t="n">
        <x:v>212</x:v>
      </x:c>
      <x:c r="B216" s="82" t="str">
        <x:v>Guillaume Boivin</x:v>
      </x:c>
      <x:c r="C216" s="85" t="n">
        <x:v>60</x:v>
      </x:c>
      <x:c r="D216" s="85" t="n">
        <x:v>0</x:v>
      </x:c>
      <x:c r="E216" s="85" t="n">
        <x:v>0</x:v>
      </x:c>
      <x:c r="F216" s="85" t="n">
        <x:v>0</x:v>
      </x:c>
      <x:c r="G216" s="85" t="n">
        <x:v>0</x:v>
      </x:c>
      <x:c r="H216" s="85" t="n">
        <x:v>0</x:v>
      </x:c>
      <x:c r="I216" s="91" t="str">
        <x:v>要実績照合</x:v>
      </x:c>
      <x:c r="J216" s="91" t="str">
        <x:v>現役300名補充時の脚質暫定値。パリ〜ルーベ／ロンド個人成績の追加照合が必要</x:v>
      </x:c>
      <x:c r="K216" s="91" t="str">
        <x:v>https://www.paris-roubaix.fr/en/history</x:v>
      </x:c>
      <x:c r="L216" s="91" t="str"/>
      <x:c r="M216" s="91" t="str">
        <x:v>能力・適性・Credit整合済</x:v>
      </x:c>
    </x:row>
    <x:row r="217" ht="24" customHeight="1">
      <x:c r="A217" s="82" t="n">
        <x:v>213</x:v>
      </x:c>
      <x:c r="B217" s="82" t="str">
        <x:v>Davide Formolo</x:v>
      </x:c>
      <x:c r="C217" s="85" t="n">
        <x:v>56</x:v>
      </x:c>
      <x:c r="D217" s="85" t="n">
        <x:v>0</x:v>
      </x:c>
      <x:c r="E217" s="85" t="n">
        <x:v>0</x:v>
      </x:c>
      <x:c r="F217" s="85" t="n">
        <x:v>0</x:v>
      </x:c>
      <x:c r="G217" s="85" t="n">
        <x:v>0</x:v>
      </x:c>
      <x:c r="H217" s="85" t="n">
        <x:v>0</x:v>
      </x:c>
      <x:c r="I217" s="91" t="str">
        <x:v>要実績照合</x:v>
      </x:c>
      <x:c r="J217" s="91" t="str">
        <x:v>現役300名補充時の脚質暫定値。パリ〜ルーベ／ロンド個人成績の追加照合が必要</x:v>
      </x:c>
      <x:c r="K217" s="91" t="str">
        <x:v>https://www.paris-roubaix.fr/en/history</x:v>
      </x:c>
      <x:c r="L217" s="91" t="str"/>
      <x:c r="M217" s="91" t="str">
        <x:v>能力・適性・Credit整合済</x:v>
      </x:c>
    </x:row>
    <x:row r="218" ht="24" customHeight="1">
      <x:c r="A218" s="82" t="n">
        <x:v>214</x:v>
      </x:c>
      <x:c r="B218" s="82" t="str">
        <x:v>Adrien Boichis</x:v>
      </x:c>
      <x:c r="C218" s="85" t="n">
        <x:v>54</x:v>
      </x:c>
      <x:c r="D218" s="85" t="n">
        <x:v>0</x:v>
      </x:c>
      <x:c r="E218" s="85" t="n">
        <x:v>0</x:v>
      </x:c>
      <x:c r="F218" s="85" t="n">
        <x:v>0</x:v>
      </x:c>
      <x:c r="G218" s="85" t="n">
        <x:v>0</x:v>
      </x:c>
      <x:c r="H218" s="85" t="n">
        <x:v>0</x:v>
      </x:c>
      <x:c r="I218" s="91" t="str">
        <x:v>要実績照合</x:v>
      </x:c>
      <x:c r="J218" s="91" t="str">
        <x:v>現役300名補充時の脚質暫定値。パリ〜ルーベ／ロンド個人成績の追加照合が必要</x:v>
      </x:c>
      <x:c r="K218" s="91" t="str">
        <x:v>https://www.paris-roubaix.fr/en/history</x:v>
      </x:c>
      <x:c r="L218" s="91" t="str"/>
      <x:c r="M218" s="91" t="str">
        <x:v>能力・適性・Credit整合済</x:v>
      </x:c>
    </x:row>
    <x:row r="219" ht="24" customHeight="1">
      <x:c r="A219" s="82" t="n">
        <x:v>215</x:v>
      </x:c>
      <x:c r="B219" s="82" t="str">
        <x:v>Clément Champoussin</x:v>
      </x:c>
      <x:c r="C219" s="85" t="n">
        <x:v>57</x:v>
      </x:c>
      <x:c r="D219" s="85" t="n">
        <x:v>0</x:v>
      </x:c>
      <x:c r="E219" s="85" t="n">
        <x:v>0</x:v>
      </x:c>
      <x:c r="F219" s="85" t="n">
        <x:v>0</x:v>
      </x:c>
      <x:c r="G219" s="85" t="n">
        <x:v>0</x:v>
      </x:c>
      <x:c r="H219" s="85" t="n">
        <x:v>0</x:v>
      </x:c>
      <x:c r="I219" s="91" t="str">
        <x:v>要実績照合</x:v>
      </x:c>
      <x:c r="J219" s="91" t="str">
        <x:v>現役300名補充時の脚質暫定値。パリ〜ルーベ／ロンド個人成績の追加照合が必要</x:v>
      </x:c>
      <x:c r="K219" s="91" t="str">
        <x:v>https://www.paris-roubaix.fr/en/history</x:v>
      </x:c>
      <x:c r="L219" s="91" t="str"/>
      <x:c r="M219" s="91" t="str">
        <x:v>能力・適性・Credit整合済</x:v>
      </x:c>
    </x:row>
    <x:row r="220" ht="24" customHeight="1">
      <x:c r="A220" s="82" t="n">
        <x:v>216</x:v>
      </x:c>
      <x:c r="B220" s="82" t="str">
        <x:v>Einer Rubio</x:v>
      </x:c>
      <x:c r="C220" s="85" t="n">
        <x:v>50</x:v>
      </x:c>
      <x:c r="D220" s="85" t="n">
        <x:v>0</x:v>
      </x:c>
      <x:c r="E220" s="85" t="n">
        <x:v>0</x:v>
      </x:c>
      <x:c r="F220" s="85" t="n">
        <x:v>0</x:v>
      </x:c>
      <x:c r="G220" s="85" t="n">
        <x:v>0</x:v>
      </x:c>
      <x:c r="H220" s="85" t="n">
        <x:v>0</x:v>
      </x:c>
      <x:c r="I220" s="91" t="str">
        <x:v>要実績照合</x:v>
      </x:c>
      <x:c r="J220" s="91" t="str">
        <x:v>現役300名補充時の脚質暫定値。パリ〜ルーベ／ロンド個人成績の追加照合が必要</x:v>
      </x:c>
      <x:c r="K220" s="91" t="str">
        <x:v>https://www.paris-roubaix.fr/en/history</x:v>
      </x:c>
      <x:c r="L220" s="91" t="str"/>
      <x:c r="M220" s="91" t="str">
        <x:v>能力・適性・Credit整合済</x:v>
      </x:c>
    </x:row>
    <x:row r="221" ht="24" customHeight="1">
      <x:c r="A221" s="82" t="n">
        <x:v>217</x:v>
      </x:c>
      <x:c r="B221" s="82" t="str">
        <x:v>Clément Braz Afonso</x:v>
      </x:c>
      <x:c r="C221" s="85" t="n">
        <x:v>54</x:v>
      </x:c>
      <x:c r="D221" s="85" t="n">
        <x:v>0</x:v>
      </x:c>
      <x:c r="E221" s="85" t="n">
        <x:v>0</x:v>
      </x:c>
      <x:c r="F221" s="85" t="n">
        <x:v>0</x:v>
      </x:c>
      <x:c r="G221" s="85" t="n">
        <x:v>0</x:v>
      </x:c>
      <x:c r="H221" s="85" t="n">
        <x:v>0</x:v>
      </x:c>
      <x:c r="I221" s="91" t="str">
        <x:v>要実績照合</x:v>
      </x:c>
      <x:c r="J221" s="91" t="str">
        <x:v>現役300名補充時の脚質暫定値。パリ〜ルーベ／ロンド個人成績の追加照合が必要</x:v>
      </x:c>
      <x:c r="K221" s="91" t="str">
        <x:v>https://www.paris-roubaix.fr/en/history</x:v>
      </x:c>
      <x:c r="L221" s="91" t="str"/>
      <x:c r="M221" s="91" t="str">
        <x:v>能力・適性・Credit整合済</x:v>
      </x:c>
    </x:row>
    <x:row r="222" ht="24" customHeight="1">
      <x:c r="A222" s="82" t="n">
        <x:v>218</x:v>
      </x:c>
      <x:c r="B222" s="82" t="str">
        <x:v>Alexander Hajek</x:v>
      </x:c>
      <x:c r="C222" s="85" t="n">
        <x:v>71</x:v>
      </x:c>
      <x:c r="D222" s="85" t="n">
        <x:v>0</x:v>
      </x:c>
      <x:c r="E222" s="85" t="n">
        <x:v>0</x:v>
      </x:c>
      <x:c r="F222" s="85" t="n">
        <x:v>0</x:v>
      </x:c>
      <x:c r="G222" s="85" t="n">
        <x:v>0</x:v>
      </x:c>
      <x:c r="H222" s="85" t="n">
        <x:v>0</x:v>
      </x:c>
      <x:c r="I222" s="91" t="str">
        <x:v>要実績照合</x:v>
      </x:c>
      <x:c r="J222" s="91" t="str">
        <x:v>現役300名補充時の脚質暫定値。パリ〜ルーベ／ロンド個人成績の追加照合が必要</x:v>
      </x:c>
      <x:c r="K222" s="91" t="str">
        <x:v>https://www.paris-roubaix.fr/en/history</x:v>
      </x:c>
      <x:c r="L222" s="91" t="str"/>
      <x:c r="M222" s="91" t="str">
        <x:v>能力・適性・Credit整合済</x:v>
      </x:c>
    </x:row>
    <x:row r="223" ht="24" customHeight="1">
      <x:c r="A223" s="82" t="n">
        <x:v>219</x:v>
      </x:c>
      <x:c r="B223" s="82" t="str">
        <x:v>Axel Huens</x:v>
      </x:c>
      <x:c r="C223" s="85" t="n">
        <x:v>53</x:v>
      </x:c>
      <x:c r="D223" s="85" t="n">
        <x:v>0</x:v>
      </x:c>
      <x:c r="E223" s="85" t="n">
        <x:v>0</x:v>
      </x:c>
      <x:c r="F223" s="85" t="n">
        <x:v>0</x:v>
      </x:c>
      <x:c r="G223" s="85" t="n">
        <x:v>0</x:v>
      </x:c>
      <x:c r="H223" s="85" t="n">
        <x:v>0</x:v>
      </x:c>
      <x:c r="I223" s="91" t="str">
        <x:v>要実績照合</x:v>
      </x:c>
      <x:c r="J223" s="91" t="str">
        <x:v>現役300名補充時の脚質暫定値。パリ〜ルーベ／ロンド個人成績の追加照合が必要</x:v>
      </x:c>
      <x:c r="K223" s="91" t="str">
        <x:v>https://www.paris-roubaix.fr/en/history</x:v>
      </x:c>
      <x:c r="L223" s="91" t="str"/>
      <x:c r="M223" s="91" t="str">
        <x:v>能力・適性・Credit整合済</x:v>
      </x:c>
    </x:row>
    <x:row r="224" ht="24" customHeight="1">
      <x:c r="A224" s="82" t="n">
        <x:v>220</x:v>
      </x:c>
      <x:c r="B224" s="82" t="str">
        <x:v>Cyril Barthe</x:v>
      </x:c>
      <x:c r="C224" s="85" t="n">
        <x:v>58</x:v>
      </x:c>
      <x:c r="D224" s="85" t="n">
        <x:v>0</x:v>
      </x:c>
      <x:c r="E224" s="85" t="n">
        <x:v>0</x:v>
      </x:c>
      <x:c r="F224" s="85" t="n">
        <x:v>0</x:v>
      </x:c>
      <x:c r="G224" s="85" t="n">
        <x:v>0</x:v>
      </x:c>
      <x:c r="H224" s="85" t="n">
        <x:v>0</x:v>
      </x:c>
      <x:c r="I224" s="91" t="str">
        <x:v>要実績照合</x:v>
      </x:c>
      <x:c r="J224" s="91" t="str">
        <x:v>現役300名補充時の脚質暫定値。パリ〜ルーベ／ロンド個人成績の追加照合が必要</x:v>
      </x:c>
      <x:c r="K224" s="91" t="str">
        <x:v>https://www.paris-roubaix.fr/en/history</x:v>
      </x:c>
      <x:c r="L224" s="91" t="str"/>
      <x:c r="M224" s="91" t="str">
        <x:v>能力・適性・Credit整合済</x:v>
      </x:c>
    </x:row>
    <x:row r="225" ht="24" customHeight="1">
      <x:c r="A225" s="82" t="n">
        <x:v>221</x:v>
      </x:c>
      <x:c r="B225" s="82" t="str">
        <x:v>Ewen Costiou</x:v>
      </x:c>
      <x:c r="C225" s="85" t="n">
        <x:v>59</x:v>
      </x:c>
      <x:c r="D225" s="85" t="n">
        <x:v>0</x:v>
      </x:c>
      <x:c r="E225" s="85" t="n">
        <x:v>0</x:v>
      </x:c>
      <x:c r="F225" s="85" t="n">
        <x:v>0</x:v>
      </x:c>
      <x:c r="G225" s="85" t="n">
        <x:v>0</x:v>
      </x:c>
      <x:c r="H225" s="85" t="n">
        <x:v>0</x:v>
      </x:c>
      <x:c r="I225" s="91" t="str">
        <x:v>要実績照合</x:v>
      </x:c>
      <x:c r="J225" s="91" t="str">
        <x:v>現役300名補充時の脚質暫定値。パリ〜ルーベ／ロンド個人成績の追加照合が必要</x:v>
      </x:c>
      <x:c r="K225" s="91" t="str">
        <x:v>https://www.paris-roubaix.fr/en/history</x:v>
      </x:c>
      <x:c r="L225" s="91" t="str"/>
      <x:c r="M225" s="91" t="str">
        <x:v>能力・適性・Credit整合済</x:v>
      </x:c>
    </x:row>
    <x:row r="226" ht="24" customHeight="1">
      <x:c r="A226" s="82" t="n">
        <x:v>222</x:v>
      </x:c>
      <x:c r="B226" s="82" t="str">
        <x:v>Erik Nordsæter Resell</x:v>
      </x:c>
      <x:c r="C226" s="85" t="n">
        <x:v>54</x:v>
      </x:c>
      <x:c r="D226" s="85" t="n">
        <x:v>0</x:v>
      </x:c>
      <x:c r="E226" s="85" t="n">
        <x:v>0</x:v>
      </x:c>
      <x:c r="F226" s="85" t="n">
        <x:v>0</x:v>
      </x:c>
      <x:c r="G226" s="85" t="n">
        <x:v>0</x:v>
      </x:c>
      <x:c r="H226" s="85" t="n">
        <x:v>0</x:v>
      </x:c>
      <x:c r="I226" s="91" t="str">
        <x:v>要実績照合</x:v>
      </x:c>
      <x:c r="J226" s="91" t="str">
        <x:v>現役300名補充時の脚質暫定値。パリ〜ルーベ／ロンド個人成績の追加照合が必要</x:v>
      </x:c>
      <x:c r="K226" s="91" t="str">
        <x:v>https://www.paris-roubaix.fr/en/history</x:v>
      </x:c>
      <x:c r="L226" s="91" t="str"/>
      <x:c r="M226" s="91" t="str">
        <x:v>能力・適性・Credit整合済</x:v>
      </x:c>
    </x:row>
    <x:row r="227" ht="24" customHeight="1">
      <x:c r="A227" s="82" t="n">
        <x:v>223</x:v>
      </x:c>
      <x:c r="B227" s="82" t="str">
        <x:v>Daniel Skerl</x:v>
      </x:c>
      <x:c r="C227" s="85" t="n">
        <x:v>54</x:v>
      </x:c>
      <x:c r="D227" s="85" t="n">
        <x:v>0</x:v>
      </x:c>
      <x:c r="E227" s="85" t="n">
        <x:v>0</x:v>
      </x:c>
      <x:c r="F227" s="85" t="n">
        <x:v>0</x:v>
      </x:c>
      <x:c r="G227" s="85" t="n">
        <x:v>0</x:v>
      </x:c>
      <x:c r="H227" s="85" t="n">
        <x:v>0</x:v>
      </x:c>
      <x:c r="I227" s="91" t="str">
        <x:v>要実績照合</x:v>
      </x:c>
      <x:c r="J227" s="91" t="str">
        <x:v>現役300名補充時の脚質暫定値。パリ〜ルーベ／ロンド個人成績の追加照合が必要</x:v>
      </x:c>
      <x:c r="K227" s="91" t="str">
        <x:v>https://www.paris-roubaix.fr/en/history</x:v>
      </x:c>
      <x:c r="L227" s="91" t="str"/>
      <x:c r="M227" s="91" t="str">
        <x:v>能力・適性・Credit整合済</x:v>
      </x:c>
    </x:row>
    <x:row r="228" ht="24" customHeight="1">
      <x:c r="A228" s="82" t="n">
        <x:v>224</x:v>
      </x:c>
      <x:c r="B228" s="82" t="str">
        <x:v>Liam Slock</x:v>
      </x:c>
      <x:c r="C228" s="85" t="n">
        <x:v>59</x:v>
      </x:c>
      <x:c r="D228" s="85" t="n">
        <x:v>0</x:v>
      </x:c>
      <x:c r="E228" s="85" t="n">
        <x:v>0</x:v>
      </x:c>
      <x:c r="F228" s="85" t="n">
        <x:v>0</x:v>
      </x:c>
      <x:c r="G228" s="85" t="n">
        <x:v>0</x:v>
      </x:c>
      <x:c r="H228" s="85" t="n">
        <x:v>0</x:v>
      </x:c>
      <x:c r="I228" s="91" t="str">
        <x:v>要実績照合</x:v>
      </x:c>
      <x:c r="J228" s="91" t="str">
        <x:v>現役300名補充時の脚質暫定値。パリ〜ルーベ／ロンド個人成績の追加照合が必要</x:v>
      </x:c>
      <x:c r="K228" s="91" t="str">
        <x:v>https://www.paris-roubaix.fr/en/history</x:v>
      </x:c>
      <x:c r="L228" s="91" t="str"/>
      <x:c r="M228" s="91" t="str">
        <x:v>能力・適性・Credit整合済</x:v>
      </x:c>
    </x:row>
    <x:row r="229" ht="24" customHeight="1">
      <x:c r="A229" s="82" t="n">
        <x:v>225</x:v>
      </x:c>
      <x:c r="B229" s="82" t="str">
        <x:v>Artem Shmidt</x:v>
      </x:c>
      <x:c r="C229" s="85" t="n">
        <x:v>58</x:v>
      </x:c>
      <x:c r="D229" s="85" t="n">
        <x:v>0</x:v>
      </x:c>
      <x:c r="E229" s="85" t="n">
        <x:v>0</x:v>
      </x:c>
      <x:c r="F229" s="85" t="n">
        <x:v>0</x:v>
      </x:c>
      <x:c r="G229" s="85" t="n">
        <x:v>0</x:v>
      </x:c>
      <x:c r="H229" s="85" t="n">
        <x:v>0</x:v>
      </x:c>
      <x:c r="I229" s="91" t="str">
        <x:v>要実績照合</x:v>
      </x:c>
      <x:c r="J229" s="91" t="str">
        <x:v>現役300名補充時の脚質暫定値。パリ〜ルーベ／ロンド個人成績の追加照合が必要</x:v>
      </x:c>
      <x:c r="K229" s="91" t="str">
        <x:v>https://www.paris-roubaix.fr/en/history</x:v>
      </x:c>
      <x:c r="L229" s="91" t="str"/>
      <x:c r="M229" s="91" t="str">
        <x:v>能力・適性・Credit整合済</x:v>
      </x:c>
    </x:row>
    <x:row r="230" ht="24" customHeight="1">
      <x:c r="A230" s="82" t="n">
        <x:v>226</x:v>
      </x:c>
      <x:c r="B230" s="82" t="str">
        <x:v>Kamil Gradek</x:v>
      </x:c>
      <x:c r="C230" s="85" t="n">
        <x:v>63</x:v>
      </x:c>
      <x:c r="D230" s="85" t="n">
        <x:v>0</x:v>
      </x:c>
      <x:c r="E230" s="85" t="n">
        <x:v>0</x:v>
      </x:c>
      <x:c r="F230" s="85" t="n">
        <x:v>0</x:v>
      </x:c>
      <x:c r="G230" s="85" t="n">
        <x:v>0</x:v>
      </x:c>
      <x:c r="H230" s="85" t="n">
        <x:v>0</x:v>
      </x:c>
      <x:c r="I230" s="91" t="str">
        <x:v>要実績照合</x:v>
      </x:c>
      <x:c r="J230" s="91" t="str">
        <x:v>現役300名補充時の脚質暫定値。パリ〜ルーベ／ロンド個人成績の追加照合が必要</x:v>
      </x:c>
      <x:c r="K230" s="91" t="str">
        <x:v>https://www.paris-roubaix.fr/en/history</x:v>
      </x:c>
      <x:c r="L230" s="91" t="str"/>
      <x:c r="M230" s="91" t="str">
        <x:v>能力・適性・Credit整合済</x:v>
      </x:c>
    </x:row>
    <x:row r="231" ht="24" customHeight="1">
      <x:c r="A231" s="82" t="n">
        <x:v>227</x:v>
      </x:c>
      <x:c r="B231" s="82" t="str">
        <x:v>Francesco Busatto</x:v>
      </x:c>
      <x:c r="C231" s="85" t="n">
        <x:v>62</x:v>
      </x:c>
      <x:c r="D231" s="85" t="n">
        <x:v>0</x:v>
      </x:c>
      <x:c r="E231" s="85" t="n">
        <x:v>0</x:v>
      </x:c>
      <x:c r="F231" s="85" t="n">
        <x:v>0</x:v>
      </x:c>
      <x:c r="G231" s="85" t="n">
        <x:v>0</x:v>
      </x:c>
      <x:c r="H231" s="85" t="n">
        <x:v>0</x:v>
      </x:c>
      <x:c r="I231" s="91" t="str">
        <x:v>要実績照合</x:v>
      </x:c>
      <x:c r="J231" s="91" t="str">
        <x:v>現役300名補充時の脚質暫定値。パリ〜ルーベ／ロンド個人成績の追加照合が必要</x:v>
      </x:c>
      <x:c r="K231" s="91" t="str">
        <x:v>https://www.paris-roubaix.fr/en/history</x:v>
      </x:c>
      <x:c r="L231" s="91" t="str"/>
      <x:c r="M231" s="91" t="str">
        <x:v>能力・適性・Credit整合済</x:v>
      </x:c>
    </x:row>
    <x:row r="232" ht="24" customHeight="1">
      <x:c r="A232" s="82" t="n">
        <x:v>228</x:v>
      </x:c>
      <x:c r="B232" s="82" t="str">
        <x:v>Juan Pedro López</x:v>
      </x:c>
      <x:c r="C232" s="85" t="n">
        <x:v>50</x:v>
      </x:c>
      <x:c r="D232" s="85" t="n">
        <x:v>0</x:v>
      </x:c>
      <x:c r="E232" s="85" t="n">
        <x:v>0</x:v>
      </x:c>
      <x:c r="F232" s="85" t="n">
        <x:v>0</x:v>
      </x:c>
      <x:c r="G232" s="85" t="n">
        <x:v>0</x:v>
      </x:c>
      <x:c r="H232" s="85" t="n">
        <x:v>0</x:v>
      </x:c>
      <x:c r="I232" s="91" t="str">
        <x:v>要実績照合</x:v>
      </x:c>
      <x:c r="J232" s="91" t="str">
        <x:v>現役300名補充時の脚質暫定値。パリ〜ルーベ／ロンド個人成績の追加照合が必要</x:v>
      </x:c>
      <x:c r="K232" s="91" t="str">
        <x:v>https://www.paris-roubaix.fr/en/history</x:v>
      </x:c>
      <x:c r="L232" s="91" t="str"/>
      <x:c r="M232" s="91" t="str">
        <x:v>能力・適性・Credit整合済</x:v>
      </x:c>
    </x:row>
    <x:row r="233" ht="24" customHeight="1">
      <x:c r="A233" s="82" t="n">
        <x:v>229</x:v>
      </x:c>
      <x:c r="B233" s="82" t="str">
        <x:v>Jakob Omrzel</x:v>
      </x:c>
      <x:c r="C233" s="85" t="n">
        <x:v>69</x:v>
      </x:c>
      <x:c r="D233" s="85" t="n">
        <x:v>0</x:v>
      </x:c>
      <x:c r="E233" s="85" t="n">
        <x:v>0</x:v>
      </x:c>
      <x:c r="F233" s="85" t="n">
        <x:v>0</x:v>
      </x:c>
      <x:c r="G233" s="85" t="n">
        <x:v>0</x:v>
      </x:c>
      <x:c r="H233" s="85" t="n">
        <x:v>0</x:v>
      </x:c>
      <x:c r="I233" s="91" t="str">
        <x:v>要実績照合</x:v>
      </x:c>
      <x:c r="J233" s="91" t="str">
        <x:v>現役300名補充時の脚質暫定値。パリ〜ルーベ／ロンド個人成績の追加照合が必要</x:v>
      </x:c>
      <x:c r="K233" s="91" t="str">
        <x:v>https://www.paris-roubaix.fr/en/history</x:v>
      </x:c>
      <x:c r="L233" s="91" t="str"/>
      <x:c r="M233" s="91" t="str">
        <x:v>能力・適性・Credit整合済</x:v>
      </x:c>
    </x:row>
    <x:row r="234" ht="24" customHeight="1">
      <x:c r="A234" s="82" t="n">
        <x:v>230</x:v>
      </x:c>
      <x:c r="B234" s="82" t="str">
        <x:v>Aurélien Paret-Peintre</x:v>
      </x:c>
      <x:c r="C234" s="85" t="n">
        <x:v>57</x:v>
      </x:c>
      <x:c r="D234" s="85" t="n">
        <x:v>0</x:v>
      </x:c>
      <x:c r="E234" s="85" t="n">
        <x:v>0</x:v>
      </x:c>
      <x:c r="F234" s="85" t="n">
        <x:v>0</x:v>
      </x:c>
      <x:c r="G234" s="85" t="n">
        <x:v>0</x:v>
      </x:c>
      <x:c r="H234" s="85" t="n">
        <x:v>0</x:v>
      </x:c>
      <x:c r="I234" s="91" t="str">
        <x:v>要実績照合</x:v>
      </x:c>
      <x:c r="J234" s="91" t="str">
        <x:v>現役300名補充時の脚質暫定値。パリ〜ルーベ／ロンド個人成績の追加照合が必要</x:v>
      </x:c>
      <x:c r="K234" s="91" t="str">
        <x:v>https://www.paris-roubaix.fr/en/history</x:v>
      </x:c>
      <x:c r="L234" s="91" t="str"/>
      <x:c r="M234" s="91" t="str">
        <x:v>能力・適性・Credit整合済</x:v>
      </x:c>
    </x:row>
    <x:row r="235" ht="24" customHeight="1">
      <x:c r="A235" s="82" t="n">
        <x:v>231</x:v>
      </x:c>
      <x:c r="B235" s="82" t="str">
        <x:v>Alastair Mackellar</x:v>
      </x:c>
      <x:c r="C235" s="85" t="n">
        <x:v>54</x:v>
      </x:c>
      <x:c r="D235" s="85" t="n">
        <x:v>0</x:v>
      </x:c>
      <x:c r="E235" s="85" t="n">
        <x:v>0</x:v>
      </x:c>
      <x:c r="F235" s="85" t="n">
        <x:v>0</x:v>
      </x:c>
      <x:c r="G235" s="85" t="n">
        <x:v>0</x:v>
      </x:c>
      <x:c r="H235" s="85" t="n">
        <x:v>0</x:v>
      </x:c>
      <x:c r="I235" s="91" t="str">
        <x:v>要実績照合</x:v>
      </x:c>
      <x:c r="J235" s="91" t="str">
        <x:v>現役300名補充時の脚質暫定値。パリ〜ルーベ／ロンド個人成績の追加照合が必要</x:v>
      </x:c>
      <x:c r="K235" s="91" t="str">
        <x:v>https://www.paris-roubaix.fr/en/history</x:v>
      </x:c>
      <x:c r="L235" s="91" t="str"/>
      <x:c r="M235" s="91" t="str">
        <x:v>能力・適性・Credit整合済</x:v>
      </x:c>
    </x:row>
    <x:row r="236" ht="24" customHeight="1">
      <x:c r="A236" s="82" t="n">
        <x:v>232</x:v>
      </x:c>
      <x:c r="B236" s="82" t="str">
        <x:v>Brieuc Rolland</x:v>
      </x:c>
      <x:c r="C236" s="85" t="n">
        <x:v>51</x:v>
      </x:c>
      <x:c r="D236" s="85" t="n">
        <x:v>0</x:v>
      </x:c>
      <x:c r="E236" s="85" t="n">
        <x:v>0</x:v>
      </x:c>
      <x:c r="F236" s="85" t="n">
        <x:v>0</x:v>
      </x:c>
      <x:c r="G236" s="85" t="n">
        <x:v>0</x:v>
      </x:c>
      <x:c r="H236" s="85" t="n">
        <x:v>0</x:v>
      </x:c>
      <x:c r="I236" s="91" t="str">
        <x:v>要実績照合</x:v>
      </x:c>
      <x:c r="J236" s="91" t="str">
        <x:v>現役300名補充時の脚質暫定値。パリ〜ルーベ／ロンド個人成績の追加照合が必要</x:v>
      </x:c>
      <x:c r="K236" s="91" t="str">
        <x:v>https://www.paris-roubaix.fr/en/history</x:v>
      </x:c>
      <x:c r="L236" s="91" t="str"/>
      <x:c r="M236" s="91" t="str">
        <x:v>能力・適性・Credit整合済</x:v>
      </x:c>
    </x:row>
    <x:row r="237" ht="24" customHeight="1">
      <x:c r="A237" s="82" t="n">
        <x:v>233</x:v>
      </x:c>
      <x:c r="B237" s="82" t="str">
        <x:v>Albert Withen Philipsen</x:v>
      </x:c>
      <x:c r="C237" s="85" t="n">
        <x:v>60</x:v>
      </x:c>
      <x:c r="D237" s="85" t="n">
        <x:v>0</x:v>
      </x:c>
      <x:c r="E237" s="85" t="n">
        <x:v>0</x:v>
      </x:c>
      <x:c r="F237" s="85" t="n">
        <x:v>0</x:v>
      </x:c>
      <x:c r="G237" s="85" t="n">
        <x:v>0</x:v>
      </x:c>
      <x:c r="H237" s="85" t="n">
        <x:v>0</x:v>
      </x:c>
      <x:c r="I237" s="91" t="str">
        <x:v>要実績照合</x:v>
      </x:c>
      <x:c r="J237" s="91" t="str">
        <x:v>現役300名補充時の脚質暫定値。パリ〜ルーベ／ロンド個人成績の追加照合が必要</x:v>
      </x:c>
      <x:c r="K237" s="91" t="str">
        <x:v>https://www.paris-roubaix.fr/en/history</x:v>
      </x:c>
      <x:c r="L237" s="91" t="str"/>
      <x:c r="M237" s="91" t="str">
        <x:v>能力・適性・Credit整合済</x:v>
      </x:c>
    </x:row>
    <x:row r="238" ht="24" customHeight="1">
      <x:c r="A238" s="82" t="n">
        <x:v>234</x:v>
      </x:c>
      <x:c r="B238" s="82" t="str">
        <x:v>Arjen Livyns</x:v>
      </x:c>
      <x:c r="C238" s="85" t="n">
        <x:v>58</x:v>
      </x:c>
      <x:c r="D238" s="85" t="n">
        <x:v>0</x:v>
      </x:c>
      <x:c r="E238" s="85" t="n">
        <x:v>0</x:v>
      </x:c>
      <x:c r="F238" s="85" t="n">
        <x:v>0</x:v>
      </x:c>
      <x:c r="G238" s="85" t="n">
        <x:v>0</x:v>
      </x:c>
      <x:c r="H238" s="85" t="n">
        <x:v>0</x:v>
      </x:c>
      <x:c r="I238" s="91" t="str">
        <x:v>要実績照合</x:v>
      </x:c>
      <x:c r="J238" s="91" t="str">
        <x:v>現役300名補充時の脚質暫定値。パリ〜ルーベ／ロンド個人成績の追加照合が必要</x:v>
      </x:c>
      <x:c r="K238" s="91" t="str">
        <x:v>https://www.paris-roubaix.fr/en/history</x:v>
      </x:c>
      <x:c r="L238" s="91" t="str"/>
      <x:c r="M238" s="91" t="str">
        <x:v>能力・適性・Credit整合済</x:v>
      </x:c>
    </x:row>
    <x:row r="239" ht="24" customHeight="1">
      <x:c r="A239" s="82" t="n">
        <x:v>235</x:v>
      </x:c>
      <x:c r="B239" s="82" t="str">
        <x:v>Loe van Belle</x:v>
      </x:c>
      <x:c r="C239" s="85" t="n">
        <x:v>57</x:v>
      </x:c>
      <x:c r="D239" s="85" t="n">
        <x:v>0</x:v>
      </x:c>
      <x:c r="E239" s="85" t="n">
        <x:v>0</x:v>
      </x:c>
      <x:c r="F239" s="85" t="n">
        <x:v>0</x:v>
      </x:c>
      <x:c r="G239" s="85" t="n">
        <x:v>0</x:v>
      </x:c>
      <x:c r="H239" s="85" t="n">
        <x:v>0</x:v>
      </x:c>
      <x:c r="I239" s="91" t="str">
        <x:v>要実績照合</x:v>
      </x:c>
      <x:c r="J239" s="91" t="str">
        <x:v>現役300名補充時の脚質暫定値。パリ〜ルーベ／ロンド個人成績の追加照合が必要</x:v>
      </x:c>
      <x:c r="K239" s="91" t="str">
        <x:v>https://www.paris-roubaix.fr/en/history</x:v>
      </x:c>
      <x:c r="L239" s="91" t="str"/>
      <x:c r="M239" s="91" t="str">
        <x:v>能力・適性・Credit整合済</x:v>
      </x:c>
    </x:row>
    <x:row r="240" ht="24" customHeight="1">
      <x:c r="A240" s="82" t="n">
        <x:v>236</x:v>
      </x:c>
      <x:c r="B240" s="82" t="str">
        <x:v>Florian Samuel Kajamini</x:v>
      </x:c>
      <x:c r="C240" s="85" t="n">
        <x:v>52</x:v>
      </x:c>
      <x:c r="D240" s="85" t="n">
        <x:v>0</x:v>
      </x:c>
      <x:c r="E240" s="85" t="n">
        <x:v>0</x:v>
      </x:c>
      <x:c r="F240" s="85" t="n">
        <x:v>0</x:v>
      </x:c>
      <x:c r="G240" s="85" t="n">
        <x:v>0</x:v>
      </x:c>
      <x:c r="H240" s="85" t="n">
        <x:v>0</x:v>
      </x:c>
      <x:c r="I240" s="91" t="str">
        <x:v>要実績照合</x:v>
      </x:c>
      <x:c r="J240" s="91" t="str">
        <x:v>現役300名補充時の脚質暫定値。パリ〜ルーベ／ロンド個人成績の追加照合が必要</x:v>
      </x:c>
      <x:c r="K240" s="91" t="str">
        <x:v>https://www.paris-roubaix.fr/en/history</x:v>
      </x:c>
      <x:c r="L240" s="91" t="str"/>
      <x:c r="M240" s="91" t="str">
        <x:v>能力・適性・Credit整合済</x:v>
      </x:c>
    </x:row>
    <x:row r="241" ht="24" customHeight="1">
      <x:c r="A241" s="82" t="n">
        <x:v>237</x:v>
      </x:c>
      <x:c r="B241" s="82" t="str">
        <x:v>Davide De Pretto</x:v>
      </x:c>
      <x:c r="C241" s="85" t="n">
        <x:v>50</x:v>
      </x:c>
      <x:c r="D241" s="85" t="n">
        <x:v>0</x:v>
      </x:c>
      <x:c r="E241" s="85" t="n">
        <x:v>0</x:v>
      </x:c>
      <x:c r="F241" s="85" t="n">
        <x:v>0</x:v>
      </x:c>
      <x:c r="G241" s="85" t="n">
        <x:v>0</x:v>
      </x:c>
      <x:c r="H241" s="85" t="n">
        <x:v>0</x:v>
      </x:c>
      <x:c r="I241" s="91" t="str">
        <x:v>要実績照合</x:v>
      </x:c>
      <x:c r="J241" s="91" t="str">
        <x:v>現役300名補充時の脚質暫定値。パリ〜ルーベ／ロンド個人成績の追加照合が必要</x:v>
      </x:c>
      <x:c r="K241" s="91" t="str">
        <x:v>https://www.paris-roubaix.fr/en/history</x:v>
      </x:c>
      <x:c r="L241" s="91" t="str"/>
      <x:c r="M241" s="91" t="str">
        <x:v>能力・適性・Credit整合済</x:v>
      </x:c>
    </x:row>
    <x:row r="242" ht="24" customHeight="1">
      <x:c r="A242" s="82" t="n">
        <x:v>238</x:v>
      </x:c>
      <x:c r="B242" s="82" t="str">
        <x:v>Gil Gelders</x:v>
      </x:c>
      <x:c r="C242" s="85" t="n">
        <x:v>52</x:v>
      </x:c>
      <x:c r="D242" s="85" t="n">
        <x:v>0</x:v>
      </x:c>
      <x:c r="E242" s="85" t="n">
        <x:v>0</x:v>
      </x:c>
      <x:c r="F242" s="85" t="n">
        <x:v>0</x:v>
      </x:c>
      <x:c r="G242" s="85" t="n">
        <x:v>0</x:v>
      </x:c>
      <x:c r="H242" s="85" t="n">
        <x:v>0</x:v>
      </x:c>
      <x:c r="I242" s="91" t="str">
        <x:v>要実績照合</x:v>
      </x:c>
      <x:c r="J242" s="91" t="str">
        <x:v>現役300名補充時の脚質暫定値。パリ〜ルーベ／ロンド個人成績の追加照合が必要</x:v>
      </x:c>
      <x:c r="K242" s="91" t="str">
        <x:v>https://www.paris-roubaix.fr/en/history</x:v>
      </x:c>
      <x:c r="L242" s="91" t="str"/>
      <x:c r="M242" s="91" t="str">
        <x:v>能力・適性・Credit整合済</x:v>
      </x:c>
    </x:row>
    <x:row r="243" ht="24" customHeight="1">
      <x:c r="A243" s="82" t="n">
        <x:v>239</x:v>
      </x:c>
      <x:c r="B243" s="82" t="str">
        <x:v>Clément Berthet</x:v>
      </x:c>
      <x:c r="C243" s="85" t="n">
        <x:v>53</x:v>
      </x:c>
      <x:c r="D243" s="85" t="n">
        <x:v>0</x:v>
      </x:c>
      <x:c r="E243" s="85" t="n">
        <x:v>0</x:v>
      </x:c>
      <x:c r="F243" s="85" t="n">
        <x:v>0</x:v>
      </x:c>
      <x:c r="G243" s="85" t="n">
        <x:v>0</x:v>
      </x:c>
      <x:c r="H243" s="85" t="n">
        <x:v>0</x:v>
      </x:c>
      <x:c r="I243" s="91" t="str">
        <x:v>要実績照合</x:v>
      </x:c>
      <x:c r="J243" s="91" t="str">
        <x:v>現役300名補充時の脚質暫定値。パリ〜ルーベ／ロンド個人成績の追加照合が必要</x:v>
      </x:c>
      <x:c r="K243" s="91" t="str">
        <x:v>https://www.paris-roubaix.fr/en/history</x:v>
      </x:c>
      <x:c r="L243" s="91" t="str"/>
      <x:c r="M243" s="91" t="str">
        <x:v>能力・適性・Credit整合済</x:v>
      </x:c>
    </x:row>
    <x:row r="244" ht="24" customHeight="1">
      <x:c r="A244" s="82" t="n">
        <x:v>240</x:v>
      </x:c>
      <x:c r="B244" s="82" t="str">
        <x:v>Dillon Corkery</x:v>
      </x:c>
      <x:c r="C244" s="85" t="n">
        <x:v>52</x:v>
      </x:c>
      <x:c r="D244" s="85" t="n">
        <x:v>0</x:v>
      </x:c>
      <x:c r="E244" s="85" t="n">
        <x:v>0</x:v>
      </x:c>
      <x:c r="F244" s="85" t="n">
        <x:v>0</x:v>
      </x:c>
      <x:c r="G244" s="85" t="n">
        <x:v>0</x:v>
      </x:c>
      <x:c r="H244" s="85" t="n">
        <x:v>0</x:v>
      </x:c>
      <x:c r="I244" s="91" t="str">
        <x:v>要実績照合</x:v>
      </x:c>
      <x:c r="J244" s="91" t="str">
        <x:v>現役300名補充時の脚質暫定値。パリ〜ルーベ／ロンド個人成績の追加照合が必要</x:v>
      </x:c>
      <x:c r="K244" s="91" t="str">
        <x:v>https://www.paris-roubaix.fr/en/history</x:v>
      </x:c>
      <x:c r="L244" s="91" t="str"/>
      <x:c r="M244" s="91" t="str">
        <x:v>能力・適性・Credit整合済</x:v>
      </x:c>
    </x:row>
    <x:row r="245" ht="24" customHeight="1">
      <x:c r="A245" s="82" t="n">
        <x:v>241</x:v>
      </x:c>
      <x:c r="B245" s="82" t="str">
        <x:v>Casper Pedersen</x:v>
      </x:c>
      <x:c r="C245" s="85" t="n">
        <x:v>57</x:v>
      </x:c>
      <x:c r="D245" s="85" t="n">
        <x:v>0</x:v>
      </x:c>
      <x:c r="E245" s="85" t="n">
        <x:v>0</x:v>
      </x:c>
      <x:c r="F245" s="85" t="n">
        <x:v>0</x:v>
      </x:c>
      <x:c r="G245" s="85" t="n">
        <x:v>0</x:v>
      </x:c>
      <x:c r="H245" s="85" t="n">
        <x:v>0</x:v>
      </x:c>
      <x:c r="I245" s="91" t="str">
        <x:v>要実績照合</x:v>
      </x:c>
      <x:c r="J245" s="91" t="str">
        <x:v>現役300名補充時の脚質暫定値。パリ〜ルーベ／ロンド個人成績の追加照合が必要</x:v>
      </x:c>
      <x:c r="K245" s="91" t="str">
        <x:v>https://www.paris-roubaix.fr/en/history</x:v>
      </x:c>
      <x:c r="L245" s="91" t="str"/>
      <x:c r="M245" s="91" t="str">
        <x:v>能力・適性・Credit整合済</x:v>
      </x:c>
    </x:row>
    <x:row r="246" ht="24" customHeight="1">
      <x:c r="A246" s="82" t="n">
        <x:v>242</x:v>
      </x:c>
      <x:c r="B246" s="82" t="str">
        <x:v>Christopher Juul-Jensen</x:v>
      </x:c>
      <x:c r="C246" s="85" t="n">
        <x:v>60</x:v>
      </x:c>
      <x:c r="D246" s="85" t="n">
        <x:v>0</x:v>
      </x:c>
      <x:c r="E246" s="85" t="n">
        <x:v>0</x:v>
      </x:c>
      <x:c r="F246" s="85" t="n">
        <x:v>0</x:v>
      </x:c>
      <x:c r="G246" s="85" t="n">
        <x:v>0</x:v>
      </x:c>
      <x:c r="H246" s="85" t="n">
        <x:v>0</x:v>
      </x:c>
      <x:c r="I246" s="91" t="str">
        <x:v>要実績照合</x:v>
      </x:c>
      <x:c r="J246" s="91" t="str">
        <x:v>現役300名補充時の脚質暫定値。パリ〜ルーベ／ロンド個人成績の追加照合が必要</x:v>
      </x:c>
      <x:c r="K246" s="91" t="str">
        <x:v>https://www.paris-roubaix.fr/en/history</x:v>
      </x:c>
      <x:c r="L246" s="91" t="str"/>
      <x:c r="M246" s="91" t="str">
        <x:v>能力・適性・Credit整合済</x:v>
      </x:c>
    </x:row>
    <x:row r="247" ht="24" customHeight="1">
      <x:c r="A247" s="82" t="n">
        <x:v>243</x:v>
      </x:c>
      <x:c r="B247" s="82" t="str">
        <x:v>Felix Engelhardt</x:v>
      </x:c>
      <x:c r="C247" s="85" t="n">
        <x:v>59</x:v>
      </x:c>
      <x:c r="D247" s="85" t="n">
        <x:v>0</x:v>
      </x:c>
      <x:c r="E247" s="85" t="n">
        <x:v>0</x:v>
      </x:c>
      <x:c r="F247" s="85" t="n">
        <x:v>0</x:v>
      </x:c>
      <x:c r="G247" s="85" t="n">
        <x:v>0</x:v>
      </x:c>
      <x:c r="H247" s="85" t="n">
        <x:v>0</x:v>
      </x:c>
      <x:c r="I247" s="91" t="str">
        <x:v>要実績照合</x:v>
      </x:c>
      <x:c r="J247" s="91" t="str">
        <x:v>現役300名補充時の脚質暫定値。パリ〜ルーベ／ロンド個人成績の追加照合が必要</x:v>
      </x:c>
      <x:c r="K247" s="91" t="str">
        <x:v>https://www.paris-roubaix.fr/en/history</x:v>
      </x:c>
      <x:c r="L247" s="91" t="str"/>
      <x:c r="M247" s="91" t="str">
        <x:v>能力・適性・Credit整合済</x:v>
      </x:c>
    </x:row>
    <x:row r="248" ht="24" customHeight="1">
      <x:c r="A248" s="82" t="n">
        <x:v>244</x:v>
      </x:c>
      <x:c r="B248" s="82" t="str">
        <x:v>Jenno Berckmoes</x:v>
      </x:c>
      <x:c r="C248" s="85" t="n">
        <x:v>73</x:v>
      </x:c>
      <x:c r="D248" s="85" t="n">
        <x:v>0</x:v>
      </x:c>
      <x:c r="E248" s="85" t="n">
        <x:v>0</x:v>
      </x:c>
      <x:c r="F248" s="85" t="n">
        <x:v>0</x:v>
      </x:c>
      <x:c r="G248" s="85" t="n">
        <x:v>0</x:v>
      </x:c>
      <x:c r="H248" s="85" t="n">
        <x:v>0</x:v>
      </x:c>
      <x:c r="I248" s="91" t="str">
        <x:v>要実績照合</x:v>
      </x:c>
      <x:c r="J248" s="91" t="str">
        <x:v>現役300名補充時の脚質暫定値。パリ〜ルーベ／ロンド個人成績の追加照合が必要</x:v>
      </x:c>
      <x:c r="K248" s="91" t="str">
        <x:v>https://www.paris-roubaix.fr/en/history</x:v>
      </x:c>
      <x:c r="L248" s="91" t="str"/>
      <x:c r="M248" s="91" t="str">
        <x:v>能力・適性・Credit整合済</x:v>
      </x:c>
    </x:row>
    <x:row r="249" ht="24" customHeight="1">
      <x:c r="A249" s="82" t="n">
        <x:v>245</x:v>
      </x:c>
      <x:c r="B249" s="82" t="str">
        <x:v>Jakob Söderqvist</x:v>
      </x:c>
      <x:c r="C249" s="85" t="n">
        <x:v>55</x:v>
      </x:c>
      <x:c r="D249" s="85" t="n">
        <x:v>0</x:v>
      </x:c>
      <x:c r="E249" s="85" t="n">
        <x:v>0</x:v>
      </x:c>
      <x:c r="F249" s="85" t="n">
        <x:v>0</x:v>
      </x:c>
      <x:c r="G249" s="85" t="n">
        <x:v>0</x:v>
      </x:c>
      <x:c r="H249" s="85" t="n">
        <x:v>0</x:v>
      </x:c>
      <x:c r="I249" s="91" t="str">
        <x:v>要実績照合</x:v>
      </x:c>
      <x:c r="J249" s="91" t="str">
        <x:v>現役300名補充時の脚質暫定値。パリ〜ルーベ／ロンド個人成績の追加照合が必要</x:v>
      </x:c>
      <x:c r="K249" s="91" t="str">
        <x:v>https://www.paris-roubaix.fr/en/history</x:v>
      </x:c>
      <x:c r="L249" s="91" t="str"/>
      <x:c r="M249" s="91" t="str">
        <x:v>能力・適性・Credit整合済</x:v>
      </x:c>
    </x:row>
    <x:row r="250" ht="24" customHeight="1">
      <x:c r="A250" s="82" t="n">
        <x:v>246</x:v>
      </x:c>
      <x:c r="B250" s="82" t="str">
        <x:v>Johannes Kulset</x:v>
      </x:c>
      <x:c r="C250" s="85" t="n">
        <x:v>50</x:v>
      </x:c>
      <x:c r="D250" s="85" t="n">
        <x:v>0</x:v>
      </x:c>
      <x:c r="E250" s="85" t="n">
        <x:v>0</x:v>
      </x:c>
      <x:c r="F250" s="85" t="n">
        <x:v>0</x:v>
      </x:c>
      <x:c r="G250" s="85" t="n">
        <x:v>0</x:v>
      </x:c>
      <x:c r="H250" s="85" t="n">
        <x:v>0</x:v>
      </x:c>
      <x:c r="I250" s="91" t="str">
        <x:v>要実績照合</x:v>
      </x:c>
      <x:c r="J250" s="91" t="str">
        <x:v>現役300名補充時の脚質暫定値。パリ〜ルーベ／ロンド個人成績の追加照合が必要</x:v>
      </x:c>
      <x:c r="K250" s="91" t="str">
        <x:v>https://www.paris-roubaix.fr/en/history</x:v>
      </x:c>
      <x:c r="L250" s="91" t="str"/>
      <x:c r="M250" s="91" t="str">
        <x:v>能力・適性・Credit整合済</x:v>
      </x:c>
    </x:row>
    <x:row r="251" ht="24" customHeight="1">
      <x:c r="A251" s="82" t="n">
        <x:v>247</x:v>
      </x:c>
      <x:c r="B251" s="82" t="str">
        <x:v>Archie Ryan (cyclist)</x:v>
      </x:c>
      <x:c r="C251" s="85" t="n">
        <x:v>53</x:v>
      </x:c>
      <x:c r="D251" s="85" t="n">
        <x:v>0</x:v>
      </x:c>
      <x:c r="E251" s="85" t="n">
        <x:v>0</x:v>
      </x:c>
      <x:c r="F251" s="85" t="n">
        <x:v>0</x:v>
      </x:c>
      <x:c r="G251" s="85" t="n">
        <x:v>0</x:v>
      </x:c>
      <x:c r="H251" s="85" t="n">
        <x:v>0</x:v>
      </x:c>
      <x:c r="I251" s="91" t="str">
        <x:v>要実績照合</x:v>
      </x:c>
      <x:c r="J251" s="91" t="str">
        <x:v>現役300名補充時の脚質暫定値。パリ〜ルーベ／ロンド個人成績の追加照合が必要</x:v>
      </x:c>
      <x:c r="K251" s="91" t="str">
        <x:v>https://www.paris-roubaix.fr/en/history</x:v>
      </x:c>
      <x:c r="L251" s="91" t="str"/>
      <x:c r="M251" s="91" t="str">
        <x:v>能力・適性・Credit整合済</x:v>
      </x:c>
    </x:row>
    <x:row r="252" ht="24" customHeight="1">
      <x:c r="A252" s="82" t="n">
        <x:v>248</x:v>
      </x:c>
      <x:c r="B252" s="82" t="str">
        <x:v>Josh Kench</x:v>
      </x:c>
      <x:c r="C252" s="85" t="n">
        <x:v>65</x:v>
      </x:c>
      <x:c r="D252" s="85" t="n">
        <x:v>0</x:v>
      </x:c>
      <x:c r="E252" s="85" t="n">
        <x:v>0</x:v>
      </x:c>
      <x:c r="F252" s="85" t="n">
        <x:v>0</x:v>
      </x:c>
      <x:c r="G252" s="85" t="n">
        <x:v>0</x:v>
      </x:c>
      <x:c r="H252" s="85" t="n">
        <x:v>0</x:v>
      </x:c>
      <x:c r="I252" s="91" t="str">
        <x:v>要実績照合</x:v>
      </x:c>
      <x:c r="J252" s="91" t="str">
        <x:v>現役300名補充時の脚質暫定値。パリ〜ルーベ／ロンド個人成績の追加照合が必要</x:v>
      </x:c>
      <x:c r="K252" s="91" t="str">
        <x:v>https://www.paris-roubaix.fr/en/history</x:v>
      </x:c>
      <x:c r="L252" s="91" t="str"/>
      <x:c r="M252" s="91" t="str">
        <x:v>能力・適性・Credit整合済</x:v>
      </x:c>
    </x:row>
    <x:row r="253" ht="24" customHeight="1">
      <x:c r="A253" s="82" t="n">
        <x:v>249</x:v>
      </x:c>
      <x:c r="B253" s="82" t="str">
        <x:v>Floris Van Tricht</x:v>
      </x:c>
      <x:c r="C253" s="85" t="n">
        <x:v>53</x:v>
      </x:c>
      <x:c r="D253" s="85" t="n">
        <x:v>0</x:v>
      </x:c>
      <x:c r="E253" s="85" t="n">
        <x:v>0</x:v>
      </x:c>
      <x:c r="F253" s="85" t="n">
        <x:v>0</x:v>
      </x:c>
      <x:c r="G253" s="85" t="n">
        <x:v>0</x:v>
      </x:c>
      <x:c r="H253" s="85" t="n">
        <x:v>0</x:v>
      </x:c>
      <x:c r="I253" s="91" t="str">
        <x:v>要実績照合</x:v>
      </x:c>
      <x:c r="J253" s="91" t="str">
        <x:v>現役300名補充時の脚質暫定値。パリ〜ルーベ／ロンド個人成績の追加照合が必要</x:v>
      </x:c>
      <x:c r="K253" s="91" t="str">
        <x:v>https://www.paris-roubaix.fr/en/history</x:v>
      </x:c>
      <x:c r="L253" s="91" t="str"/>
      <x:c r="M253" s="91" t="str">
        <x:v>能力・適性・Credit整合済</x:v>
      </x:c>
    </x:row>
    <x:row r="254" ht="24" customHeight="1">
      <x:c r="A254" s="82" t="n">
        <x:v>250</x:v>
      </x:c>
      <x:c r="B254" s="82" t="str">
        <x:v>Bart Lemmen</x:v>
      </x:c>
      <x:c r="C254" s="85" t="n">
        <x:v>55</x:v>
      </x:c>
      <x:c r="D254" s="85" t="n">
        <x:v>0</x:v>
      </x:c>
      <x:c r="E254" s="85" t="n">
        <x:v>0</x:v>
      </x:c>
      <x:c r="F254" s="85" t="n">
        <x:v>0</x:v>
      </x:c>
      <x:c r="G254" s="85" t="n">
        <x:v>0</x:v>
      </x:c>
      <x:c r="H254" s="85" t="n">
        <x:v>0</x:v>
      </x:c>
      <x:c r="I254" s="91" t="str">
        <x:v>要実績照合</x:v>
      </x:c>
      <x:c r="J254" s="91" t="str">
        <x:v>現役300名補充時の脚質暫定値。パリ〜ルーベ／ロンド個人成績の追加照合が必要</x:v>
      </x:c>
      <x:c r="K254" s="91" t="str">
        <x:v>https://www.paris-roubaix.fr/en/history</x:v>
      </x:c>
      <x:c r="L254" s="91" t="str"/>
      <x:c r="M254" s="91" t="str">
        <x:v>能力・適性・Credit整合済</x:v>
      </x:c>
    </x:row>
    <x:row r="255" ht="24" customHeight="1">
      <x:c r="A255" s="82" t="n">
        <x:v>251</x:v>
      </x:c>
      <x:c r="B255" s="82" t="str">
        <x:v>Davide Piganzoli</x:v>
      </x:c>
      <x:c r="C255" s="85" t="n">
        <x:v>61</x:v>
      </x:c>
      <x:c r="D255" s="85" t="n">
        <x:v>0</x:v>
      </x:c>
      <x:c r="E255" s="85" t="n">
        <x:v>0</x:v>
      </x:c>
      <x:c r="F255" s="85" t="n">
        <x:v>0</x:v>
      </x:c>
      <x:c r="G255" s="85" t="n">
        <x:v>0</x:v>
      </x:c>
      <x:c r="H255" s="85" t="n">
        <x:v>0</x:v>
      </x:c>
      <x:c r="I255" s="91" t="str">
        <x:v>要実績照合</x:v>
      </x:c>
      <x:c r="J255" s="91" t="str">
        <x:v>現役300名補充時の脚質暫定値。パリ〜ルーベ／ロンド個人成績の追加照合が必要</x:v>
      </x:c>
      <x:c r="K255" s="91" t="str">
        <x:v>https://www.paris-roubaix.fr/en/history</x:v>
      </x:c>
      <x:c r="L255" s="91" t="str"/>
      <x:c r="M255" s="91" t="str">
        <x:v>能力・適性・Credit整合済</x:v>
      </x:c>
    </x:row>
    <x:row r="256" ht="24" customHeight="1">
      <x:c r="A256" s="82" t="n">
        <x:v>252</x:v>
      </x:c>
      <x:c r="B256" s="82" t="str">
        <x:v>Harold Martín López</x:v>
      </x:c>
      <x:c r="C256" s="85" t="n">
        <x:v>52</x:v>
      </x:c>
      <x:c r="D256" s="85" t="n">
        <x:v>0</x:v>
      </x:c>
      <x:c r="E256" s="85" t="n">
        <x:v>0</x:v>
      </x:c>
      <x:c r="F256" s="85" t="n">
        <x:v>0</x:v>
      </x:c>
      <x:c r="G256" s="85" t="n">
        <x:v>0</x:v>
      </x:c>
      <x:c r="H256" s="85" t="n">
        <x:v>0</x:v>
      </x:c>
      <x:c r="I256" s="91" t="str">
        <x:v>要実績照合</x:v>
      </x:c>
      <x:c r="J256" s="91" t="str">
        <x:v>現役300名補充時の脚質暫定値。パリ〜ルーベ／ロンド個人成績の追加照合が必要</x:v>
      </x:c>
      <x:c r="K256" s="91" t="str">
        <x:v>https://www.paris-roubaix.fr/en/history</x:v>
      </x:c>
      <x:c r="L256" s="91" t="str"/>
      <x:c r="M256" s="91" t="str">
        <x:v>能力・適性・Credit整合済</x:v>
      </x:c>
    </x:row>
    <x:row r="257" ht="24" customHeight="1">
      <x:c r="A257" s="82" t="n">
        <x:v>253</x:v>
      </x:c>
      <x:c r="B257" s="82" t="str">
        <x:v>Henri-François Renard-Haquin</x:v>
      </x:c>
      <x:c r="C257" s="85" t="n">
        <x:v>66</x:v>
      </x:c>
      <x:c r="D257" s="85" t="n">
        <x:v>0</x:v>
      </x:c>
      <x:c r="E257" s="85" t="n">
        <x:v>0</x:v>
      </x:c>
      <x:c r="F257" s="85" t="n">
        <x:v>0</x:v>
      </x:c>
      <x:c r="G257" s="85" t="n">
        <x:v>0</x:v>
      </x:c>
      <x:c r="H257" s="85" t="n">
        <x:v>0</x:v>
      </x:c>
      <x:c r="I257" s="91" t="str">
        <x:v>要実績照合</x:v>
      </x:c>
      <x:c r="J257" s="91" t="str">
        <x:v>現役300名補充時の脚質暫定値。パリ〜ルーベ／ロンド個人成績の追加照合が必要</x:v>
      </x:c>
      <x:c r="K257" s="91" t="str">
        <x:v>https://www.paris-roubaix.fr/en/history</x:v>
      </x:c>
      <x:c r="L257" s="91" t="str"/>
      <x:c r="M257" s="91" t="str">
        <x:v>能力・適性・Credit整合済</x:v>
      </x:c>
    </x:row>
    <x:row r="258" ht="24" customHeight="1">
      <x:c r="A258" s="82" t="n">
        <x:v>254</x:v>
      </x:c>
      <x:c r="B258" s="82" t="str">
        <x:v>Lennert Belmans</x:v>
      </x:c>
      <x:c r="C258" s="85" t="n">
        <x:v>71</x:v>
      </x:c>
      <x:c r="D258" s="85" t="n">
        <x:v>0</x:v>
      </x:c>
      <x:c r="E258" s="85" t="n">
        <x:v>0</x:v>
      </x:c>
      <x:c r="F258" s="85" t="n">
        <x:v>0</x:v>
      </x:c>
      <x:c r="G258" s="85" t="n">
        <x:v>0</x:v>
      </x:c>
      <x:c r="H258" s="85" t="n">
        <x:v>0</x:v>
      </x:c>
      <x:c r="I258" s="91" t="str">
        <x:v>要実績照合</x:v>
      </x:c>
      <x:c r="J258" s="91" t="str">
        <x:v>現役300名補充時の脚質暫定値。パリ〜ルーベ／ロンド個人成績の追加照合が必要</x:v>
      </x:c>
      <x:c r="K258" s="91" t="str">
        <x:v>https://www.paris-roubaix.fr/en/history</x:v>
      </x:c>
      <x:c r="L258" s="91" t="str"/>
      <x:c r="M258" s="91" t="str">
        <x:v>能力・適性・Credit整合済</x:v>
      </x:c>
    </x:row>
    <x:row r="259" ht="24" customHeight="1">
      <x:c r="A259" s="82" t="n">
        <x:v>255</x:v>
      </x:c>
      <x:c r="B259" s="82" t="str">
        <x:v>Bastien Tronchon</x:v>
      </x:c>
      <x:c r="C259" s="85" t="n">
        <x:v>56</x:v>
      </x:c>
      <x:c r="D259" s="85" t="n">
        <x:v>0</x:v>
      </x:c>
      <x:c r="E259" s="85" t="n">
        <x:v>0</x:v>
      </x:c>
      <x:c r="F259" s="85" t="n">
        <x:v>0</x:v>
      </x:c>
      <x:c r="G259" s="85" t="n">
        <x:v>0</x:v>
      </x:c>
      <x:c r="H259" s="85" t="n">
        <x:v>0</x:v>
      </x:c>
      <x:c r="I259" s="91" t="str">
        <x:v>要実績照合</x:v>
      </x:c>
      <x:c r="J259" s="91" t="str">
        <x:v>現役300名補充時の脚質暫定値。パリ〜ルーベ／ロンド個人成績の追加照合が必要</x:v>
      </x:c>
      <x:c r="K259" s="91" t="str">
        <x:v>https://www.paris-roubaix.fr/en/history</x:v>
      </x:c>
      <x:c r="L259" s="91" t="str"/>
      <x:c r="M259" s="91" t="str">
        <x:v>能力・適性・Credit整合済</x:v>
      </x:c>
    </x:row>
    <x:row r="260" ht="24" customHeight="1">
      <x:c r="A260" s="82" t="n">
        <x:v>256</x:v>
      </x:c>
      <x:c r="B260" s="82" t="str">
        <x:v>Laurens De Plus</x:v>
      </x:c>
      <x:c r="C260" s="85" t="n">
        <x:v>50</x:v>
      </x:c>
      <x:c r="D260" s="85" t="n">
        <x:v>0</x:v>
      </x:c>
      <x:c r="E260" s="85" t="n">
        <x:v>0</x:v>
      </x:c>
      <x:c r="F260" s="85" t="n">
        <x:v>0</x:v>
      </x:c>
      <x:c r="G260" s="85" t="n">
        <x:v>0</x:v>
      </x:c>
      <x:c r="H260" s="85" t="n">
        <x:v>0</x:v>
      </x:c>
      <x:c r="I260" s="91" t="str">
        <x:v>要出走確認</x:v>
      </x:c>
      <x:c r="J260" s="91" t="str">
        <x:v>1960〜2026完走順位との一致なし。未出走または表記差を要確認</x:v>
      </x:c>
      <x:c r="K260" s="91" t="str">
        <x:v>https://bikeraceinfo.com/classics/paris-roubaix/paris-roubaix-index.html</x:v>
      </x:c>
      <x:c r="L260" s="91" t="str"/>
      <x:c r="M260" s="91" t="str">
        <x:v>能力・適性・Credit整合済</x:v>
      </x:c>
    </x:row>
    <x:row r="261" ht="24" customHeight="1">
      <x:c r="A261" s="82" t="n">
        <x:v>257</x:v>
      </x:c>
      <x:c r="B261" s="82" t="str">
        <x:v>Alessandro Covi</x:v>
      </x:c>
      <x:c r="C261" s="85" t="n">
        <x:v>55</x:v>
      </x:c>
      <x:c r="D261" s="85" t="n">
        <x:v>0</x:v>
      </x:c>
      <x:c r="E261" s="85" t="n">
        <x:v>0</x:v>
      </x:c>
      <x:c r="F261" s="85" t="n">
        <x:v>0</x:v>
      </x:c>
      <x:c r="G261" s="85" t="n">
        <x:v>0</x:v>
      </x:c>
      <x:c r="H261" s="85" t="n">
        <x:v>0</x:v>
      </x:c>
      <x:c r="I261" s="91" t="str">
        <x:v>要実績照合</x:v>
      </x:c>
      <x:c r="J261" s="91" t="str">
        <x:v>現役300名補充時の脚質暫定値。パリ〜ルーベ／ロンド個人成績の追加照合が必要</x:v>
      </x:c>
      <x:c r="K261" s="91" t="str">
        <x:v>https://www.paris-roubaix.fr/en/history</x:v>
      </x:c>
      <x:c r="L261" s="91" t="str"/>
      <x:c r="M261" s="91" t="str">
        <x:v>能力・適性・Credit整合済</x:v>
      </x:c>
    </x:row>
    <x:row r="262" ht="24" customHeight="1">
      <x:c r="A262" s="82" t="n">
        <x:v>258</x:v>
      </x:c>
      <x:c r="B262" s="82" t="str">
        <x:v>Darren van Bekkum</x:v>
      </x:c>
      <x:c r="C262" s="85" t="n">
        <x:v>54</x:v>
      </x:c>
      <x:c r="D262" s="85" t="n">
        <x:v>0</x:v>
      </x:c>
      <x:c r="E262" s="85" t="n">
        <x:v>0</x:v>
      </x:c>
      <x:c r="F262" s="85" t="n">
        <x:v>0</x:v>
      </x:c>
      <x:c r="G262" s="85" t="n">
        <x:v>0</x:v>
      </x:c>
      <x:c r="H262" s="85" t="n">
        <x:v>0</x:v>
      </x:c>
      <x:c r="I262" s="91" t="str">
        <x:v>要実績照合</x:v>
      </x:c>
      <x:c r="J262" s="91" t="str">
        <x:v>現役300名補充時の脚質暫定値。パリ〜ルーベ／ロンド個人成績の追加照合が必要</x:v>
      </x:c>
      <x:c r="K262" s="91" t="str">
        <x:v>https://www.paris-roubaix.fr/en/history</x:v>
      </x:c>
      <x:c r="L262" s="91" t="str"/>
      <x:c r="M262" s="91" t="str">
        <x:v>能力・適性・Credit整合済</x:v>
      </x:c>
    </x:row>
    <x:row r="263" ht="24" customHeight="1">
      <x:c r="A263" s="82" t="n">
        <x:v>259</x:v>
      </x:c>
      <x:c r="B263" s="82" t="str">
        <x:v>Anton Kuzmin</x:v>
      </x:c>
      <x:c r="C263" s="85" t="n">
        <x:v>53</x:v>
      </x:c>
      <x:c r="D263" s="85" t="n">
        <x:v>0</x:v>
      </x:c>
      <x:c r="E263" s="85" t="n">
        <x:v>0</x:v>
      </x:c>
      <x:c r="F263" s="85" t="n">
        <x:v>0</x:v>
      </x:c>
      <x:c r="G263" s="85" t="n">
        <x:v>0</x:v>
      </x:c>
      <x:c r="H263" s="85" t="n">
        <x:v>0</x:v>
      </x:c>
      <x:c r="I263" s="91" t="str">
        <x:v>要実績照合</x:v>
      </x:c>
      <x:c r="J263" s="91" t="str">
        <x:v>現役300名補充時の脚質暫定値。パリ〜ルーベ／ロンド個人成績の追加照合が必要</x:v>
      </x:c>
      <x:c r="K263" s="91" t="str">
        <x:v>https://www.paris-roubaix.fr/en/history</x:v>
      </x:c>
      <x:c r="L263" s="91" t="str"/>
      <x:c r="M263" s="91" t="str">
        <x:v>能力・適性・Credit整合済</x:v>
      </x:c>
    </x:row>
    <x:row r="264" ht="24" customHeight="1">
      <x:c r="A264" s="82" t="n">
        <x:v>260</x:v>
      </x:c>
      <x:c r="B264" s="82" t="str">
        <x:v>Alessandro Borgo</x:v>
      </x:c>
      <x:c r="C264" s="85" t="n">
        <x:v>54</x:v>
      </x:c>
      <x:c r="D264" s="85" t="n">
        <x:v>0</x:v>
      </x:c>
      <x:c r="E264" s="85" t="n">
        <x:v>0</x:v>
      </x:c>
      <x:c r="F264" s="85" t="n">
        <x:v>0</x:v>
      </x:c>
      <x:c r="G264" s="85" t="n">
        <x:v>0</x:v>
      </x:c>
      <x:c r="H264" s="85" t="n">
        <x:v>0</x:v>
      </x:c>
      <x:c r="I264" s="91" t="str">
        <x:v>要実績照合</x:v>
      </x:c>
      <x:c r="J264" s="91" t="str">
        <x:v>現役300名補充時の脚質暫定値。パリ〜ルーベ／ロンド個人成績の追加照合が必要</x:v>
      </x:c>
      <x:c r="K264" s="91" t="str">
        <x:v>https://www.paris-roubaix.fr/en/history</x:v>
      </x:c>
      <x:c r="L264" s="91" t="str"/>
      <x:c r="M264" s="91" t="str">
        <x:v>能力・適性・Credit整合済</x:v>
      </x:c>
    </x:row>
    <x:row r="265" ht="24" customHeight="1">
      <x:c r="A265" s="82" t="n">
        <x:v>261</x:v>
      </x:c>
      <x:c r="B265" s="82" t="str">
        <x:v>Luke Plapp</x:v>
      </x:c>
      <x:c r="C265" s="85" t="n">
        <x:v>50</x:v>
      </x:c>
      <x:c r="D265" s="85" t="n">
        <x:v>0</x:v>
      </x:c>
      <x:c r="E265" s="85" t="n">
        <x:v>0</x:v>
      </x:c>
      <x:c r="F265" s="85" t="n">
        <x:v>0</x:v>
      </x:c>
      <x:c r="G265" s="85" t="n">
        <x:v>0</x:v>
      </x:c>
      <x:c r="H265" s="85" t="n">
        <x:v>0</x:v>
      </x:c>
      <x:c r="I265" s="91" t="str">
        <x:v>要出走確認</x:v>
      </x:c>
      <x:c r="J265" s="91" t="str">
        <x:v>1960〜2026完走順位との一致なし。未出走または表記差を要確認</x:v>
      </x:c>
      <x:c r="K265" s="91" t="str">
        <x:v>https://bikeraceinfo.com/classics/paris-roubaix/paris-roubaix-index.html</x:v>
      </x:c>
      <x:c r="L265" s="91" t="str"/>
      <x:c r="M265" s="91" t="str">
        <x:v>能力・適性・Credit整合済</x:v>
      </x:c>
    </x:row>
    <x:row r="266" ht="24" customHeight="1">
      <x:c r="A266" s="82" t="n">
        <x:v>262</x:v>
      </x:c>
      <x:c r="B266" s="82" t="str">
        <x:v>Adam Yates</x:v>
      </x:c>
      <x:c r="C266" s="85" t="n">
        <x:v>50</x:v>
      </x:c>
      <x:c r="D266" s="85" t="n">
        <x:v>0</x:v>
      </x:c>
      <x:c r="E266" s="85" t="n">
        <x:v>0</x:v>
      </x:c>
      <x:c r="F266" s="85" t="n">
        <x:v>0</x:v>
      </x:c>
      <x:c r="G266" s="85" t="n">
        <x:v>0</x:v>
      </x:c>
      <x:c r="H266" s="85" t="n">
        <x:v>0</x:v>
      </x:c>
      <x:c r="I266" s="91" t="str">
        <x:v>要出走確認</x:v>
      </x:c>
      <x:c r="J266" s="91" t="str">
        <x:v>1960〜2026完走順位との一致なし。未出走または表記差を要確認</x:v>
      </x:c>
      <x:c r="K266" s="91" t="str">
        <x:v>https://bikeraceinfo.com/classics/paris-roubaix/paris-roubaix-index.html</x:v>
      </x:c>
      <x:c r="L266" s="91" t="str"/>
      <x:c r="M266" s="91" t="str">
        <x:v>能力・適性・Credit整合済</x:v>
      </x:c>
    </x:row>
    <x:row r="267" ht="24" customHeight="1">
      <x:c r="A267" s="82" t="n">
        <x:v>263</x:v>
      </x:c>
      <x:c r="B267" s="82" t="str">
        <x:v>Anders Halland Johannessen</x:v>
      </x:c>
      <x:c r="C267" s="85" t="n">
        <x:v>51</x:v>
      </x:c>
      <x:c r="D267" s="85" t="n">
        <x:v>0</x:v>
      </x:c>
      <x:c r="E267" s="85" t="n">
        <x:v>0</x:v>
      </x:c>
      <x:c r="F267" s="85" t="n">
        <x:v>0</x:v>
      </x:c>
      <x:c r="G267" s="85" t="n">
        <x:v>0</x:v>
      </x:c>
      <x:c r="H267" s="85" t="n">
        <x:v>0</x:v>
      </x:c>
      <x:c r="I267" s="91" t="str">
        <x:v>要実績照合</x:v>
      </x:c>
      <x:c r="J267" s="91" t="str">
        <x:v>現役300名補充時の脚質暫定値。パリ〜ルーベ／ロンド個人成績の追加照合が必要</x:v>
      </x:c>
      <x:c r="K267" s="91" t="str">
        <x:v>https://www.paris-roubaix.fr/en/history</x:v>
      </x:c>
      <x:c r="L267" s="91" t="str"/>
      <x:c r="M267" s="91" t="str">
        <x:v>能力・適性・Credit整合済</x:v>
      </x:c>
    </x:row>
    <x:row r="268" ht="24" customHeight="1">
      <x:c r="A268" s="82" t="n">
        <x:v>264</x:v>
      </x:c>
      <x:c r="B268" s="82" t="str">
        <x:v>Tobias Foss</x:v>
      </x:c>
      <x:c r="C268" s="85" t="n">
        <x:v>50</x:v>
      </x:c>
      <x:c r="D268" s="85" t="n">
        <x:v>0</x:v>
      </x:c>
      <x:c r="E268" s="85" t="n">
        <x:v>0</x:v>
      </x:c>
      <x:c r="F268" s="85" t="n">
        <x:v>0</x:v>
      </x:c>
      <x:c r="G268" s="85" t="n">
        <x:v>0</x:v>
      </x:c>
      <x:c r="H268" s="85" t="n">
        <x:v>0</x:v>
      </x:c>
      <x:c r="I268" s="91" t="str">
        <x:v>要出走確認</x:v>
      </x:c>
      <x:c r="J268" s="91" t="str">
        <x:v>1960〜2026完走順位との一致なし。未出走または表記差を要確認</x:v>
      </x:c>
      <x:c r="K268" s="91" t="str">
        <x:v>https://bikeraceinfo.com/classics/paris-roubaix/paris-roubaix-index.html</x:v>
      </x:c>
      <x:c r="L268" s="91" t="str"/>
      <x:c r="M268" s="91" t="str">
        <x:v>能力・適性・Credit整合済</x:v>
      </x:c>
    </x:row>
    <x:row r="269" ht="24" customHeight="1">
      <x:c r="A269" s="82" t="n">
        <x:v>265</x:v>
      </x:c>
      <x:c r="B269" s="82" t="str">
        <x:v>Damiano Caruso</x:v>
      </x:c>
      <x:c r="C269" s="85" t="n">
        <x:v>50</x:v>
      </x:c>
      <x:c r="D269" s="85" t="n">
        <x:v>0</x:v>
      </x:c>
      <x:c r="E269" s="85" t="n">
        <x:v>0</x:v>
      </x:c>
      <x:c r="F269" s="85" t="n">
        <x:v>0</x:v>
      </x:c>
      <x:c r="G269" s="85" t="n">
        <x:v>0</x:v>
      </x:c>
      <x:c r="H269" s="85" t="n">
        <x:v>0</x:v>
      </x:c>
      <x:c r="I269" s="91" t="str">
        <x:v>要出走確認</x:v>
      </x:c>
      <x:c r="J269" s="91" t="str">
        <x:v>1960〜2026完走順位との一致なし。未出走または表記差を要確認</x:v>
      </x:c>
      <x:c r="K269" s="91" t="str">
        <x:v>https://bikeraceinfo.com/classics/paris-roubaix/paris-roubaix-index.html</x:v>
      </x:c>
      <x:c r="L269" s="91" t="str"/>
      <x:c r="M269" s="91" t="str">
        <x:v>能力・適性・Credit整合済</x:v>
      </x:c>
    </x:row>
    <x:row r="270" ht="24" customHeight="1">
      <x:c r="A270" s="82" t="n">
        <x:v>266</x:v>
      </x:c>
      <x:c r="B270" s="82" t="str">
        <x:v>Carlos Verona</x:v>
      </x:c>
      <x:c r="C270" s="85" t="n">
        <x:v>50</x:v>
      </x:c>
      <x:c r="D270" s="85" t="n">
        <x:v>0</x:v>
      </x:c>
      <x:c r="E270" s="85" t="n">
        <x:v>0</x:v>
      </x:c>
      <x:c r="F270" s="85" t="n">
        <x:v>0</x:v>
      </x:c>
      <x:c r="G270" s="85" t="n">
        <x:v>0</x:v>
      </x:c>
      <x:c r="H270" s="85" t="n">
        <x:v>0</x:v>
      </x:c>
      <x:c r="I270" s="91" t="str">
        <x:v>要出走確認</x:v>
      </x:c>
      <x:c r="J270" s="91" t="str">
        <x:v>1960〜2026完走順位との一致なし。未出走または表記差を要確認</x:v>
      </x:c>
      <x:c r="K270" s="91" t="str">
        <x:v>https://bikeraceinfo.com/classics/paris-roubaix/paris-roubaix-index.html</x:v>
      </x:c>
      <x:c r="L270" s="91" t="str"/>
      <x:c r="M270" s="91" t="str">
        <x:v>能力・適性・Credit整合済</x:v>
      </x:c>
    </x:row>
    <x:row r="271" ht="24" customHeight="1">
      <x:c r="A271" s="82" t="n">
        <x:v>267</x:v>
      </x:c>
      <x:c r="B271" s="82" t="str">
        <x:v>Mike Teunissen</x:v>
      </x:c>
      <x:c r="C271" s="85" t="n">
        <x:v>77</x:v>
      </x:c>
      <x:c r="D271" s="85" t="n">
        <x:v>7</x:v>
      </x:c>
      <x:c r="E271" s="85" t="n">
        <x:v>3</x:v>
      </x:c>
      <x:c r="F271" s="85" t="n">
        <x:v>2</x:v>
      </x:c>
      <x:c r="G271" s="85" t="n">
        <x:v>0</x:v>
      </x:c>
      <x:c r="H271" s="85" t="n">
        <x:v>0</x:v>
      </x:c>
      <x:c r="I271" s="91" t="str">
        <x:v>結果照合済</x:v>
      </x:c>
      <x:c r="J271" s="91" t="str">
        <x:v>最高7位 / 完走3回 / Top10 2回 / 優勝0回</x:v>
      </x:c>
      <x:c r="K271" s="91" t="str">
        <x:v>https://bikeraceinfo.com/classics/paris-roubaix/pr2019.html</x:v>
      </x:c>
      <x:c r="L271" s="91" t="str"/>
      <x:c r="M271" s="91" t="str">
        <x:v>能力・適性・Credit整合済</x:v>
      </x:c>
    </x:row>
    <x:row r="272" ht="24" customHeight="1">
      <x:c r="A272" s="82" t="n">
        <x:v>268</x:v>
      </x:c>
      <x:c r="B272" s="82" t="str">
        <x:v>Baptiste Veistroffer</x:v>
      </x:c>
      <x:c r="C272" s="85" t="n">
        <x:v>54</x:v>
      </x:c>
      <x:c r="D272" s="85" t="n">
        <x:v>0</x:v>
      </x:c>
      <x:c r="E272" s="85" t="n">
        <x:v>0</x:v>
      </x:c>
      <x:c r="F272" s="85" t="n">
        <x:v>0</x:v>
      </x:c>
      <x:c r="G272" s="85" t="n">
        <x:v>0</x:v>
      </x:c>
      <x:c r="H272" s="85" t="n">
        <x:v>0</x:v>
      </x:c>
      <x:c r="I272" s="91" t="str">
        <x:v>要実績照合</x:v>
      </x:c>
      <x:c r="J272" s="91" t="str">
        <x:v>現役300名補充時の脚質暫定値。パリ〜ルーベ／ロンド個人成績の追加照合が必要</x:v>
      </x:c>
      <x:c r="K272" s="91" t="str">
        <x:v>https://www.paris-roubaix.fr/en/history</x:v>
      </x:c>
      <x:c r="L272" s="91" t="str"/>
      <x:c r="M272" s="91" t="str">
        <x:v>能力・適性・Credit整合済</x:v>
      </x:c>
    </x:row>
    <x:row r="273" ht="24" customHeight="1">
      <x:c r="A273" s="82" t="n">
        <x:v>269</x:v>
      </x:c>
      <x:c r="B273" s="82" t="str">
        <x:v>Bob Jungels</x:v>
      </x:c>
      <x:c r="C273" s="85" t="n">
        <x:v>50</x:v>
      </x:c>
      <x:c r="D273" s="85" t="n">
        <x:v>0</x:v>
      </x:c>
      <x:c r="E273" s="85" t="n">
        <x:v>0</x:v>
      </x:c>
      <x:c r="F273" s="85" t="n">
        <x:v>0</x:v>
      </x:c>
      <x:c r="G273" s="85" t="n">
        <x:v>0</x:v>
      </x:c>
      <x:c r="H273" s="85" t="n">
        <x:v>0</x:v>
      </x:c>
      <x:c r="I273" s="91" t="str">
        <x:v>要出走確認</x:v>
      </x:c>
      <x:c r="J273" s="91" t="str">
        <x:v>1960〜2026完走順位との一致なし。未出走または表記差を要確認</x:v>
      </x:c>
      <x:c r="K273" s="91" t="str">
        <x:v>https://bikeraceinfo.com/classics/paris-roubaix/paris-roubaix-index.html</x:v>
      </x:c>
      <x:c r="L273" s="91" t="str"/>
      <x:c r="M273" s="91" t="str">
        <x:v>能力・適性・Credit整合済</x:v>
      </x:c>
    </x:row>
    <x:row r="274" ht="24" customHeight="1">
      <x:c r="A274" s="82" t="n">
        <x:v>270</x:v>
      </x:c>
      <x:c r="B274" s="82" t="str">
        <x:v>Santiago Buitrago</x:v>
      </x:c>
      <x:c r="C274" s="85" t="n">
        <x:v>50</x:v>
      </x:c>
      <x:c r="D274" s="85" t="n">
        <x:v>0</x:v>
      </x:c>
      <x:c r="E274" s="85" t="n">
        <x:v>0</x:v>
      </x:c>
      <x:c r="F274" s="85" t="n">
        <x:v>0</x:v>
      </x:c>
      <x:c r="G274" s="85" t="n">
        <x:v>0</x:v>
      </x:c>
      <x:c r="H274" s="85" t="n">
        <x:v>0</x:v>
      </x:c>
      <x:c r="I274" s="91" t="str">
        <x:v>要出走確認</x:v>
      </x:c>
      <x:c r="J274" s="91" t="str">
        <x:v>1960〜2026完走順位との一致なし。未出走または表記差を要確認</x:v>
      </x:c>
      <x:c r="K274" s="91" t="str">
        <x:v>https://bikeraceinfo.com/classics/paris-roubaix/paris-roubaix-index.html</x:v>
      </x:c>
      <x:c r="L274" s="91" t="str"/>
      <x:c r="M274" s="91" t="str">
        <x:v>能力・適性・Credit整合済</x:v>
      </x:c>
    </x:row>
    <x:row r="275" ht="24" customHeight="1">
      <x:c r="A275" s="82" t="n">
        <x:v>271</x:v>
      </x:c>
      <x:c r="B275" s="82" t="str">
        <x:v>Wilco Kelderman</x:v>
      </x:c>
      <x:c r="C275" s="85" t="n">
        <x:v>50</x:v>
      </x:c>
      <x:c r="D275" s="85" t="n">
        <x:v>0</x:v>
      </x:c>
      <x:c r="E275" s="85" t="n">
        <x:v>0</x:v>
      </x:c>
      <x:c r="F275" s="85" t="n">
        <x:v>0</x:v>
      </x:c>
      <x:c r="G275" s="85" t="n">
        <x:v>0</x:v>
      </x:c>
      <x:c r="H275" s="85" t="n">
        <x:v>0</x:v>
      </x:c>
      <x:c r="I275" s="91" t="str">
        <x:v>要出走確認</x:v>
      </x:c>
      <x:c r="J275" s="91" t="str">
        <x:v>1960〜2026完走順位との一致なし。未出走または表記差を要確認</x:v>
      </x:c>
      <x:c r="K275" s="91" t="str">
        <x:v>https://bikeraceinfo.com/classics/paris-roubaix/paris-roubaix-index.html</x:v>
      </x:c>
      <x:c r="L275" s="91" t="str"/>
      <x:c r="M275" s="91" t="str">
        <x:v>能力・適性・Credit整合済</x:v>
      </x:c>
    </x:row>
    <x:row r="276" ht="24" customHeight="1">
      <x:c r="A276" s="82" t="n">
        <x:v>272</x:v>
      </x:c>
      <x:c r="B276" s="82" t="str">
        <x:v>Thymen Arensman</x:v>
      </x:c>
      <x:c r="C276" s="85" t="n">
        <x:v>50</x:v>
      </x:c>
      <x:c r="D276" s="85" t="n">
        <x:v>0</x:v>
      </x:c>
      <x:c r="E276" s="85" t="n">
        <x:v>0</x:v>
      </x:c>
      <x:c r="F276" s="85" t="n">
        <x:v>0</x:v>
      </x:c>
      <x:c r="G276" s="85" t="n">
        <x:v>0</x:v>
      </x:c>
      <x:c r="H276" s="85" t="n">
        <x:v>0</x:v>
      </x:c>
      <x:c r="I276" s="91" t="str">
        <x:v>要出走確認</x:v>
      </x:c>
      <x:c r="J276" s="91" t="str">
        <x:v>1960〜2026完走順位との一致なし。未出走または表記差を要確認</x:v>
      </x:c>
      <x:c r="K276" s="91" t="str">
        <x:v>https://bikeraceinfo.com/classics/paris-roubaix/paris-roubaix-index.html</x:v>
      </x:c>
      <x:c r="L276" s="91" t="str"/>
      <x:c r="M276" s="91" t="str">
        <x:v>能力・適性・Credit整合済</x:v>
      </x:c>
    </x:row>
    <x:row r="277" ht="24" customHeight="1">
      <x:c r="A277" s="82" t="n">
        <x:v>273</x:v>
      </x:c>
      <x:c r="B277" s="82" t="str">
        <x:v>Taco van der Hoorn</x:v>
      </x:c>
      <x:c r="C277" s="85" t="n">
        <x:v>50</x:v>
      </x:c>
      <x:c r="D277" s="85" t="n">
        <x:v>0</x:v>
      </x:c>
      <x:c r="E277" s="85" t="n">
        <x:v>0</x:v>
      </x:c>
      <x:c r="F277" s="85" t="n">
        <x:v>0</x:v>
      </x:c>
      <x:c r="G277" s="85" t="n">
        <x:v>0</x:v>
      </x:c>
      <x:c r="H277" s="85" t="n">
        <x:v>0</x:v>
      </x:c>
      <x:c r="I277" s="91" t="str">
        <x:v>要出走確認</x:v>
      </x:c>
      <x:c r="J277" s="91" t="str">
        <x:v>1960〜2026完走順位との一致なし。未出走または表記差を要確認</x:v>
      </x:c>
      <x:c r="K277" s="91" t="str">
        <x:v>https://bikeraceinfo.com/classics/paris-roubaix/paris-roubaix-index.html</x:v>
      </x:c>
      <x:c r="L277" s="91" t="str"/>
      <x:c r="M277" s="91" t="str">
        <x:v>能力・適性・Credit整合済</x:v>
      </x:c>
    </x:row>
    <x:row r="278" ht="24" customHeight="1">
      <x:c r="A278" s="82" t="n">
        <x:v>274</x:v>
      </x:c>
      <x:c r="B278" s="82" t="str">
        <x:v>Jordan Labrosse</x:v>
      </x:c>
      <x:c r="C278" s="85" t="n">
        <x:v>57</x:v>
      </x:c>
      <x:c r="D278" s="85" t="n">
        <x:v>0</x:v>
      </x:c>
      <x:c r="E278" s="85" t="n">
        <x:v>0</x:v>
      </x:c>
      <x:c r="F278" s="85" t="n">
        <x:v>0</x:v>
      </x:c>
      <x:c r="G278" s="85" t="n">
        <x:v>0</x:v>
      </x:c>
      <x:c r="H278" s="85" t="n">
        <x:v>0</x:v>
      </x:c>
      <x:c r="I278" s="91" t="str">
        <x:v>要実績照合</x:v>
      </x:c>
      <x:c r="J278" s="91" t="str">
        <x:v>現役300名補充時の脚質暫定値。パリ〜ルーベ／ロンド個人成績の追加照合が必要</x:v>
      </x:c>
      <x:c r="K278" s="91" t="str">
        <x:v>https://www.paris-roubaix.fr/en/history</x:v>
      </x:c>
      <x:c r="L278" s="91" t="str"/>
      <x:c r="M278" s="91" t="str">
        <x:v>能力・適性・Credit整合済</x:v>
      </x:c>
    </x:row>
    <x:row r="279" ht="24" customHeight="1">
      <x:c r="A279" s="82" t="n">
        <x:v>275</x:v>
      </x:c>
      <x:c r="B279" s="82" t="str">
        <x:v>Tao Geoghegan Hart</x:v>
      </x:c>
      <x:c r="C279" s="85" t="n">
        <x:v>50</x:v>
      </x:c>
      <x:c r="D279" s="85" t="n">
        <x:v>0</x:v>
      </x:c>
      <x:c r="E279" s="85" t="n">
        <x:v>0</x:v>
      </x:c>
      <x:c r="F279" s="85" t="n">
        <x:v>0</x:v>
      </x:c>
      <x:c r="G279" s="85" t="n">
        <x:v>0</x:v>
      </x:c>
      <x:c r="H279" s="85" t="n">
        <x:v>0</x:v>
      </x:c>
      <x:c r="I279" s="91" t="str">
        <x:v>要出走確認</x:v>
      </x:c>
      <x:c r="J279" s="91" t="str">
        <x:v>1960〜2026完走順位との一致なし。未出走または表記差を要確認</x:v>
      </x:c>
      <x:c r="K279" s="91" t="str">
        <x:v>https://bikeraceinfo.com/classics/paris-roubaix/paris-roubaix-index.html</x:v>
      </x:c>
      <x:c r="L279" s="91" t="str"/>
      <x:c r="M279" s="91" t="str">
        <x:v>能力・適性・Credit整合済</x:v>
      </x:c>
    </x:row>
    <x:row r="280" ht="24" customHeight="1">
      <x:c r="A280" s="82" t="n">
        <x:v>276</x:v>
      </x:c>
      <x:c r="B280" s="82" t="str">
        <x:v>Remi Cavagna</x:v>
      </x:c>
      <x:c r="C280" s="85" t="n">
        <x:v>50</x:v>
      </x:c>
      <x:c r="D280" s="85" t="n">
        <x:v>0</x:v>
      </x:c>
      <x:c r="E280" s="85" t="n">
        <x:v>0</x:v>
      </x:c>
      <x:c r="F280" s="85" t="n">
        <x:v>0</x:v>
      </x:c>
      <x:c r="G280" s="85" t="n">
        <x:v>0</x:v>
      </x:c>
      <x:c r="H280" s="85" t="n">
        <x:v>0</x:v>
      </x:c>
      <x:c r="I280" s="91" t="str">
        <x:v>要出走確認</x:v>
      </x:c>
      <x:c r="J280" s="91" t="str">
        <x:v>1960〜2026完走順位との一致なし。未出走または表記差を要確認</x:v>
      </x:c>
      <x:c r="K280" s="91" t="str">
        <x:v>https://bikeraceinfo.com/classics/paris-roubaix/paris-roubaix-index.html</x:v>
      </x:c>
      <x:c r="L280" s="91" t="str"/>
      <x:c r="M280" s="91" t="str">
        <x:v>能力・適性・Credit整合済</x:v>
      </x:c>
    </x:row>
    <x:row r="281" ht="24" customHeight="1">
      <x:c r="A281" s="82" t="n">
        <x:v>277</x:v>
      </x:c>
      <x:c r="B281" s="82" t="str">
        <x:v>Brandon McNulty</x:v>
      </x:c>
      <x:c r="C281" s="85" t="n">
        <x:v>50</x:v>
      </x:c>
      <x:c r="D281" s="85" t="n">
        <x:v>0</x:v>
      </x:c>
      <x:c r="E281" s="85" t="n">
        <x:v>0</x:v>
      </x:c>
      <x:c r="F281" s="85" t="n">
        <x:v>0</x:v>
      </x:c>
      <x:c r="G281" s="85" t="n">
        <x:v>0</x:v>
      </x:c>
      <x:c r="H281" s="85" t="n">
        <x:v>0</x:v>
      </x:c>
      <x:c r="I281" s="91" t="str">
        <x:v>要出走確認</x:v>
      </x:c>
      <x:c r="J281" s="91" t="str">
        <x:v>1960〜2026完走順位との一致なし。未出走または表記差を要確認</x:v>
      </x:c>
      <x:c r="K281" s="91" t="str">
        <x:v>https://bikeraceinfo.com/classics/paris-roubaix/paris-roubaix-index.html</x:v>
      </x:c>
      <x:c r="L281" s="91" t="str"/>
      <x:c r="M281" s="91" t="str">
        <x:v>能力・適性・Credit整合済</x:v>
      </x:c>
    </x:row>
    <x:row r="282" ht="24" customHeight="1">
      <x:c r="A282" s="82" t="n">
        <x:v>278</x:v>
      </x:c>
      <x:c r="B282" s="82" t="str">
        <x:v>Luka Mezgec</x:v>
      </x:c>
      <x:c r="C282" s="85" t="n">
        <x:v>50</x:v>
      </x:c>
      <x:c r="D282" s="85" t="n">
        <x:v>0</x:v>
      </x:c>
      <x:c r="E282" s="85" t="n">
        <x:v>0</x:v>
      </x:c>
      <x:c r="F282" s="85" t="n">
        <x:v>0</x:v>
      </x:c>
      <x:c r="G282" s="85" t="n">
        <x:v>0</x:v>
      </x:c>
      <x:c r="H282" s="85" t="n">
        <x:v>0</x:v>
      </x:c>
      <x:c r="I282" s="91" t="str">
        <x:v>要出走確認</x:v>
      </x:c>
      <x:c r="J282" s="91" t="str">
        <x:v>1960〜2026完走順位との一致なし。未出走または表記差を要確認</x:v>
      </x:c>
      <x:c r="K282" s="91" t="str">
        <x:v>https://bikeraceinfo.com/classics/paris-roubaix/paris-roubaix-index.html</x:v>
      </x:c>
      <x:c r="L282" s="91" t="str"/>
      <x:c r="M282" s="91" t="str">
        <x:v>能力・適性・Credit整合済</x:v>
      </x:c>
    </x:row>
    <x:row r="283" ht="24" customHeight="1">
      <x:c r="A283" s="82" t="n">
        <x:v>279</x:v>
      </x:c>
      <x:c r="B283" s="82" t="str">
        <x:v>Pavel Sivakov</x:v>
      </x:c>
      <x:c r="C283" s="85" t="n">
        <x:v>50</x:v>
      </x:c>
      <x:c r="D283" s="85" t="n">
        <x:v>0</x:v>
      </x:c>
      <x:c r="E283" s="85" t="n">
        <x:v>0</x:v>
      </x:c>
      <x:c r="F283" s="85" t="n">
        <x:v>0</x:v>
      </x:c>
      <x:c r="G283" s="85" t="n">
        <x:v>0</x:v>
      </x:c>
      <x:c r="H283" s="85" t="n">
        <x:v>0</x:v>
      </x:c>
      <x:c r="I283" s="91" t="str">
        <x:v>要出走確認</x:v>
      </x:c>
      <x:c r="J283" s="91" t="str">
        <x:v>1960〜2026完走順位との一致なし。未出走または表記差を要確認</x:v>
      </x:c>
      <x:c r="K283" s="91" t="str">
        <x:v>https://bikeraceinfo.com/classics/paris-roubaix/paris-roubaix-index.html</x:v>
      </x:c>
      <x:c r="L283" s="91" t="str"/>
      <x:c r="M283" s="91" t="str">
        <x:v>能力・適性・Credit整合済</x:v>
      </x:c>
    </x:row>
    <x:row r="284" ht="24" customHeight="1">
      <x:c r="A284" s="82" t="n">
        <x:v>280</x:v>
      </x:c>
      <x:c r="B284" s="82" t="str">
        <x:v>Danny van Poppel</x:v>
      </x:c>
      <x:c r="C284" s="85" t="n">
        <x:v>69</x:v>
      </x:c>
      <x:c r="D284" s="85" t="n">
        <x:v>45</x:v>
      </x:c>
      <x:c r="E284" s="85" t="n">
        <x:v>1</x:v>
      </x:c>
      <x:c r="F284" s="85" t="n">
        <x:v>0</x:v>
      </x:c>
      <x:c r="G284" s="85" t="n">
        <x:v>0</x:v>
      </x:c>
      <x:c r="H284" s="85" t="n">
        <x:v>0</x:v>
      </x:c>
      <x:c r="I284" s="91" t="str">
        <x:v>結果照合済</x:v>
      </x:c>
      <x:c r="J284" s="91" t="str">
        <x:v>最高45位 / 完走1回 / Top10 0回 / 優勝0回</x:v>
      </x:c>
      <x:c r="K284" s="91" t="str">
        <x:v>https://bikeraceinfo.com/classics/paris-roubaix/pr2015.html</x:v>
      </x:c>
      <x:c r="L284" s="91" t="str"/>
      <x:c r="M284" s="91" t="str">
        <x:v>能力・適性・Credit整合済</x:v>
      </x:c>
    </x:row>
    <x:row r="285" ht="24" customHeight="1">
      <x:c r="A285" s="82" t="n">
        <x:v>281</x:v>
      </x:c>
      <x:c r="B285" s="82" t="str">
        <x:v>Simone Consonni</x:v>
      </x:c>
      <x:c r="C285" s="85" t="n">
        <x:v>64</x:v>
      </x:c>
      <x:c r="D285" s="85" t="n">
        <x:v>101</x:v>
      </x:c>
      <x:c r="E285" s="85" t="n">
        <x:v>1</x:v>
      </x:c>
      <x:c r="F285" s="85" t="n">
        <x:v>0</x:v>
      </x:c>
      <x:c r="G285" s="85" t="n">
        <x:v>0</x:v>
      </x:c>
      <x:c r="H285" s="85" t="n">
        <x:v>0</x:v>
      </x:c>
      <x:c r="I285" s="91" t="str">
        <x:v>結果照合済</x:v>
      </x:c>
      <x:c r="J285" s="91" t="str">
        <x:v>最高101位 / 完走1回 / Top10 0回 / 優勝0回</x:v>
      </x:c>
      <x:c r="K285" s="91" t="str">
        <x:v>https://bikeraceinfo.com/classics/paris-roubaix/pr2018.html</x:v>
      </x:c>
      <x:c r="L285" s="91" t="str"/>
      <x:c r="M285" s="91" t="str">
        <x:v>能力・適性・Credit整合済</x:v>
      </x:c>
    </x:row>
    <x:row r="286" ht="24" customHeight="1">
      <x:c r="A286" s="82" t="n">
        <x:v>282</x:v>
      </x:c>
      <x:c r="B286" s="82" t="str">
        <x:v>Davide Ballerini</x:v>
      </x:c>
      <x:c r="C286" s="85" t="n">
        <x:v>69</x:v>
      </x:c>
      <x:c r="D286" s="85" t="n">
        <x:v>31</x:v>
      </x:c>
      <x:c r="E286" s="85" t="n">
        <x:v>2</x:v>
      </x:c>
      <x:c r="F286" s="85" t="n">
        <x:v>0</x:v>
      </x:c>
      <x:c r="G286" s="85" t="n">
        <x:v>0</x:v>
      </x:c>
      <x:c r="H286" s="85" t="n">
        <x:v>0</x:v>
      </x:c>
      <x:c r="I286" s="91" t="str">
        <x:v>結果照合済</x:v>
      </x:c>
      <x:c r="J286" s="91" t="str">
        <x:v>最高31位 / 完走2回 / Top10 0回 / 優勝0回</x:v>
      </x:c>
      <x:c r="K286" s="91" t="str">
        <x:v>https://bikeraceinfo.com/classics/paris-roubaix/pr2019.html</x:v>
      </x:c>
      <x:c r="L286" s="91" t="str"/>
      <x:c r="M286" s="91" t="str">
        <x:v>能力・適性・Credit整合済</x:v>
      </x:c>
    </x:row>
    <x:row r="287" ht="24" customHeight="1">
      <x:c r="A287" s="82" t="n">
        <x:v>283</x:v>
      </x:c>
      <x:c r="B287" s="82" t="str">
        <x:v>Florian Vermeersch</x:v>
      </x:c>
      <x:c r="C287" s="85" t="n">
        <x:v>50</x:v>
      </x:c>
      <x:c r="D287" s="85" t="n">
        <x:v>0</x:v>
      </x:c>
      <x:c r="E287" s="85" t="n">
        <x:v>0</x:v>
      </x:c>
      <x:c r="F287" s="85" t="n">
        <x:v>0</x:v>
      </x:c>
      <x:c r="G287" s="85" t="n">
        <x:v>0</x:v>
      </x:c>
      <x:c r="H287" s="85" t="n">
        <x:v>0</x:v>
      </x:c>
      <x:c r="I287" s="91" t="str">
        <x:v>要出走確認</x:v>
      </x:c>
      <x:c r="J287" s="91" t="str">
        <x:v>1960〜2026完走順位との一致なし。未出走または表記差を要確認</x:v>
      </x:c>
      <x:c r="K287" s="91" t="str">
        <x:v>https://bikeraceinfo.com/classics/paris-roubaix/paris-roubaix-index.html</x:v>
      </x:c>
      <x:c r="L287" s="91" t="str"/>
      <x:c r="M287" s="91" t="str">
        <x:v>能力・適性・Credit整合済</x:v>
      </x:c>
    </x:row>
    <x:row r="288" ht="24" customHeight="1">
      <x:c r="A288" s="82" t="n">
        <x:v>284</x:v>
      </x:c>
      <x:c r="B288" s="82" t="str">
        <x:v>Dylan van Baarle</x:v>
      </x:c>
      <x:c r="C288" s="85" t="n">
        <x:v>74</x:v>
      </x:c>
      <x:c r="D288" s="85" t="n">
        <x:v>19</x:v>
      </x:c>
      <x:c r="E288" s="85" t="n">
        <x:v>5</x:v>
      </x:c>
      <x:c r="F288" s="85" t="n">
        <x:v>0</x:v>
      </x:c>
      <x:c r="G288" s="85" t="n">
        <x:v>0</x:v>
      </x:c>
      <x:c r="H288" s="85" t="n">
        <x:v>0</x:v>
      </x:c>
      <x:c r="I288" s="91" t="str">
        <x:v>結果照合済</x:v>
      </x:c>
      <x:c r="J288" s="91" t="str">
        <x:v>最高19位 / 完走5回 / Top10 0回 / 優勝0回</x:v>
      </x:c>
      <x:c r="K288" s="91" t="str">
        <x:v>https://bikeraceinfo.com/classics/paris-roubaix/pr2018.html</x:v>
      </x:c>
      <x:c r="L288" s="91" t="str"/>
      <x:c r="M288" s="91" t="str">
        <x:v>能力・適性・Credit整合済</x:v>
      </x:c>
    </x:row>
    <x:row r="289" ht="24" customHeight="1">
      <x:c r="A289" s="82" t="n">
        <x:v>285</x:v>
      </x:c>
      <x:c r="B289" s="82" t="str">
        <x:v>Edoardo Affini</x:v>
      </x:c>
      <x:c r="C289" s="85" t="n">
        <x:v>64</x:v>
      </x:c>
      <x:c r="D289" s="85" t="n">
        <x:v>99</x:v>
      </x:c>
      <x:c r="E289" s="85" t="n">
        <x:v>1</x:v>
      </x:c>
      <x:c r="F289" s="85" t="n">
        <x:v>0</x:v>
      </x:c>
      <x:c r="G289" s="85" t="n">
        <x:v>0</x:v>
      </x:c>
      <x:c r="H289" s="85" t="n">
        <x:v>0</x:v>
      </x:c>
      <x:c r="I289" s="91" t="str">
        <x:v>結果照合済</x:v>
      </x:c>
      <x:c r="J289" s="91" t="str">
        <x:v>最高99位 / 完走1回 / Top10 0回 / 優勝0回</x:v>
      </x:c>
      <x:c r="K289" s="91" t="str">
        <x:v>https://bikeraceinfo.com/classics/paris-roubaix/pr2019.html</x:v>
      </x:c>
      <x:c r="L289" s="91" t="str"/>
      <x:c r="M289" s="91" t="str">
        <x:v>能力・適性・Credit整合済</x:v>
      </x:c>
    </x:row>
    <x:row r="290" ht="24" customHeight="1">
      <x:c r="A290" s="82" t="n">
        <x:v>286</x:v>
      </x:c>
      <x:c r="B290" s="82" t="str">
        <x:v>Nils Politt</x:v>
      </x:c>
      <x:c r="C290" s="85" t="n">
        <x:v>76</x:v>
      </x:c>
      <x:c r="D290" s="85" t="n">
        <x:v>2</x:v>
      </x:c>
      <x:c r="E290" s="85" t="n">
        <x:v>3</x:v>
      </x:c>
      <x:c r="F290" s="85" t="n">
        <x:v>3</x:v>
      </x:c>
      <x:c r="G290" s="85" t="n">
        <x:v>0</x:v>
      </x:c>
      <x:c r="H290" s="85" t="n">
        <x:v>0</x:v>
      </x:c>
      <x:c r="I290" s="91" t="str">
        <x:v>結果照合済</x:v>
      </x:c>
      <x:c r="J290" s="91" t="str">
        <x:v>最高2位 / 完走3回 / Top10 3回 / 優勝0回</x:v>
      </x:c>
      <x:c r="K290" s="91" t="str">
        <x:v>https://bikeraceinfo.com/classics/paris-roubaix/pr2019.html</x:v>
      </x:c>
      <x:c r="L290" s="91" t="str"/>
      <x:c r="M290" s="91" t="str">
        <x:v>能力・適性・Credit整合済</x:v>
      </x:c>
    </x:row>
    <x:row r="291" ht="24" customHeight="1">
      <x:c r="A291" s="82" t="n">
        <x:v>287</x:v>
      </x:c>
      <x:c r="B291" s="82" t="str">
        <x:v>Magnus Sheffield</x:v>
      </x:c>
      <x:c r="C291" s="85" t="n">
        <x:v>50</x:v>
      </x:c>
      <x:c r="D291" s="85" t="n">
        <x:v>0</x:v>
      </x:c>
      <x:c r="E291" s="85" t="n">
        <x:v>0</x:v>
      </x:c>
      <x:c r="F291" s="85" t="n">
        <x:v>0</x:v>
      </x:c>
      <x:c r="G291" s="85" t="n">
        <x:v>0</x:v>
      </x:c>
      <x:c r="H291" s="85" t="n">
        <x:v>0</x:v>
      </x:c>
      <x:c r="I291" s="91" t="str">
        <x:v>要出走確認</x:v>
      </x:c>
      <x:c r="J291" s="91" t="str">
        <x:v>1960〜2026完走順位との一致なし。未出走または表記差を要確認</x:v>
      </x:c>
      <x:c r="K291" s="91" t="str">
        <x:v>https://bikeraceinfo.com/classics/paris-roubaix/paris-roubaix-index.html</x:v>
      </x:c>
      <x:c r="L291" s="91" t="str"/>
      <x:c r="M291" s="91" t="str">
        <x:v>能力・適性・Credit整合済</x:v>
      </x:c>
    </x:row>
    <x:row r="292" ht="24" customHeight="1">
      <x:c r="A292" s="82" t="n">
        <x:v>288</x:v>
      </x:c>
      <x:c r="B292" s="82" t="str">
        <x:v>Christophe Laporte</x:v>
      </x:c>
      <x:c r="C292" s="85" t="n">
        <x:v>76</x:v>
      </x:c>
      <x:c r="D292" s="85" t="n">
        <x:v>5</x:v>
      </x:c>
      <x:c r="E292" s="85" t="n">
        <x:v>4</x:v>
      </x:c>
      <x:c r="F292" s="85" t="n">
        <x:v>1</x:v>
      </x:c>
      <x:c r="G292" s="85" t="n">
        <x:v>0</x:v>
      </x:c>
      <x:c r="H292" s="85" t="n">
        <x:v>0</x:v>
      </x:c>
      <x:c r="I292" s="91" t="str">
        <x:v>結果照合済</x:v>
      </x:c>
      <x:c r="J292" s="91" t="str">
        <x:v>最高5位 / 完走4回 / Top10 1回 / 優勝0回</x:v>
      </x:c>
      <x:c r="K292" s="91" t="str">
        <x:v>https://bikeraceinfo.com/classics/paris-roubaix/pr2026.html</x:v>
      </x:c>
      <x:c r="L292" s="91" t="str"/>
      <x:c r="M292" s="91" t="str">
        <x:v>能力・適性・Credit整合済</x:v>
      </x:c>
    </x:row>
    <x:row r="293" ht="24" customHeight="1">
      <x:c r="A293" s="82" t="n">
        <x:v>289</x:v>
      </x:c>
      <x:c r="B293" s="82" t="str">
        <x:v>Marc Soler</x:v>
      </x:c>
      <x:c r="C293" s="85" t="n">
        <x:v>50</x:v>
      </x:c>
      <x:c r="D293" s="85" t="n">
        <x:v>0</x:v>
      </x:c>
      <x:c r="E293" s="85" t="n">
        <x:v>0</x:v>
      </x:c>
      <x:c r="F293" s="85" t="n">
        <x:v>0</x:v>
      </x:c>
      <x:c r="G293" s="85" t="n">
        <x:v>0</x:v>
      </x:c>
      <x:c r="H293" s="85" t="n">
        <x:v>0</x:v>
      </x:c>
      <x:c r="I293" s="91" t="str">
        <x:v>要出走確認</x:v>
      </x:c>
      <x:c r="J293" s="91" t="str">
        <x:v>1960〜2026完走順位との一致なし。未出走または表記差を要確認</x:v>
      </x:c>
      <x:c r="K293" s="91" t="str">
        <x:v>https://bikeraceinfo.com/classics/paris-roubaix/paris-roubaix-index.html</x:v>
      </x:c>
      <x:c r="L293" s="91" t="str"/>
      <x:c r="M293" s="91" t="str">
        <x:v>能力・適性・Credit整合済</x:v>
      </x:c>
    </x:row>
    <x:row r="294" ht="24" customHeight="1">
      <x:c r="A294" s="82" t="n">
        <x:v>290</x:v>
      </x:c>
      <x:c r="B294" s="82" t="str">
        <x:v>Edward Theuns</x:v>
      </x:c>
      <x:c r="C294" s="85" t="n">
        <x:v>70</x:v>
      </x:c>
      <x:c r="D294" s="85" t="n">
        <x:v>24</x:v>
      </x:c>
      <x:c r="E294" s="85" t="n">
        <x:v>5</x:v>
      </x:c>
      <x:c r="F294" s="85" t="n">
        <x:v>0</x:v>
      </x:c>
      <x:c r="G294" s="85" t="n">
        <x:v>0</x:v>
      </x:c>
      <x:c r="H294" s="85" t="n">
        <x:v>0</x:v>
      </x:c>
      <x:c r="I294" s="91" t="str">
        <x:v>結果照合済</x:v>
      </x:c>
      <x:c r="J294" s="91" t="str">
        <x:v>最高24位 / 完走5回 / Top10 0回 / 優勝0回</x:v>
      </x:c>
      <x:c r="K294" s="91" t="str">
        <x:v>https://bikeraceinfo.com/classics/paris-roubaix/pr2018.html</x:v>
      </x:c>
      <x:c r="L294" s="91" t="str"/>
      <x:c r="M294" s="91" t="str">
        <x:v>能力・適性・Credit整合済</x:v>
      </x:c>
    </x:row>
    <x:row r="295" ht="24" customHeight="1">
      <x:c r="A295" s="82" t="n">
        <x:v>291</x:v>
      </x:c>
      <x:c r="B295" s="82" t="str">
        <x:v>Bert Van Lerberghe</x:v>
      </x:c>
      <x:c r="C295" s="85" t="n">
        <x:v>69</x:v>
      </x:c>
      <x:c r="D295" s="85" t="n">
        <x:v>34</x:v>
      </x:c>
      <x:c r="E295" s="85" t="n">
        <x:v>2</x:v>
      </x:c>
      <x:c r="F295" s="85" t="n">
        <x:v>0</x:v>
      </x:c>
      <x:c r="G295" s="85" t="n">
        <x:v>0</x:v>
      </x:c>
      <x:c r="H295" s="85" t="n">
        <x:v>0</x:v>
      </x:c>
      <x:c r="I295" s="91" t="str">
        <x:v>結果照合済</x:v>
      </x:c>
      <x:c r="J295" s="91" t="str">
        <x:v>最高34位 / 完走2回 / Top10 0回 / 優勝0回</x:v>
      </x:c>
      <x:c r="K295" s="91" t="str">
        <x:v>https://bikeraceinfo.com/classics/paris-roubaix/pr2026.html</x:v>
      </x:c>
      <x:c r="L295" s="91" t="str"/>
      <x:c r="M295" s="91" t="str">
        <x:v>能力・適性・Credit整合済</x:v>
      </x:c>
    </x:row>
    <x:row r="296" ht="24" customHeight="1">
      <x:c r="A296" s="82" t="n">
        <x:v>292</x:v>
      </x:c>
      <x:c r="B296" s="82" t="str">
        <x:v>Nikias Arndt</x:v>
      </x:c>
      <x:c r="C296" s="85" t="n">
        <x:v>69</x:v>
      </x:c>
      <x:c r="D296" s="85" t="n">
        <x:v>44</x:v>
      </x:c>
      <x:c r="E296" s="85" t="n">
        <x:v>3</x:v>
      </x:c>
      <x:c r="F296" s="85" t="n">
        <x:v>0</x:v>
      </x:c>
      <x:c r="G296" s="85" t="n">
        <x:v>0</x:v>
      </x:c>
      <x:c r="H296" s="85" t="n">
        <x:v>0</x:v>
      </x:c>
      <x:c r="I296" s="91" t="str">
        <x:v>結果照合済</x:v>
      </x:c>
      <x:c r="J296" s="91" t="str">
        <x:v>最高44位 / 完走3回 / Top10 0回 / 優勝0回</x:v>
      </x:c>
      <x:c r="K296" s="91" t="str">
        <x:v>https://bikeraceinfo.com/classics/paris-roubaix/pr2019.html</x:v>
      </x:c>
      <x:c r="L296" s="91" t="str"/>
      <x:c r="M296" s="91" t="str">
        <x:v>能力・適性・Credit整合済</x:v>
      </x:c>
    </x:row>
    <x:row r="297" ht="24" customHeight="1">
      <x:c r="A297" s="82" t="n">
        <x:v>293</x:v>
      </x:c>
      <x:c r="B297" s="82" t="str">
        <x:v>Yves Lampaert</x:v>
      </x:c>
      <x:c r="C297" s="85" t="n">
        <x:v>76</x:v>
      </x:c>
      <x:c r="D297" s="85" t="n">
        <x:v>3</x:v>
      </x:c>
      <x:c r="E297" s="85" t="n">
        <x:v>5</x:v>
      </x:c>
      <x:c r="F297" s="85" t="n">
        <x:v>2</x:v>
      </x:c>
      <x:c r="G297" s="85" t="n">
        <x:v>0</x:v>
      </x:c>
      <x:c r="H297" s="85" t="n">
        <x:v>0</x:v>
      </x:c>
      <x:c r="I297" s="91" t="str">
        <x:v>結果照合済</x:v>
      </x:c>
      <x:c r="J297" s="91" t="str">
        <x:v>最高3位 / 完走5回 / Top10 2回 / 優勝0回</x:v>
      </x:c>
      <x:c r="K297" s="91" t="str">
        <x:v>https://bikeraceinfo.com/classics/paris-roubaix/pr2019.html</x:v>
      </x:c>
      <x:c r="L297" s="91" t="str"/>
      <x:c r="M297" s="91" t="str">
        <x:v>能力・適性・Credit整合済</x:v>
      </x:c>
    </x:row>
    <x:row r="298" ht="24" customHeight="1">
      <x:c r="A298" s="82" t="n">
        <x:v>294</x:v>
      </x:c>
      <x:c r="B298" s="82" t="str">
        <x:v>Jan Tratnik</x:v>
      </x:c>
      <x:c r="C298" s="85" t="n">
        <x:v>64</x:v>
      </x:c>
      <x:c r="D298" s="85" t="n">
        <x:v>87</x:v>
      </x:c>
      <x:c r="E298" s="85" t="n">
        <x:v>1</x:v>
      </x:c>
      <x:c r="F298" s="85" t="n">
        <x:v>0</x:v>
      </x:c>
      <x:c r="G298" s="85" t="n">
        <x:v>0</x:v>
      </x:c>
      <x:c r="H298" s="85" t="n">
        <x:v>0</x:v>
      </x:c>
      <x:c r="I298" s="91" t="str">
        <x:v>結果照合済</x:v>
      </x:c>
      <x:c r="J298" s="91" t="str">
        <x:v>最高87位 / 完走1回 / Top10 0回 / 優勝0回</x:v>
      </x:c>
      <x:c r="K298" s="91" t="str">
        <x:v>https://bikeraceinfo.com/classics/paris-roubaix/pr2019.html</x:v>
      </x:c>
      <x:c r="L298" s="91" t="str"/>
      <x:c r="M298" s="91" t="str">
        <x:v>能力・適性・Credit整合済</x:v>
      </x:c>
    </x:row>
    <x:row r="299" ht="24" customHeight="1">
      <x:c r="A299" s="82" t="n">
        <x:v>295</x:v>
      </x:c>
      <x:c r="B299" s="82" t="str">
        <x:v>Mikel Landa</x:v>
      </x:c>
      <x:c r="C299" s="85" t="n">
        <x:v>50</x:v>
      </x:c>
      <x:c r="D299" s="85" t="n">
        <x:v>0</x:v>
      </x:c>
      <x:c r="E299" s="85" t="n">
        <x:v>0</x:v>
      </x:c>
      <x:c r="F299" s="85" t="n">
        <x:v>0</x:v>
      </x:c>
      <x:c r="G299" s="85" t="n">
        <x:v>0</x:v>
      </x:c>
      <x:c r="H299" s="85" t="n">
        <x:v>0</x:v>
      </x:c>
      <x:c r="I299" s="91" t="str">
        <x:v>要出走確認</x:v>
      </x:c>
      <x:c r="J299" s="91" t="str">
        <x:v>1960〜2026完走順位との一致なし。未出走または表記差を要確認</x:v>
      </x:c>
      <x:c r="K299" s="91" t="str">
        <x:v>https://bikeraceinfo.com/classics/paris-roubaix/paris-roubaix-index.html</x:v>
      </x:c>
      <x:c r="L299" s="91" t="str"/>
      <x:c r="M299" s="91" t="str">
        <x:v>能力・適性・Credit整合済</x:v>
      </x:c>
    </x:row>
    <x:row r="300" ht="24" customHeight="1">
      <x:c r="A300" s="82" t="n">
        <x:v>296</x:v>
      </x:c>
      <x:c r="B300" s="82" t="str">
        <x:v>Jasper De Buyst</x:v>
      </x:c>
      <x:c r="C300" s="85" t="n">
        <x:v>50</x:v>
      </x:c>
      <x:c r="D300" s="85" t="n">
        <x:v>0</x:v>
      </x:c>
      <x:c r="E300" s="85" t="n">
        <x:v>0</x:v>
      </x:c>
      <x:c r="F300" s="85" t="n">
        <x:v>0</x:v>
      </x:c>
      <x:c r="G300" s="85" t="n">
        <x:v>0</x:v>
      </x:c>
      <x:c r="H300" s="85" t="n">
        <x:v>0</x:v>
      </x:c>
      <x:c r="I300" s="91" t="str">
        <x:v>要出走確認</x:v>
      </x:c>
      <x:c r="J300" s="91" t="str">
        <x:v>1960〜2026完走順位との一致なし。未出走または表記差を要確認</x:v>
      </x:c>
      <x:c r="K300" s="91" t="str">
        <x:v>https://bikeraceinfo.com/classics/paris-roubaix/paris-roubaix-index.html</x:v>
      </x:c>
      <x:c r="L300" s="91" t="str"/>
      <x:c r="M300" s="91" t="str">
        <x:v>能力・適性・Credit整合済</x:v>
      </x:c>
    </x:row>
    <x:row r="301" ht="24" customHeight="1">
      <x:c r="A301" s="82" t="n">
        <x:v>297</x:v>
      </x:c>
      <x:c r="B301" s="82" t="str">
        <x:v>Mikkel Bjerg</x:v>
      </x:c>
      <x:c r="C301" s="85" t="n">
        <x:v>50</x:v>
      </x:c>
      <x:c r="D301" s="85" t="n">
        <x:v>0</x:v>
      </x:c>
      <x:c r="E301" s="85" t="n">
        <x:v>0</x:v>
      </x:c>
      <x:c r="F301" s="85" t="n">
        <x:v>0</x:v>
      </x:c>
      <x:c r="G301" s="85" t="n">
        <x:v>0</x:v>
      </x:c>
      <x:c r="H301" s="85" t="n">
        <x:v>0</x:v>
      </x:c>
      <x:c r="I301" s="91" t="str">
        <x:v>要出走確認</x:v>
      </x:c>
      <x:c r="J301" s="91" t="str">
        <x:v>1960〜2026完走順位との一致なし。未出走または表記差を要確認</x:v>
      </x:c>
      <x:c r="K301" s="91" t="str">
        <x:v>https://bikeraceinfo.com/classics/paris-roubaix/paris-roubaix-index.html</x:v>
      </x:c>
      <x:c r="L301" s="91" t="str"/>
      <x:c r="M301" s="91" t="str">
        <x:v>能力・適性・Credit整合済</x:v>
      </x:c>
    </x:row>
    <x:row r="302" ht="24" customHeight="1">
      <x:c r="A302" s="82" t="n">
        <x:v>298</x:v>
      </x:c>
      <x:c r="B302" s="82" t="str">
        <x:v>Luke Durbridge</x:v>
      </x:c>
      <x:c r="C302" s="85" t="n">
        <x:v>64</x:v>
      </x:c>
      <x:c r="D302" s="85" t="n">
        <x:v>59</x:v>
      </x:c>
      <x:c r="E302" s="85" t="n">
        <x:v>4</x:v>
      </x:c>
      <x:c r="F302" s="85" t="n">
        <x:v>0</x:v>
      </x:c>
      <x:c r="G302" s="85" t="n">
        <x:v>0</x:v>
      </x:c>
      <x:c r="H302" s="85" t="n">
        <x:v>0</x:v>
      </x:c>
      <x:c r="I302" s="91" t="str">
        <x:v>結果照合済</x:v>
      </x:c>
      <x:c r="J302" s="91" t="str">
        <x:v>最高59位 / 完走4回 / Top10 0回 / 優勝0回</x:v>
      </x:c>
      <x:c r="K302" s="91" t="str">
        <x:v>https://bikeraceinfo.com/classics/paris-roubaix/pr2018.html</x:v>
      </x:c>
      <x:c r="L302" s="91" t="str"/>
      <x:c r="M302" s="91" t="str">
        <x:v>能力・適性・Credit整合済</x:v>
      </x:c>
    </x:row>
    <x:row r="303" ht="24" customHeight="1">
      <x:c r="A303" s="82" t="n">
        <x:v>299</x:v>
      </x:c>
      <x:c r="B303" s="82" t="str">
        <x:v>Vegard Stake Laengen</x:v>
      </x:c>
      <x:c r="C303" s="85" t="n">
        <x:v>50</x:v>
      </x:c>
      <x:c r="D303" s="85" t="n">
        <x:v>0</x:v>
      </x:c>
      <x:c r="E303" s="85" t="n">
        <x:v>0</x:v>
      </x:c>
      <x:c r="F303" s="85" t="n">
        <x:v>0</x:v>
      </x:c>
      <x:c r="G303" s="85" t="n">
        <x:v>0</x:v>
      </x:c>
      <x:c r="H303" s="85" t="n">
        <x:v>0</x:v>
      </x:c>
      <x:c r="I303" s="91" t="str">
        <x:v>要出走確認</x:v>
      </x:c>
      <x:c r="J303" s="91" t="str">
        <x:v>1960〜2026完走順位との一致なし。未出走または表記差を要確認</x:v>
      </x:c>
      <x:c r="K303" s="91" t="str">
        <x:v>https://bikeraceinfo.com/classics/paris-roubaix/paris-roubaix-index.html</x:v>
      </x:c>
      <x:c r="L303" s="91" t="str"/>
      <x:c r="M303" s="91" t="str">
        <x:v>能力・適性・Credit整合済</x:v>
      </x:c>
    </x:row>
    <x:row r="304" ht="24" customHeight="1">
      <x:c r="A304" s="83" t="n">
        <x:v>300</x:v>
      </x:c>
      <x:c r="B304" s="83" t="str">
        <x:v>Kasper Asgreen</x:v>
      </x:c>
      <x:c r="C304" s="86" t="n">
        <x:v>76</x:v>
      </x:c>
      <x:c r="D304" s="86" t="n">
        <x:v>28</x:v>
      </x:c>
      <x:c r="E304" s="86" t="n">
        <x:v>2</x:v>
      </x:c>
      <x:c r="F304" s="86" t="n">
        <x:v>0</x:v>
      </x:c>
      <x:c r="G304" s="86" t="n">
        <x:v>0</x:v>
      </x:c>
      <x:c r="H304" s="86" t="n">
        <x:v>1</x:v>
      </x:c>
      <x:c r="I304" s="92" t="str">
        <x:v>結果照合済</x:v>
      </x:c>
      <x:c r="J304" s="92" t="str">
        <x:v>最高28位 / 完走2回 / Top10 0回 / 優勝0回 / ロンド優勝1回・加点+1・最低保証76</x:v>
      </x:c>
      <x:c r="K304" s="92" t="str">
        <x:v>https://www.rondevanvlaanderen.be/en/race/men-elite/history</x:v>
      </x:c>
      <x:c r="L304" s="92" t="str"/>
      <x:c r="M304" s="92" t="str">
        <x:v>能力・適性・Credit整合済</x:v>
      </x:c>
    </x:row>
  </x:sheetData>
  <x:mergeCells>
    <x:mergeCell ref="A1:M1"/>
    <x:mergeCell ref="A2:M2"/>
  </x:mergeCells>
  <x:conditionalFormatting sqref="C5:C304">
    <x:cfRule type="colorScale" priority="1">
      <x:colorScale>
        <x:cfvo type="min"/>
        <x:cfvo type="percentile" val="50"/>
        <x:cfvo type="max"/>
        <x:color rgb="FFECEFF1"/>
        <x:color rgb="FFF7D774"/>
        <x:color rgb="FFC58B20"/>
      </x:colorScale>
    </x:cfRule>
  </x:conditionalFormatting>
  <x:conditionalFormatting sqref="I5:I304">
    <x:cfRule type="containsText" dxfId="2" priority="2" operator="containsText" text="要出走確認"/>
  </x:conditionalFormatting>
  <x:pageMargins left="0.7" right="0.7" top="0.75" bottom="0.75" header="0.3" footer="0.3"/>
  <x:tableParts count="1">
    <x:tablePart xmlns:r="http://schemas.openxmlformats.org/officeDocument/2006/relationships" r:id="Rc7abfd057d1b46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1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30" hidden="0" customWidth="1"/>
    <x:col min="10" max="10" width="30" hidden="0" customWidth="1"/>
    <x:col min="11" max="11" width="46" hidden="0" customWidth="1"/>
    <x:col min="12" max="12" width="62" hidden="0" customWidth="1"/>
  </x:cols>
  <x:sheetData>
    <x:row r="1" ht="34" customHeight="1">
      <x:c r="A1" s="106" t="str">
        <x:v>世界選手権ロード・個人TT — 表彰台実績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</x:row>
    <x:row r="2" ht="34" customHeight="1">
      <x:c r="A2" s="109" t="str">
        <x:v>2025年大会までのエリート男子。金3・銀2・銅1の実績点を能力補正し、その後に300名順位上限を適用します。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</x:row>
    <x:row r="3" ht="24" customHeight="1"/>
    <x:row r="4" ht="38" customHeight="1">
      <x:c r="A4" s="116" t="str">
        <x:v>No.</x:v>
      </x:c>
      <x:c r="B4" s="120" t="str">
        <x:v>実在選手名</x:v>
      </x:c>
      <x:c r="C4" s="120" t="str">
        <x:v>ロード金</x:v>
      </x:c>
      <x:c r="D4" s="120" t="str">
        <x:v>ロード銀</x:v>
      </x:c>
      <x:c r="E4" s="120" t="str">
        <x:v>ロード銅</x:v>
      </x:c>
      <x:c r="F4" s="120" t="str">
        <x:v>ITT金</x:v>
      </x:c>
      <x:c r="G4" s="120" t="str">
        <x:v>ITT銀</x:v>
      </x:c>
      <x:c r="H4" s="120" t="str">
        <x:v>ITT銅</x:v>
      </x:c>
      <x:c r="I4" s="120" t="str">
        <x:v>ロード年</x:v>
      </x:c>
      <x:c r="J4" s="120" t="str">
        <x:v>ITT年</x:v>
      </x:c>
      <x:c r="K4" s="120" t="str">
        <x:v>評価根拠</x:v>
      </x:c>
      <x:c r="L4" s="117" t="str">
        <x:v>出典URL</x:v>
      </x:c>
    </x:row>
    <x:row r="5" ht="24" customHeight="1">
      <x:c r="A5" s="81" t="n">
        <x:v>1</x:v>
      </x:c>
      <x:c r="B5" s="81" t="str">
        <x:v>Tadej Pogacar</x:v>
      </x:c>
      <x:c r="C5" s="84" t="n">
        <x:v>2</x:v>
      </x:c>
      <x:c r="D5" s="84" t="n">
        <x:v>0</x:v>
      </x:c>
      <x:c r="E5" s="84" t="n">
        <x:v>1</x:v>
      </x:c>
      <x:c r="F5" s="84" t="n">
        <x:v>0</x:v>
      </x:c>
      <x:c r="G5" s="84" t="n">
        <x:v>0</x:v>
      </x:c>
      <x:c r="H5" s="84" t="n">
        <x:v>0</x:v>
      </x:c>
      <x:c r="I5" s="90" t="str"/>
      <x:c r="J5" s="90" t="str"/>
      <x:c r="K5" s="90" t="str">
        <x:v>ロード 金2/銀0/銅1、ITT 金0/銀0/銅0</x:v>
      </x:c>
      <x:c r="L5" s="90" t="str">
        <x:v>https://www.uci.org/discipline/road/6TBjsDD8902tud440iv1Cu?discipline=ROA&amp;tab=results</x:v>
      </x:c>
    </x:row>
    <x:row r="6" ht="24" customHeight="1">
      <x:c r="A6" s="82" t="n">
        <x:v>2</x:v>
      </x:c>
      <x:c r="B6" s="82" t="str">
        <x:v>Mathieu van der Poel</x:v>
      </x:c>
      <x:c r="C6" s="85" t="n">
        <x:v>1</x:v>
      </x:c>
      <x:c r="D6" s="85" t="n">
        <x:v>0</x:v>
      </x:c>
      <x:c r="E6" s="85" t="n">
        <x:v>1</x:v>
      </x:c>
      <x:c r="F6" s="85" t="n">
        <x:v>0</x:v>
      </x:c>
      <x:c r="G6" s="85" t="n">
        <x:v>0</x:v>
      </x:c>
      <x:c r="H6" s="85" t="n">
        <x:v>0</x:v>
      </x:c>
      <x:c r="I6" s="91" t="str"/>
      <x:c r="J6" s="91" t="str"/>
      <x:c r="K6" s="91" t="str">
        <x:v>ロード 金1/銀0/銅1、ITT 金0/銀0/銅0</x:v>
      </x:c>
      <x:c r="L6" s="91" t="str">
        <x:v>https://www.uci.org/discipline/road/6TBjsDD8902tud440iv1Cu?discipline=ROA&amp;tab=results</x:v>
      </x:c>
    </x:row>
    <x:row r="7" ht="24" customHeight="1">
      <x:c r="A7" s="82" t="n">
        <x:v>3</x:v>
      </x:c>
      <x:c r="B7" s="82" t="str">
        <x:v>Paul Seixas</x:v>
      </x:c>
      <x:c r="C7" s="85" t="n">
        <x:v>0</x:v>
      </x:c>
      <x:c r="D7" s="85" t="n">
        <x:v>0</x:v>
      </x:c>
      <x:c r="E7" s="85" t="n">
        <x:v>0</x:v>
      </x:c>
      <x:c r="F7" s="85" t="n">
        <x:v>0</x:v>
      </x:c>
      <x:c r="G7" s="85" t="n">
        <x:v>0</x:v>
      </x:c>
      <x:c r="H7" s="85" t="n">
        <x:v>0</x:v>
      </x:c>
      <x:c r="I7" s="91" t="str"/>
      <x:c r="J7" s="91" t="str"/>
      <x:c r="K7" s="91" t="str">
        <x:v>ロード 金0/銀0/銅0、ITT 金0/銀0/銅0</x:v>
      </x:c>
      <x:c r="L7" s="91" t="str"/>
    </x:row>
    <x:row r="8" ht="24" customHeight="1">
      <x:c r="A8" s="82" t="n">
        <x:v>4</x:v>
      </x:c>
      <x:c r="B8" s="82" t="str">
        <x:v>Isaac del Toro</x:v>
      </x:c>
      <x:c r="C8" s="85" t="n">
        <x:v>0</x:v>
      </x:c>
      <x:c r="D8" s="85" t="n">
        <x:v>0</x:v>
      </x:c>
      <x:c r="E8" s="85" t="n">
        <x:v>0</x:v>
      </x:c>
      <x:c r="F8" s="85" t="n">
        <x:v>0</x:v>
      </x:c>
      <x:c r="G8" s="85" t="n">
        <x:v>0</x:v>
      </x:c>
      <x:c r="H8" s="85" t="n">
        <x:v>0</x:v>
      </x:c>
      <x:c r="I8" s="91" t="str"/>
      <x:c r="J8" s="91" t="str"/>
      <x:c r="K8" s="91" t="str">
        <x:v>ロード 金0/銀0/銅0、ITT 金0/銀0/銅0</x:v>
      </x:c>
      <x:c r="L8" s="91" t="str"/>
    </x:row>
    <x:row r="9" ht="24" customHeight="1">
      <x:c r="A9" s="82" t="n">
        <x:v>5</x:v>
      </x:c>
      <x:c r="B9" s="82" t="str">
        <x:v>Jonas Vingegaard</x:v>
      </x:c>
      <x:c r="C9" s="85" t="n">
        <x:v>0</x:v>
      </x:c>
      <x:c r="D9" s="85" t="n">
        <x:v>0</x:v>
      </x:c>
      <x:c r="E9" s="85" t="n">
        <x:v>0</x:v>
      </x:c>
      <x:c r="F9" s="85" t="n">
        <x:v>0</x:v>
      </x:c>
      <x:c r="G9" s="85" t="n">
        <x:v>0</x:v>
      </x:c>
      <x:c r="H9" s="85" t="n">
        <x:v>0</x:v>
      </x:c>
      <x:c r="I9" s="91" t="str"/>
      <x:c r="J9" s="91" t="str"/>
      <x:c r="K9" s="91" t="str">
        <x:v>ロード 金0/銀0/銅0、ITT 金0/銀0/銅0</x:v>
      </x:c>
      <x:c r="L9" s="91" t="str"/>
    </x:row>
    <x:row r="10" ht="24" customHeight="1">
      <x:c r="A10" s="82" t="n">
        <x:v>6</x:v>
      </x:c>
      <x:c r="B10" s="82" t="str">
        <x:v>Wout van Aert</x:v>
      </x:c>
      <x:c r="C10" s="85" t="n">
        <x:v>0</x:v>
      </x:c>
      <x:c r="D10" s="85" t="n">
        <x:v>2</x:v>
      </x:c>
      <x:c r="E10" s="85" t="n">
        <x:v>0</x:v>
      </x:c>
      <x:c r="F10" s="85" t="n">
        <x:v>0</x:v>
      </x:c>
      <x:c r="G10" s="85" t="n">
        <x:v>2</x:v>
      </x:c>
      <x:c r="H10" s="85" t="n">
        <x:v>0</x:v>
      </x:c>
      <x:c r="I10" s="91" t="str"/>
      <x:c r="J10" s="91" t="str"/>
      <x:c r="K10" s="91" t="str">
        <x:v>ロード 金0/銀2/銅0、ITT 金0/銀2/銅0</x:v>
      </x:c>
      <x:c r="L10" s="91" t="str">
        <x:v>https://www.uci.org/discipline/road/6TBjsDD8902tud440iv1Cu?discipline=ROA&amp;tab=results</x:v>
      </x:c>
    </x:row>
    <x:row r="11" ht="24" customHeight="1">
      <x:c r="A11" s="82" t="n">
        <x:v>7</x:v>
      </x:c>
      <x:c r="B11" s="82" t="str">
        <x:v>Remco Evenepoel</x:v>
      </x:c>
      <x:c r="C11" s="85" t="n">
        <x:v>1</x:v>
      </x:c>
      <x:c r="D11" s="85" t="n">
        <x:v>1</x:v>
      </x:c>
      <x:c r="E11" s="85" t="n">
        <x:v>0</x:v>
      </x:c>
      <x:c r="F11" s="85" t="n">
        <x:v>3</x:v>
      </x:c>
      <x:c r="G11" s="85" t="n">
        <x:v>1</x:v>
      </x:c>
      <x:c r="H11" s="85" t="n">
        <x:v>2</x:v>
      </x:c>
      <x:c r="I11" s="91" t="str"/>
      <x:c r="J11" s="91" t="str"/>
      <x:c r="K11" s="91" t="str">
        <x:v>ロード 金1/銀1/銅0、ITT 金3/銀1/銅2</x:v>
      </x:c>
      <x:c r="L11" s="91" t="str">
        <x:v>https://www.uci.org/discipline/road/6TBjsDD8902tud440iv1Cu?discipline=ROA&amp;tab=results</x:v>
      </x:c>
    </x:row>
    <x:row r="12" ht="24" customHeight="1">
      <x:c r="A12" s="82" t="n">
        <x:v>8</x:v>
      </x:c>
      <x:c r="B12" s="82" t="str">
        <x:v>Primoz Roglic</x:v>
      </x:c>
      <x:c r="C12" s="85" t="n">
        <x:v>0</x:v>
      </x:c>
      <x:c r="D12" s="85" t="n">
        <x:v>0</x:v>
      </x:c>
      <x:c r="E12" s="85" t="n">
        <x:v>0</x:v>
      </x:c>
      <x:c r="F12" s="85" t="n">
        <x:v>0</x:v>
      </x:c>
      <x:c r="G12" s="85" t="n">
        <x:v>1</x:v>
      </x:c>
      <x:c r="H12" s="85" t="n">
        <x:v>0</x:v>
      </x:c>
      <x:c r="I12" s="91" t="str"/>
      <x:c r="J12" s="91" t="str"/>
      <x:c r="K12" s="91" t="str">
        <x:v>ロード 金0/銀0/銅0、ITT 金0/銀1/銅0</x:v>
      </x:c>
      <x:c r="L12" s="91" t="str">
        <x:v>https://www.uci.org/discipline/road/6TBjsDD8902tud440iv1Cu?discipline=ROA&amp;tab=results</x:v>
      </x:c>
    </x:row>
    <x:row r="13" ht="24" customHeight="1">
      <x:c r="A13" s="82" t="n">
        <x:v>9</x:v>
      </x:c>
      <x:c r="B13" s="82" t="str">
        <x:v>Julian Alaphilippe</x:v>
      </x:c>
      <x:c r="C13" s="85" t="n">
        <x:v>2</x:v>
      </x:c>
      <x:c r="D13" s="85" t="n">
        <x:v>0</x:v>
      </x:c>
      <x:c r="E13" s="85" t="n">
        <x:v>0</x:v>
      </x:c>
      <x:c r="F13" s="85" t="n">
        <x:v>0</x:v>
      </x:c>
      <x:c r="G13" s="85" t="n">
        <x:v>0</x:v>
      </x:c>
      <x:c r="H13" s="85" t="n">
        <x:v>0</x:v>
      </x:c>
      <x:c r="I13" s="91" t="str"/>
      <x:c r="J13" s="91" t="str"/>
      <x:c r="K13" s="91" t="str">
        <x:v>ロード 金2/銀0/銅0、ITT 金0/銀0/銅0</x:v>
      </x:c>
      <x:c r="L13" s="91" t="str">
        <x:v>https://www.uci.org/discipline/road/6TBjsDD8902tud440iv1Cu?discipline=ROA&amp;tab=results</x:v>
      </x:c>
    </x:row>
    <x:row r="14" ht="24" customHeight="1">
      <x:c r="A14" s="82" t="n">
        <x:v>10</x:v>
      </x:c>
      <x:c r="B14" s="82" t="str">
        <x:v>Jasper Philipsen</x:v>
      </x:c>
      <x:c r="C14" s="85" t="n">
        <x:v>0</x:v>
      </x:c>
      <x:c r="D14" s="85" t="n">
        <x:v>0</x:v>
      </x:c>
      <x:c r="E14" s="85" t="n">
        <x:v>0</x:v>
      </x:c>
      <x:c r="F14" s="85" t="n">
        <x:v>0</x:v>
      </x:c>
      <x:c r="G14" s="85" t="n">
        <x:v>0</x:v>
      </x:c>
      <x:c r="H14" s="85" t="n">
        <x:v>0</x:v>
      </x:c>
      <x:c r="I14" s="91" t="str"/>
      <x:c r="J14" s="91" t="str"/>
      <x:c r="K14" s="91" t="str">
        <x:v>ロード 金0/銀0/銅0、ITT 金0/銀0/銅0</x:v>
      </x:c>
      <x:c r="L14" s="91" t="str"/>
    </x:row>
    <x:row r="15" ht="24" customHeight="1">
      <x:c r="A15" s="82" t="n">
        <x:v>11</x:v>
      </x:c>
      <x:c r="B15" s="82" t="str">
        <x:v>Filippo Ganna</x:v>
      </x:c>
      <x:c r="C15" s="85" t="n">
        <x:v>0</x:v>
      </x:c>
      <x:c r="D15" s="85" t="n">
        <x:v>0</x:v>
      </x:c>
      <x:c r="E15" s="85" t="n">
        <x:v>0</x:v>
      </x:c>
      <x:c r="F15" s="85" t="n">
        <x:v>2</x:v>
      </x:c>
      <x:c r="G15" s="85" t="n">
        <x:v>2</x:v>
      </x:c>
      <x:c r="H15" s="85" t="n">
        <x:v>1</x:v>
      </x:c>
      <x:c r="I15" s="91" t="str"/>
      <x:c r="J15" s="91" t="str"/>
      <x:c r="K15" s="91" t="str">
        <x:v>ロード 金0/銀0/銅0、ITT 金2/銀2/銅1</x:v>
      </x:c>
      <x:c r="L15" s="91" t="str">
        <x:v>https://www.uci.org/discipline/road/6TBjsDD8902tud440iv1Cu?discipline=ROA&amp;tab=results</x:v>
      </x:c>
    </x:row>
    <x:row r="16" ht="24" customHeight="1">
      <x:c r="A16" s="82" t="n">
        <x:v>12</x:v>
      </x:c>
      <x:c r="B16" s="82" t="str">
        <x:v>Egan Bernal</x:v>
      </x:c>
      <x:c r="C16" s="85" t="n">
        <x:v>0</x:v>
      </x:c>
      <x:c r="D16" s="85" t="n">
        <x:v>0</x:v>
      </x:c>
      <x:c r="E16" s="85" t="n">
        <x:v>0</x:v>
      </x:c>
      <x:c r="F16" s="85" t="n">
        <x:v>0</x:v>
      </x:c>
      <x:c r="G16" s="85" t="n">
        <x:v>0</x:v>
      </x:c>
      <x:c r="H16" s="85" t="n">
        <x:v>0</x:v>
      </x:c>
      <x:c r="I16" s="91" t="str"/>
      <x:c r="J16" s="91" t="str"/>
      <x:c r="K16" s="91" t="str">
        <x:v>ロード 金0/銀0/銅0、ITT 金0/銀0/銅0</x:v>
      </x:c>
      <x:c r="L16" s="91" t="str"/>
    </x:row>
    <x:row r="17" ht="24" customHeight="1">
      <x:c r="A17" s="82" t="n">
        <x:v>13</x:v>
      </x:c>
      <x:c r="B17" s="82" t="str">
        <x:v>Jonathan Milan</x:v>
      </x:c>
      <x:c r="C17" s="85" t="n">
        <x:v>0</x:v>
      </x:c>
      <x:c r="D17" s="85" t="n">
        <x:v>0</x:v>
      </x:c>
      <x:c r="E17" s="85" t="n">
        <x:v>0</x:v>
      </x:c>
      <x:c r="F17" s="85" t="n">
        <x:v>0</x:v>
      </x:c>
      <x:c r="G17" s="85" t="n">
        <x:v>0</x:v>
      </x:c>
      <x:c r="H17" s="85" t="n">
        <x:v>0</x:v>
      </x:c>
      <x:c r="I17" s="91" t="str"/>
      <x:c r="J17" s="91" t="str"/>
      <x:c r="K17" s="91" t="str">
        <x:v>ロード 金0/銀0/銅0、ITT 金0/銀0/銅0</x:v>
      </x:c>
      <x:c r="L17" s="91" t="str"/>
    </x:row>
    <x:row r="18" ht="24" customHeight="1">
      <x:c r="A18" s="82" t="n">
        <x:v>14</x:v>
      </x:c>
      <x:c r="B18" s="82" t="str">
        <x:v>Biniam Girmay</x:v>
      </x:c>
      <x:c r="C18" s="85" t="n">
        <x:v>0</x:v>
      </x:c>
      <x:c r="D18" s="85" t="n">
        <x:v>0</x:v>
      </x:c>
      <x:c r="E18" s="85" t="n">
        <x:v>0</x:v>
      </x:c>
      <x:c r="F18" s="85" t="n">
        <x:v>0</x:v>
      </x:c>
      <x:c r="G18" s="85" t="n">
        <x:v>0</x:v>
      </x:c>
      <x:c r="H18" s="85" t="n">
        <x:v>0</x:v>
      </x:c>
      <x:c r="I18" s="91" t="str"/>
      <x:c r="J18" s="91" t="str"/>
      <x:c r="K18" s="91" t="str">
        <x:v>ロード 金0/銀0/銅0、ITT 金0/銀0/銅0</x:v>
      </x:c>
      <x:c r="L18" s="91" t="str"/>
    </x:row>
    <x:row r="19" ht="24" customHeight="1">
      <x:c r="A19" s="82" t="n">
        <x:v>15</x:v>
      </x:c>
      <x:c r="B19" s="82" t="str">
        <x:v>Arnaud De Lie</x:v>
      </x:c>
      <x:c r="C19" s="85" t="n">
        <x:v>0</x:v>
      </x:c>
      <x:c r="D19" s="85" t="n">
        <x:v>0</x:v>
      </x:c>
      <x:c r="E19" s="85" t="n">
        <x:v>0</x:v>
      </x:c>
      <x:c r="F19" s="85" t="n">
        <x:v>0</x:v>
      </x:c>
      <x:c r="G19" s="85" t="n">
        <x:v>0</x:v>
      </x:c>
      <x:c r="H19" s="85" t="n">
        <x:v>0</x:v>
      </x:c>
      <x:c r="I19" s="91" t="str"/>
      <x:c r="J19" s="91" t="str"/>
      <x:c r="K19" s="91" t="str">
        <x:v>ロード 金0/銀0/銅0、ITT 金0/銀0/銅0</x:v>
      </x:c>
      <x:c r="L19" s="91" t="str"/>
    </x:row>
    <x:row r="20" ht="24" customHeight="1">
      <x:c r="A20" s="82" t="n">
        <x:v>16</x:v>
      </x:c>
      <x:c r="B20" s="82" t="str">
        <x:v>Juan Ayuso</x:v>
      </x:c>
      <x:c r="C20" s="85" t="n">
        <x:v>0</x:v>
      </x:c>
      <x:c r="D20" s="85" t="n">
        <x:v>0</x:v>
      </x:c>
      <x:c r="E20" s="85" t="n">
        <x:v>0</x:v>
      </x:c>
      <x:c r="F20" s="85" t="n">
        <x:v>0</x:v>
      </x:c>
      <x:c r="G20" s="85" t="n">
        <x:v>0</x:v>
      </x:c>
      <x:c r="H20" s="85" t="n">
        <x:v>0</x:v>
      </x:c>
      <x:c r="I20" s="91" t="str"/>
      <x:c r="J20" s="91" t="str"/>
      <x:c r="K20" s="91" t="str">
        <x:v>ロード 金0/銀0/銅0、ITT 金0/銀0/銅0</x:v>
      </x:c>
      <x:c r="L20" s="91" t="str"/>
    </x:row>
    <x:row r="21" ht="24" customHeight="1">
      <x:c r="A21" s="82" t="n">
        <x:v>17</x:v>
      </x:c>
      <x:c r="B21" s="82" t="str">
        <x:v>Olav Kooij</x:v>
      </x:c>
      <x:c r="C21" s="85" t="n">
        <x:v>0</x:v>
      </x:c>
      <x:c r="D21" s="85" t="n">
        <x:v>0</x:v>
      </x:c>
      <x:c r="E21" s="85" t="n">
        <x:v>0</x:v>
      </x:c>
      <x:c r="F21" s="85" t="n">
        <x:v>0</x:v>
      </x:c>
      <x:c r="G21" s="85" t="n">
        <x:v>0</x:v>
      </x:c>
      <x:c r="H21" s="85" t="n">
        <x:v>0</x:v>
      </x:c>
      <x:c r="I21" s="91" t="str"/>
      <x:c r="J21" s="91" t="str"/>
      <x:c r="K21" s="91" t="str">
        <x:v>ロード 金0/銀0/銅0、ITT 金0/銀0/銅0</x:v>
      </x:c>
      <x:c r="L21" s="91" t="str"/>
    </x:row>
    <x:row r="22" ht="24" customHeight="1">
      <x:c r="A22" s="82" t="n">
        <x:v>18</x:v>
      </x:c>
      <x:c r="B22" s="82" t="str">
        <x:v>Alberto Bettiol</x:v>
      </x:c>
      <x:c r="C22" s="85" t="n">
        <x:v>0</x:v>
      </x:c>
      <x:c r="D22" s="85" t="n">
        <x:v>0</x:v>
      </x:c>
      <x:c r="E22" s="85" t="n">
        <x:v>0</x:v>
      </x:c>
      <x:c r="F22" s="85" t="n">
        <x:v>0</x:v>
      </x:c>
      <x:c r="G22" s="85" t="n">
        <x:v>0</x:v>
      </x:c>
      <x:c r="H22" s="85" t="n">
        <x:v>0</x:v>
      </x:c>
      <x:c r="I22" s="91" t="str"/>
      <x:c r="J22" s="91" t="str"/>
      <x:c r="K22" s="91" t="str">
        <x:v>ロード 金0/銀0/銅0、ITT 金0/銀0/銅0</x:v>
      </x:c>
      <x:c r="L22" s="91" t="str"/>
    </x:row>
    <x:row r="23" ht="24" customHeight="1">
      <x:c r="A23" s="82" t="n">
        <x:v>19</x:v>
      </x:c>
      <x:c r="B23" s="82" t="str">
        <x:v>Tim Wellens</x:v>
      </x:c>
      <x:c r="C23" s="85" t="n">
        <x:v>0</x:v>
      </x:c>
      <x:c r="D23" s="85" t="n">
        <x:v>0</x:v>
      </x:c>
      <x:c r="E23" s="85" t="n">
        <x:v>0</x:v>
      </x:c>
      <x:c r="F23" s="85" t="n">
        <x:v>0</x:v>
      </x:c>
      <x:c r="G23" s="85" t="n">
        <x:v>0</x:v>
      </x:c>
      <x:c r="H23" s="85" t="n">
        <x:v>0</x:v>
      </x:c>
      <x:c r="I23" s="91" t="str"/>
      <x:c r="J23" s="91" t="str"/>
      <x:c r="K23" s="91" t="str">
        <x:v>ロード 金0/銀0/銅0、ITT 金0/銀0/銅0</x:v>
      </x:c>
      <x:c r="L23" s="91" t="str"/>
    </x:row>
    <x:row r="24" ht="24" customHeight="1">
      <x:c r="A24" s="82" t="n">
        <x:v>20</x:v>
      </x:c>
      <x:c r="B24" s="82" t="str">
        <x:v>Mattias Skjelmose</x:v>
      </x:c>
      <x:c r="C24" s="85" t="n">
        <x:v>0</x:v>
      </x:c>
      <x:c r="D24" s="85" t="n">
        <x:v>0</x:v>
      </x:c>
      <x:c r="E24" s="85" t="n">
        <x:v>0</x:v>
      </x:c>
      <x:c r="F24" s="85" t="n">
        <x:v>0</x:v>
      </x:c>
      <x:c r="G24" s="85" t="n">
        <x:v>0</x:v>
      </x:c>
      <x:c r="H24" s="85" t="n">
        <x:v>0</x:v>
      </x:c>
      <x:c r="I24" s="91" t="str"/>
      <x:c r="J24" s="91" t="str"/>
      <x:c r="K24" s="91" t="str">
        <x:v>ロード 金0/銀0/銅0、ITT 金0/銀0/銅0</x:v>
      </x:c>
      <x:c r="L24" s="91" t="str"/>
    </x:row>
    <x:row r="25" ht="24" customHeight="1">
      <x:c r="A25" s="82" t="n">
        <x:v>21</x:v>
      </x:c>
      <x:c r="B25" s="82" t="str">
        <x:v>Kaden Groves</x:v>
      </x:c>
      <x:c r="C25" s="85" t="n">
        <x:v>0</x:v>
      </x:c>
      <x:c r="D25" s="85" t="n">
        <x:v>0</x:v>
      </x:c>
      <x:c r="E25" s="85" t="n">
        <x:v>0</x:v>
      </x:c>
      <x:c r="F25" s="85" t="n">
        <x:v>0</x:v>
      </x:c>
      <x:c r="G25" s="85" t="n">
        <x:v>0</x:v>
      </x:c>
      <x:c r="H25" s="85" t="n">
        <x:v>0</x:v>
      </x:c>
      <x:c r="I25" s="91" t="str"/>
      <x:c r="J25" s="91" t="str"/>
      <x:c r="K25" s="91" t="str">
        <x:v>ロード 金0/銀0/銅0、ITT 金0/銀0/銅0</x:v>
      </x:c>
      <x:c r="L25" s="91" t="str"/>
    </x:row>
    <x:row r="26" ht="24" customHeight="1">
      <x:c r="A26" s="82" t="n">
        <x:v>22</x:v>
      </x:c>
      <x:c r="B26" s="82" t="str">
        <x:v>Fabio Jakobsen</x:v>
      </x:c>
      <x:c r="C26" s="85" t="n">
        <x:v>0</x:v>
      </x:c>
      <x:c r="D26" s="85" t="n">
        <x:v>0</x:v>
      </x:c>
      <x:c r="E26" s="85" t="n">
        <x:v>0</x:v>
      </x:c>
      <x:c r="F26" s="85" t="n">
        <x:v>0</x:v>
      </x:c>
      <x:c r="G26" s="85" t="n">
        <x:v>0</x:v>
      </x:c>
      <x:c r="H26" s="85" t="n">
        <x:v>0</x:v>
      </x:c>
      <x:c r="I26" s="91" t="str"/>
      <x:c r="J26" s="91" t="str"/>
      <x:c r="K26" s="91" t="str">
        <x:v>ロード 金0/銀0/銅0、ITT 金0/銀0/銅0</x:v>
      </x:c>
      <x:c r="L26" s="91" t="str"/>
    </x:row>
    <x:row r="27" ht="24" customHeight="1">
      <x:c r="A27" s="82" t="n">
        <x:v>23</x:v>
      </x:c>
      <x:c r="B27" s="82" t="str">
        <x:v>Tom Pidcock</x:v>
      </x:c>
      <x:c r="C27" s="85" t="n">
        <x:v>0</x:v>
      </x:c>
      <x:c r="D27" s="85" t="n">
        <x:v>0</x:v>
      </x:c>
      <x:c r="E27" s="85" t="n">
        <x:v>0</x:v>
      </x:c>
      <x:c r="F27" s="85" t="n">
        <x:v>0</x:v>
      </x:c>
      <x:c r="G27" s="85" t="n">
        <x:v>0</x:v>
      </x:c>
      <x:c r="H27" s="85" t="n">
        <x:v>0</x:v>
      </x:c>
      <x:c r="I27" s="91" t="str"/>
      <x:c r="J27" s="91" t="str"/>
      <x:c r="K27" s="91" t="str">
        <x:v>ロード 金0/銀0/銅0、ITT 金0/銀0/銅0</x:v>
      </x:c>
      <x:c r="L27" s="91" t="str"/>
    </x:row>
    <x:row r="28" ht="24" customHeight="1">
      <x:c r="A28" s="82" t="n">
        <x:v>24</x:v>
      </x:c>
      <x:c r="B28" s="82" t="str">
        <x:v>Jasper Stuyven</x:v>
      </x:c>
      <x:c r="C28" s="85" t="n">
        <x:v>0</x:v>
      </x:c>
      <x:c r="D28" s="85" t="n">
        <x:v>0</x:v>
      </x:c>
      <x:c r="E28" s="85" t="n">
        <x:v>0</x:v>
      </x:c>
      <x:c r="F28" s="85" t="n">
        <x:v>0</x:v>
      </x:c>
      <x:c r="G28" s="85" t="n">
        <x:v>0</x:v>
      </x:c>
      <x:c r="H28" s="85" t="n">
        <x:v>0</x:v>
      </x:c>
      <x:c r="I28" s="91" t="str"/>
      <x:c r="J28" s="91" t="str"/>
      <x:c r="K28" s="91" t="str">
        <x:v>ロード 金0/銀0/銅0、ITT 金0/銀0/銅0</x:v>
      </x:c>
      <x:c r="L28" s="91" t="str"/>
    </x:row>
    <x:row r="29" ht="24" customHeight="1">
      <x:c r="A29" s="82" t="n">
        <x:v>25</x:v>
      </x:c>
      <x:c r="B29" s="82" t="str">
        <x:v>Warren Barguil</x:v>
      </x:c>
      <x:c r="C29" s="85" t="n">
        <x:v>0</x:v>
      </x:c>
      <x:c r="D29" s="85" t="n">
        <x:v>0</x:v>
      </x:c>
      <x:c r="E29" s="85" t="n">
        <x:v>0</x:v>
      </x:c>
      <x:c r="F29" s="85" t="n">
        <x:v>0</x:v>
      </x:c>
      <x:c r="G29" s="85" t="n">
        <x:v>0</x:v>
      </x:c>
      <x:c r="H29" s="85" t="n">
        <x:v>0</x:v>
      </x:c>
      <x:c r="I29" s="91" t="str"/>
      <x:c r="J29" s="91" t="str"/>
      <x:c r="K29" s="91" t="str">
        <x:v>ロード 金0/銀0/銅0、ITT 金0/銀0/銅0</x:v>
      </x:c>
      <x:c r="L29" s="91" t="str"/>
    </x:row>
    <x:row r="30" ht="24" customHeight="1">
      <x:c r="A30" s="82" t="n">
        <x:v>26</x:v>
      </x:c>
      <x:c r="B30" s="82" t="str">
        <x:v>Maxim Van Gils</x:v>
      </x:c>
      <x:c r="C30" s="85" t="n">
        <x:v>0</x:v>
      </x:c>
      <x:c r="D30" s="85" t="n">
        <x:v>0</x:v>
      </x:c>
      <x:c r="E30" s="85" t="n">
        <x:v>0</x:v>
      </x:c>
      <x:c r="F30" s="85" t="n">
        <x:v>0</x:v>
      </x:c>
      <x:c r="G30" s="85" t="n">
        <x:v>0</x:v>
      </x:c>
      <x:c r="H30" s="85" t="n">
        <x:v>0</x:v>
      </x:c>
      <x:c r="I30" s="91" t="str"/>
      <x:c r="J30" s="91" t="str"/>
      <x:c r="K30" s="91" t="str">
        <x:v>ロード 金0/銀0/銅0、ITT 金0/銀0/銅0</x:v>
      </x:c>
      <x:c r="L30" s="91" t="str"/>
    </x:row>
    <x:row r="31" ht="24" customHeight="1">
      <x:c r="A31" s="82" t="n">
        <x:v>27</x:v>
      </x:c>
      <x:c r="B31" s="82" t="str">
        <x:v>Pascal Ackermann</x:v>
      </x:c>
      <x:c r="C31" s="85" t="n">
        <x:v>0</x:v>
      </x:c>
      <x:c r="D31" s="85" t="n">
        <x:v>0</x:v>
      </x:c>
      <x:c r="E31" s="85" t="n">
        <x:v>0</x:v>
      </x:c>
      <x:c r="F31" s="85" t="n">
        <x:v>0</x:v>
      </x:c>
      <x:c r="G31" s="85" t="n">
        <x:v>0</x:v>
      </x:c>
      <x:c r="H31" s="85" t="n">
        <x:v>0</x:v>
      </x:c>
      <x:c r="I31" s="91" t="str"/>
      <x:c r="J31" s="91" t="str"/>
      <x:c r="K31" s="91" t="str">
        <x:v>ロード 金0/銀0/銅0、ITT 金0/銀0/銅0</x:v>
      </x:c>
      <x:c r="L31" s="91" t="str"/>
    </x:row>
    <x:row r="32" ht="24" customHeight="1">
      <x:c r="A32" s="82" t="n">
        <x:v>28</x:v>
      </x:c>
      <x:c r="B32" s="82" t="str">
        <x:v>Giulio Ciccone</x:v>
      </x:c>
      <x:c r="C32" s="85" t="n">
        <x:v>0</x:v>
      </x:c>
      <x:c r="D32" s="85" t="n">
        <x:v>0</x:v>
      </x:c>
      <x:c r="E32" s="85" t="n">
        <x:v>0</x:v>
      </x:c>
      <x:c r="F32" s="85" t="n">
        <x:v>0</x:v>
      </x:c>
      <x:c r="G32" s="85" t="n">
        <x:v>0</x:v>
      </x:c>
      <x:c r="H32" s="85" t="n">
        <x:v>0</x:v>
      </x:c>
      <x:c r="I32" s="91" t="str"/>
      <x:c r="J32" s="91" t="str"/>
      <x:c r="K32" s="91" t="str">
        <x:v>ロード 金0/銀0/銅0、ITT 金0/銀0/銅0</x:v>
      </x:c>
      <x:c r="L32" s="91" t="str"/>
    </x:row>
    <x:row r="33" ht="24" customHeight="1">
      <x:c r="A33" s="82" t="n">
        <x:v>29</x:v>
      </x:c>
      <x:c r="B33" s="82" t="str">
        <x:v>Jai Hindley</x:v>
      </x:c>
      <x:c r="C33" s="85" t="n">
        <x:v>0</x:v>
      </x:c>
      <x:c r="D33" s="85" t="n">
        <x:v>0</x:v>
      </x:c>
      <x:c r="E33" s="85" t="n">
        <x:v>0</x:v>
      </x:c>
      <x:c r="F33" s="85" t="n">
        <x:v>0</x:v>
      </x:c>
      <x:c r="G33" s="85" t="n">
        <x:v>0</x:v>
      </x:c>
      <x:c r="H33" s="85" t="n">
        <x:v>0</x:v>
      </x:c>
      <x:c r="I33" s="91" t="str"/>
      <x:c r="J33" s="91" t="str"/>
      <x:c r="K33" s="91" t="str">
        <x:v>ロード 金0/銀0/銅0、ITT 金0/銀0/銅0</x:v>
      </x:c>
      <x:c r="L33" s="91" t="str"/>
    </x:row>
    <x:row r="34" ht="24" customHeight="1">
      <x:c r="A34" s="82" t="n">
        <x:v>30</x:v>
      </x:c>
      <x:c r="B34" s="82" t="str">
        <x:v>Matej Mohoric</x:v>
      </x:c>
      <x:c r="C34" s="85" t="n">
        <x:v>0</x:v>
      </x:c>
      <x:c r="D34" s="85" t="n">
        <x:v>0</x:v>
      </x:c>
      <x:c r="E34" s="85" t="n">
        <x:v>0</x:v>
      </x:c>
      <x:c r="F34" s="85" t="n">
        <x:v>0</x:v>
      </x:c>
      <x:c r="G34" s="85" t="n">
        <x:v>0</x:v>
      </x:c>
      <x:c r="H34" s="85" t="n">
        <x:v>0</x:v>
      </x:c>
      <x:c r="I34" s="91" t="str"/>
      <x:c r="J34" s="91" t="str"/>
      <x:c r="K34" s="91" t="str">
        <x:v>ロード 金0/銀0/銅0、ITT 金0/銀0/銅0</x:v>
      </x:c>
      <x:c r="L34" s="91" t="str"/>
    </x:row>
    <x:row r="35" ht="24" customHeight="1">
      <x:c r="A35" s="82" t="n">
        <x:v>31</x:v>
      </x:c>
      <x:c r="B35" s="82" t="str">
        <x:v>David Gaudu</x:v>
      </x:c>
      <x:c r="C35" s="85" t="n">
        <x:v>0</x:v>
      </x:c>
      <x:c r="D35" s="85" t="n">
        <x:v>0</x:v>
      </x:c>
      <x:c r="E35" s="85" t="n">
        <x:v>0</x:v>
      </x:c>
      <x:c r="F35" s="85" t="n">
        <x:v>0</x:v>
      </x:c>
      <x:c r="G35" s="85" t="n">
        <x:v>0</x:v>
      </x:c>
      <x:c r="H35" s="85" t="n">
        <x:v>0</x:v>
      </x:c>
      <x:c r="I35" s="91" t="str"/>
      <x:c r="J35" s="91" t="str"/>
      <x:c r="K35" s="91" t="str">
        <x:v>ロード 金0/銀0/銅0、ITT 金0/銀0/銅0</x:v>
      </x:c>
      <x:c r="L35" s="91" t="str"/>
    </x:row>
    <x:row r="36" ht="24" customHeight="1">
      <x:c r="A36" s="82" t="n">
        <x:v>32</x:v>
      </x:c>
      <x:c r="B36" s="82" t="str">
        <x:v>Tiesj Benoot</x:v>
      </x:c>
      <x:c r="C36" s="85" t="n">
        <x:v>0</x:v>
      </x:c>
      <x:c r="D36" s="85" t="n">
        <x:v>0</x:v>
      </x:c>
      <x:c r="E36" s="85" t="n">
        <x:v>0</x:v>
      </x:c>
      <x:c r="F36" s="85" t="n">
        <x:v>0</x:v>
      </x:c>
      <x:c r="G36" s="85" t="n">
        <x:v>0</x:v>
      </x:c>
      <x:c r="H36" s="85" t="n">
        <x:v>0</x:v>
      </x:c>
      <x:c r="I36" s="91" t="str"/>
      <x:c r="J36" s="91" t="str"/>
      <x:c r="K36" s="91" t="str">
        <x:v>ロード 金0/銀0/銅0、ITT 金0/銀0/銅0</x:v>
      </x:c>
      <x:c r="L36" s="91" t="str"/>
    </x:row>
    <x:row r="37" ht="24" customHeight="1">
      <x:c r="A37" s="82" t="n">
        <x:v>33</x:v>
      </x:c>
      <x:c r="B37" s="82" t="str">
        <x:v>Valentin Madouas</x:v>
      </x:c>
      <x:c r="C37" s="85" t="n">
        <x:v>0</x:v>
      </x:c>
      <x:c r="D37" s="85" t="n">
        <x:v>0</x:v>
      </x:c>
      <x:c r="E37" s="85" t="n">
        <x:v>0</x:v>
      </x:c>
      <x:c r="F37" s="85" t="n">
        <x:v>0</x:v>
      </x:c>
      <x:c r="G37" s="85" t="n">
        <x:v>0</x:v>
      </x:c>
      <x:c r="H37" s="85" t="n">
        <x:v>0</x:v>
      </x:c>
      <x:c r="I37" s="91" t="str"/>
      <x:c r="J37" s="91" t="str"/>
      <x:c r="K37" s="91" t="str">
        <x:v>ロード 金0/銀0/銅0、ITT 金0/銀0/銅0</x:v>
      </x:c>
      <x:c r="L37" s="91" t="str"/>
    </x:row>
    <x:row r="38" ht="24" customHeight="1">
      <x:c r="A38" s="82" t="n">
        <x:v>34</x:v>
      </x:c>
      <x:c r="B38" s="82" t="str">
        <x:v>Florian Lipowitz</x:v>
      </x:c>
      <x:c r="C38" s="85" t="n">
        <x:v>0</x:v>
      </x:c>
      <x:c r="D38" s="85" t="n">
        <x:v>0</x:v>
      </x:c>
      <x:c r="E38" s="85" t="n">
        <x:v>0</x:v>
      </x:c>
      <x:c r="F38" s="85" t="n">
        <x:v>0</x:v>
      </x:c>
      <x:c r="G38" s="85" t="n">
        <x:v>0</x:v>
      </x:c>
      <x:c r="H38" s="85" t="n">
        <x:v>0</x:v>
      </x:c>
      <x:c r="I38" s="91" t="str"/>
      <x:c r="J38" s="91" t="str"/>
      <x:c r="K38" s="91" t="str">
        <x:v>ロード 金0/銀0/銅0、ITT 金0/銀0/銅0</x:v>
      </x:c>
      <x:c r="L38" s="91" t="str"/>
    </x:row>
    <x:row r="39" ht="24" customHeight="1">
      <x:c r="A39" s="82" t="n">
        <x:v>35</x:v>
      </x:c>
      <x:c r="B39" s="82" t="str">
        <x:v>Pello Bilbao</x:v>
      </x:c>
      <x:c r="C39" s="85" t="n">
        <x:v>0</x:v>
      </x:c>
      <x:c r="D39" s="85" t="n">
        <x:v>0</x:v>
      </x:c>
      <x:c r="E39" s="85" t="n">
        <x:v>0</x:v>
      </x:c>
      <x:c r="F39" s="85" t="n">
        <x:v>0</x:v>
      </x:c>
      <x:c r="G39" s="85" t="n">
        <x:v>0</x:v>
      </x:c>
      <x:c r="H39" s="85" t="n">
        <x:v>0</x:v>
      </x:c>
      <x:c r="I39" s="91" t="str"/>
      <x:c r="J39" s="91" t="str"/>
      <x:c r="K39" s="91" t="str">
        <x:v>ロード 金0/銀0/銅0、ITT 金0/銀0/銅0</x:v>
      </x:c>
      <x:c r="L39" s="91" t="str"/>
    </x:row>
    <x:row r="40" ht="24" customHeight="1">
      <x:c r="A40" s="82" t="n">
        <x:v>36</x:v>
      </x:c>
      <x:c r="B40" s="82" t="str">
        <x:v>Romain Gregoire</x:v>
      </x:c>
      <x:c r="C40" s="85" t="n">
        <x:v>0</x:v>
      </x:c>
      <x:c r="D40" s="85" t="n">
        <x:v>0</x:v>
      </x:c>
      <x:c r="E40" s="85" t="n">
        <x:v>0</x:v>
      </x:c>
      <x:c r="F40" s="85" t="n">
        <x:v>0</x:v>
      </x:c>
      <x:c r="G40" s="85" t="n">
        <x:v>0</x:v>
      </x:c>
      <x:c r="H40" s="85" t="n">
        <x:v>0</x:v>
      </x:c>
      <x:c r="I40" s="91" t="str"/>
      <x:c r="J40" s="91" t="str"/>
      <x:c r="K40" s="91" t="str">
        <x:v>ロード 金0/銀0/銅0、ITT 金0/銀0/銅0</x:v>
      </x:c>
      <x:c r="L40" s="91" t="str"/>
    </x:row>
    <x:row r="41" ht="24" customHeight="1">
      <x:c r="A41" s="82" t="n">
        <x:v>37</x:v>
      </x:c>
      <x:c r="B41" s="82" t="str">
        <x:v>Juan Sebastian Molano</x:v>
      </x:c>
      <x:c r="C41" s="85" t="n">
        <x:v>0</x:v>
      </x:c>
      <x:c r="D41" s="85" t="n">
        <x:v>0</x:v>
      </x:c>
      <x:c r="E41" s="85" t="n">
        <x:v>0</x:v>
      </x:c>
      <x:c r="F41" s="85" t="n">
        <x:v>0</x:v>
      </x:c>
      <x:c r="G41" s="85" t="n">
        <x:v>0</x:v>
      </x:c>
      <x:c r="H41" s="85" t="n">
        <x:v>0</x:v>
      </x:c>
      <x:c r="I41" s="91" t="str"/>
      <x:c r="J41" s="91" t="str"/>
      <x:c r="K41" s="91" t="str">
        <x:v>ロード 金0/銀0/銅0、ITT 金0/銀0/銅0</x:v>
      </x:c>
      <x:c r="L41" s="91" t="str"/>
    </x:row>
    <x:row r="42" ht="24" customHeight="1">
      <x:c r="A42" s="82" t="n">
        <x:v>38</x:v>
      </x:c>
      <x:c r="B42" s="82" t="str">
        <x:v>Jhonatan Narvaez</x:v>
      </x:c>
      <x:c r="C42" s="85" t="n">
        <x:v>0</x:v>
      </x:c>
      <x:c r="D42" s="85" t="n">
        <x:v>0</x:v>
      </x:c>
      <x:c r="E42" s="85" t="n">
        <x:v>0</x:v>
      </x:c>
      <x:c r="F42" s="85" t="n">
        <x:v>0</x:v>
      </x:c>
      <x:c r="G42" s="85" t="n">
        <x:v>0</x:v>
      </x:c>
      <x:c r="H42" s="85" t="n">
        <x:v>0</x:v>
      </x:c>
      <x:c r="I42" s="91" t="str"/>
      <x:c r="J42" s="91" t="str"/>
      <x:c r="K42" s="91" t="str">
        <x:v>ロード 金0/銀0/銅0、ITT 金0/銀0/銅0</x:v>
      </x:c>
      <x:c r="L42" s="91" t="str"/>
    </x:row>
    <x:row r="43" ht="24" customHeight="1">
      <x:c r="A43" s="82" t="n">
        <x:v>39</x:v>
      </x:c>
      <x:c r="B43" s="82" t="str">
        <x:v>Felix Gall</x:v>
      </x:c>
      <x:c r="C43" s="85" t="n">
        <x:v>0</x:v>
      </x:c>
      <x:c r="D43" s="85" t="n">
        <x:v>0</x:v>
      </x:c>
      <x:c r="E43" s="85" t="n">
        <x:v>0</x:v>
      </x:c>
      <x:c r="F43" s="85" t="n">
        <x:v>0</x:v>
      </x:c>
      <x:c r="G43" s="85" t="n">
        <x:v>0</x:v>
      </x:c>
      <x:c r="H43" s="85" t="n">
        <x:v>0</x:v>
      </x:c>
      <x:c r="I43" s="91" t="str"/>
      <x:c r="J43" s="91" t="str"/>
      <x:c r="K43" s="91" t="str">
        <x:v>ロード 金0/銀0/銅0、ITT 金0/銀0/銅0</x:v>
      </x:c>
      <x:c r="L43" s="91" t="str"/>
    </x:row>
    <x:row r="44" ht="24" customHeight="1">
      <x:c r="A44" s="82" t="n">
        <x:v>40</x:v>
      </x:c>
      <x:c r="B44" s="82" t="str">
        <x:v>Jordi Meeus</x:v>
      </x:c>
      <x:c r="C44" s="85" t="n">
        <x:v>0</x:v>
      </x:c>
      <x:c r="D44" s="85" t="n">
        <x:v>0</x:v>
      </x:c>
      <x:c r="E44" s="85" t="n">
        <x:v>0</x:v>
      </x:c>
      <x:c r="F44" s="85" t="n">
        <x:v>0</x:v>
      </x:c>
      <x:c r="G44" s="85" t="n">
        <x:v>0</x:v>
      </x:c>
      <x:c r="H44" s="85" t="n">
        <x:v>0</x:v>
      </x:c>
      <x:c r="I44" s="91" t="str"/>
      <x:c r="J44" s="91" t="str"/>
      <x:c r="K44" s="91" t="str">
        <x:v>ロード 金0/銀0/銅0、ITT 金0/銀0/銅0</x:v>
      </x:c>
      <x:c r="L44" s="91" t="str"/>
    </x:row>
    <x:row r="45" ht="24" customHeight="1">
      <x:c r="A45" s="82" t="n">
        <x:v>41</x:v>
      </x:c>
      <x:c r="B45" s="82" t="str">
        <x:v>Tim Merlier</x:v>
      </x:c>
      <x:c r="C45" s="85" t="n">
        <x:v>0</x:v>
      </x:c>
      <x:c r="D45" s="85" t="n">
        <x:v>0</x:v>
      </x:c>
      <x:c r="E45" s="85" t="n">
        <x:v>0</x:v>
      </x:c>
      <x:c r="F45" s="85" t="n">
        <x:v>0</x:v>
      </x:c>
      <x:c r="G45" s="85" t="n">
        <x:v>0</x:v>
      </x:c>
      <x:c r="H45" s="85" t="n">
        <x:v>0</x:v>
      </x:c>
      <x:c r="I45" s="91" t="str"/>
      <x:c r="J45" s="91" t="str"/>
      <x:c r="K45" s="91" t="str">
        <x:v>ロード 金0/銀0/銅0、ITT 金0/銀0/銅0</x:v>
      </x:c>
      <x:c r="L45" s="91" t="str"/>
    </x:row>
    <x:row r="46" ht="24" customHeight="1">
      <x:c r="A46" s="82" t="n">
        <x:v>42</x:v>
      </x:c>
      <x:c r="B46" s="82" t="str">
        <x:v>Antonio Tiberi</x:v>
      </x:c>
      <x:c r="C46" s="85" t="n">
        <x:v>0</x:v>
      </x:c>
      <x:c r="D46" s="85" t="n">
        <x:v>0</x:v>
      </x:c>
      <x:c r="E46" s="85" t="n">
        <x:v>0</x:v>
      </x:c>
      <x:c r="F46" s="85" t="n">
        <x:v>0</x:v>
      </x:c>
      <x:c r="G46" s="85" t="n">
        <x:v>0</x:v>
      </x:c>
      <x:c r="H46" s="85" t="n">
        <x:v>0</x:v>
      </x:c>
      <x:c r="I46" s="91" t="str"/>
      <x:c r="J46" s="91" t="str"/>
      <x:c r="K46" s="91" t="str">
        <x:v>ロード 金0/銀0/銅0、ITT 金0/銀0/銅0</x:v>
      </x:c>
      <x:c r="L46" s="91" t="str"/>
    </x:row>
    <x:row r="47" ht="24" customHeight="1">
      <x:c r="A47" s="82" t="n">
        <x:v>43</x:v>
      </x:c>
      <x:c r="B47" s="82" t="str">
        <x:v>Oscar Onley</x:v>
      </x:c>
      <x:c r="C47" s="85" t="n">
        <x:v>0</x:v>
      </x:c>
      <x:c r="D47" s="85" t="n">
        <x:v>0</x:v>
      </x:c>
      <x:c r="E47" s="85" t="n">
        <x:v>0</x:v>
      </x:c>
      <x:c r="F47" s="85" t="n">
        <x:v>0</x:v>
      </x:c>
      <x:c r="G47" s="85" t="n">
        <x:v>0</x:v>
      </x:c>
      <x:c r="H47" s="85" t="n">
        <x:v>0</x:v>
      </x:c>
      <x:c r="I47" s="91" t="str"/>
      <x:c r="J47" s="91" t="str"/>
      <x:c r="K47" s="91" t="str">
        <x:v>ロード 金0/銀0/銅0、ITT 金0/銀0/銅0</x:v>
      </x:c>
      <x:c r="L47" s="91" t="str"/>
    </x:row>
    <x:row r="48" ht="24" customHeight="1">
      <x:c r="A48" s="82" t="n">
        <x:v>44</x:v>
      </x:c>
      <x:c r="B48" s="82" t="str">
        <x:v>Benoit Cosnefroy</x:v>
      </x:c>
      <x:c r="C48" s="85" t="n">
        <x:v>0</x:v>
      </x:c>
      <x:c r="D48" s="85" t="n">
        <x:v>0</x:v>
      </x:c>
      <x:c r="E48" s="85" t="n">
        <x:v>0</x:v>
      </x:c>
      <x:c r="F48" s="85" t="n">
        <x:v>0</x:v>
      </x:c>
      <x:c r="G48" s="85" t="n">
        <x:v>0</x:v>
      </x:c>
      <x:c r="H48" s="85" t="n">
        <x:v>0</x:v>
      </x:c>
      <x:c r="I48" s="91" t="str"/>
      <x:c r="J48" s="91" t="str"/>
      <x:c r="K48" s="91" t="str">
        <x:v>ロード 金0/銀0/銅0、ITT 金0/銀0/銅0</x:v>
      </x:c>
      <x:c r="L48" s="91" t="str"/>
    </x:row>
    <x:row r="49" ht="24" customHeight="1">
      <x:c r="A49" s="82" t="n">
        <x:v>45</x:v>
      </x:c>
      <x:c r="B49" s="82" t="str">
        <x:v>Mads Pedersen (cyclist)</x:v>
      </x:c>
      <x:c r="C49" s="85" t="n">
        <x:v>0</x:v>
      </x:c>
      <x:c r="D49" s="85" t="n">
        <x:v>0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  <x:c r="I49" s="91" t="str"/>
      <x:c r="J49" s="91" t="str"/>
      <x:c r="K49" s="91" t="str"/>
      <x:c r="L49" s="91" t="str"/>
    </x:row>
    <x:row r="50" ht="24" customHeight="1">
      <x:c r="A50" s="82" t="n">
        <x:v>46</x:v>
      </x:c>
      <x:c r="B50" s="82" t="str">
        <x:v>Daniel Martínez (cyclist)</x:v>
      </x:c>
      <x:c r="C50" s="85" t="n">
        <x:v>0</x:v>
      </x:c>
      <x:c r="D50" s="85" t="n">
        <x:v>0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  <x:c r="I50" s="91" t="str"/>
      <x:c r="J50" s="91" t="str"/>
      <x:c r="K50" s="91" t="str"/>
      <x:c r="L50" s="91" t="str"/>
    </x:row>
    <x:row r="51" ht="24" customHeight="1">
      <x:c r="A51" s="82" t="n">
        <x:v>47</x:v>
      </x:c>
      <x:c r="B51" s="82" t="str">
        <x:v>Guillaume Martin</x:v>
      </x:c>
      <x:c r="C51" s="85" t="n">
        <x:v>0</x:v>
      </x:c>
      <x:c r="D51" s="85" t="n">
        <x:v>0</x:v>
      </x:c>
      <x:c r="E51" s="85" t="n">
        <x:v>0</x:v>
      </x:c>
      <x:c r="F51" s="85" t="n">
        <x:v>0</x:v>
      </x:c>
      <x:c r="G51" s="85" t="n">
        <x:v>0</x:v>
      </x:c>
      <x:c r="H51" s="85" t="n">
        <x:v>0</x:v>
      </x:c>
      <x:c r="I51" s="91" t="str"/>
      <x:c r="J51" s="91" t="str"/>
      <x:c r="K51" s="91" t="str">
        <x:v>ロード 金0/銀0/銅0、ITT 金0/銀0/銅0</x:v>
      </x:c>
      <x:c r="L51" s="91" t="str"/>
    </x:row>
    <x:row r="52" ht="24" customHeight="1">
      <x:c r="A52" s="82" t="n">
        <x:v>48</x:v>
      </x:c>
      <x:c r="B52" s="82" t="str">
        <x:v>Giulio Pellizzari</x:v>
      </x:c>
      <x:c r="C52" s="85" t="n">
        <x:v>0</x:v>
      </x:c>
      <x:c r="D52" s="85" t="n">
        <x:v>0</x:v>
      </x:c>
      <x:c r="E52" s="85" t="n">
        <x:v>0</x:v>
      </x:c>
      <x:c r="F52" s="85" t="n">
        <x:v>0</x:v>
      </x:c>
      <x:c r="G52" s="85" t="n">
        <x:v>0</x:v>
      </x:c>
      <x:c r="H52" s="85" t="n">
        <x:v>0</x:v>
      </x:c>
      <x:c r="I52" s="91" t="str"/>
      <x:c r="J52" s="91" t="str"/>
      <x:c r="K52" s="91" t="str">
        <x:v>ロード 金0/銀0/銅0、ITT 金0/銀0/銅0</x:v>
      </x:c>
      <x:c r="L52" s="91" t="str"/>
    </x:row>
    <x:row r="53" ht="24" customHeight="1">
      <x:c r="A53" s="82" t="n">
        <x:v>49</x:v>
      </x:c>
      <x:c r="B53" s="82" t="str">
        <x:v>Enric Mas</x:v>
      </x:c>
      <x:c r="C53" s="85" t="n">
        <x:v>0</x:v>
      </x:c>
      <x:c r="D53" s="85" t="n">
        <x:v>0</x:v>
      </x:c>
      <x:c r="E53" s="85" t="n">
        <x:v>0</x:v>
      </x:c>
      <x:c r="F53" s="85" t="n">
        <x:v>0</x:v>
      </x:c>
      <x:c r="G53" s="85" t="n">
        <x:v>0</x:v>
      </x:c>
      <x:c r="H53" s="85" t="n">
        <x:v>0</x:v>
      </x:c>
      <x:c r="I53" s="91" t="str"/>
      <x:c r="J53" s="91" t="str"/>
      <x:c r="K53" s="91" t="str">
        <x:v>ロード 金0/銀0/銅0、ITT 金0/銀0/銅0</x:v>
      </x:c>
      <x:c r="L53" s="91" t="str"/>
    </x:row>
    <x:row r="54" ht="24" customHeight="1">
      <x:c r="A54" s="82" t="n">
        <x:v>50</x:v>
      </x:c>
      <x:c r="B54" s="82" t="str">
        <x:v>Hugo Houle</x:v>
      </x:c>
      <x:c r="C54" s="85" t="n">
        <x:v>0</x:v>
      </x:c>
      <x:c r="D54" s="85" t="n">
        <x:v>0</x:v>
      </x:c>
      <x:c r="E54" s="85" t="n">
        <x:v>0</x:v>
      </x:c>
      <x:c r="F54" s="85" t="n">
        <x:v>0</x:v>
      </x:c>
      <x:c r="G54" s="85" t="n">
        <x:v>0</x:v>
      </x:c>
      <x:c r="H54" s="85" t="n">
        <x:v>0</x:v>
      </x:c>
      <x:c r="I54" s="91" t="str"/>
      <x:c r="J54" s="91" t="str"/>
      <x:c r="K54" s="91" t="str"/>
      <x:c r="L54" s="91" t="str"/>
    </x:row>
    <x:row r="55" ht="24" customHeight="1">
      <x:c r="A55" s="82" t="n">
        <x:v>51</x:v>
      </x:c>
      <x:c r="B55" s="82" t="str">
        <x:v>Joshua Tarling</x:v>
      </x:c>
      <x:c r="C55" s="85" t="n">
        <x:v>0</x:v>
      </x:c>
      <x:c r="D55" s="85" t="n">
        <x:v>0</x:v>
      </x:c>
      <x:c r="E55" s="85" t="n">
        <x:v>0</x:v>
      </x:c>
      <x:c r="F55" s="85" t="n">
        <x:v>0</x:v>
      </x:c>
      <x:c r="G55" s="85" t="n">
        <x:v>0</x:v>
      </x:c>
      <x:c r="H55" s="85" t="n">
        <x:v>1</x:v>
      </x:c>
      <x:c r="I55" s="91" t="str"/>
      <x:c r="J55" s="91" t="str"/>
      <x:c r="K55" s="91" t="str">
        <x:v>ロード 金0/銀0/銅0、ITT 金0/銀0/銅1</x:v>
      </x:c>
      <x:c r="L55" s="91" t="str">
        <x:v>https://www.uci.org/discipline/road/6TBjsDD8902tud440iv1Cu?discipline=ROA&amp;tab=results</x:v>
      </x:c>
    </x:row>
    <x:row r="56" ht="24" customHeight="1">
      <x:c r="A56" s="82" t="n">
        <x:v>52</x:v>
      </x:c>
      <x:c r="B56" s="82" t="str">
        <x:v>John Degenkolb</x:v>
      </x:c>
      <x:c r="C56" s="85" t="n">
        <x:v>0</x:v>
      </x:c>
      <x:c r="D56" s="85" t="n">
        <x:v>0</x:v>
      </x:c>
      <x:c r="E56" s="85" t="n">
        <x:v>0</x:v>
      </x:c>
      <x:c r="F56" s="85" t="n">
        <x:v>0</x:v>
      </x:c>
      <x:c r="G56" s="85" t="n">
        <x:v>0</x:v>
      </x:c>
      <x:c r="H56" s="85" t="n">
        <x:v>0</x:v>
      </x:c>
      <x:c r="I56" s="91" t="str"/>
      <x:c r="J56" s="91" t="str"/>
      <x:c r="K56" s="91" t="str">
        <x:v>ロード 金0/銀0/銅0、ITT 金0/銀0/銅0</x:v>
      </x:c>
      <x:c r="L56" s="91" t="str"/>
    </x:row>
    <x:row r="57" ht="24" customHeight="1">
      <x:c r="A57" s="82" t="n">
        <x:v>53</x:v>
      </x:c>
      <x:c r="B57" s="82" t="str">
        <x:v>Florian Sénéchal</x:v>
      </x:c>
      <x:c r="C57" s="85" t="n">
        <x:v>0</x:v>
      </x:c>
      <x:c r="D57" s="85" t="n">
        <x:v>0</x:v>
      </x:c>
      <x:c r="E57" s="85" t="n">
        <x:v>0</x:v>
      </x:c>
      <x:c r="F57" s="85" t="n">
        <x:v>0</x:v>
      </x:c>
      <x:c r="G57" s="85" t="n">
        <x:v>0</x:v>
      </x:c>
      <x:c r="H57" s="85" t="n">
        <x:v>0</x:v>
      </x:c>
      <x:c r="I57" s="91" t="str"/>
      <x:c r="J57" s="91" t="str"/>
      <x:c r="K57" s="91" t="str"/>
      <x:c r="L57" s="91" t="str"/>
    </x:row>
    <x:row r="58" ht="24" customHeight="1">
      <x:c r="A58" s="82" t="n">
        <x:v>54</x:v>
      </x:c>
      <x:c r="B58" s="82" t="str">
        <x:v>Bauke Mollema</x:v>
      </x:c>
      <x:c r="C58" s="85" t="n">
        <x:v>0</x:v>
      </x:c>
      <x:c r="D58" s="85" t="n">
        <x:v>0</x:v>
      </x:c>
      <x:c r="E58" s="85" t="n">
        <x:v>0</x:v>
      </x:c>
      <x:c r="F58" s="85" t="n">
        <x:v>0</x:v>
      </x:c>
      <x:c r="G58" s="85" t="n">
        <x:v>0</x:v>
      </x:c>
      <x:c r="H58" s="85" t="n">
        <x:v>0</x:v>
      </x:c>
      <x:c r="I58" s="91" t="str"/>
      <x:c r="J58" s="91" t="str"/>
      <x:c r="K58" s="91" t="str"/>
      <x:c r="L58" s="91" t="str"/>
    </x:row>
    <x:row r="59" ht="24" customHeight="1">
      <x:c r="A59" s="82" t="n">
        <x:v>55</x:v>
      </x:c>
      <x:c r="B59" s="82" t="str">
        <x:v>Victor Campenaerts</x:v>
      </x:c>
      <x:c r="C59" s="85" t="n">
        <x:v>0</x:v>
      </x:c>
      <x:c r="D59" s="85" t="n">
        <x:v>0</x:v>
      </x:c>
      <x:c r="E59" s="85" t="n">
        <x:v>0</x:v>
      </x:c>
      <x:c r="F59" s="85" t="n">
        <x:v>0</x:v>
      </x:c>
      <x:c r="G59" s="85" t="n">
        <x:v>0</x:v>
      </x:c>
      <x:c r="H59" s="85" t="n">
        <x:v>1</x:v>
      </x:c>
      <x:c r="I59" s="91" t="str"/>
      <x:c r="J59" s="91" t="str"/>
      <x:c r="K59" s="91" t="str">
        <x:v>ロード 金0/銀0/銅0、ITT 金0/銀0/銅1</x:v>
      </x:c>
      <x:c r="L59" s="91" t="str">
        <x:v>https://www.uci.org/discipline/road/6TBjsDD8902tud440iv1Cu?discipline=ROA&amp;tab=results</x:v>
      </x:c>
    </x:row>
    <x:row r="60" ht="24" customHeight="1">
      <x:c r="A60" s="82" t="n">
        <x:v>56</x:v>
      </x:c>
      <x:c r="B60" s="82" t="str">
        <x:v>Richard Carapaz</x:v>
      </x:c>
      <x:c r="C60" s="85" t="n">
        <x:v>0</x:v>
      </x:c>
      <x:c r="D60" s="85" t="n">
        <x:v>0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  <x:c r="I60" s="91" t="str"/>
      <x:c r="J60" s="91" t="str"/>
      <x:c r="K60" s="91" t="str">
        <x:v>ロード 金0/銀0/銅0、ITT 金0/銀0/銅0</x:v>
      </x:c>
      <x:c r="L60" s="91" t="str"/>
    </x:row>
    <x:row r="61" ht="24" customHeight="1">
      <x:c r="A61" s="82" t="n">
        <x:v>57</x:v>
      </x:c>
      <x:c r="B61" s="82" t="str">
        <x:v>George Bennett (cyclist)</x:v>
      </x:c>
      <x:c r="C61" s="85" t="n">
        <x:v>0</x:v>
      </x:c>
      <x:c r="D61" s="85" t="n">
        <x:v>0</x:v>
      </x:c>
      <x:c r="E61" s="85" t="n">
        <x:v>0</x:v>
      </x:c>
      <x:c r="F61" s="85" t="n">
        <x:v>0</x:v>
      </x:c>
      <x:c r="G61" s="85" t="n">
        <x:v>0</x:v>
      </x:c>
      <x:c r="H61" s="85" t="n">
        <x:v>0</x:v>
      </x:c>
      <x:c r="I61" s="91" t="str"/>
      <x:c r="J61" s="91" t="str"/>
      <x:c r="K61" s="91" t="str"/>
      <x:c r="L61" s="91" t="str"/>
    </x:row>
    <x:row r="62" ht="24" customHeight="1">
      <x:c r="A62" s="82" t="n">
        <x:v>58</x:v>
      </x:c>
      <x:c r="B62" s="82" t="str">
        <x:v>Lennert Van Eetvelt</x:v>
      </x:c>
      <x:c r="C62" s="85" t="n">
        <x:v>0</x:v>
      </x:c>
      <x:c r="D62" s="85" t="n">
        <x:v>0</x:v>
      </x:c>
      <x:c r="E62" s="85" t="n">
        <x:v>0</x:v>
      </x:c>
      <x:c r="F62" s="85" t="n">
        <x:v>0</x:v>
      </x:c>
      <x:c r="G62" s="85" t="n">
        <x:v>0</x:v>
      </x:c>
      <x:c r="H62" s="85" t="n">
        <x:v>0</x:v>
      </x:c>
      <x:c r="I62" s="91" t="str"/>
      <x:c r="J62" s="91" t="str"/>
      <x:c r="K62" s="91" t="str"/>
      <x:c r="L62" s="91" t="str"/>
    </x:row>
    <x:row r="63" ht="24" customHeight="1">
      <x:c r="A63" s="82" t="n">
        <x:v>59</x:v>
      </x:c>
      <x:c r="B63" s="82" t="str">
        <x:v>Stefan Bissegger</x:v>
      </x:c>
      <x:c r="C63" s="85" t="n">
        <x:v>0</x:v>
      </x:c>
      <x:c r="D63" s="85" t="n">
        <x:v>0</x:v>
      </x:c>
      <x:c r="E63" s="85" t="n">
        <x:v>0</x:v>
      </x:c>
      <x:c r="F63" s="85" t="n">
        <x:v>0</x:v>
      </x:c>
      <x:c r="G63" s="85" t="n">
        <x:v>0</x:v>
      </x:c>
      <x:c r="H63" s="85" t="n">
        <x:v>0</x:v>
      </x:c>
      <x:c r="I63" s="91" t="str"/>
      <x:c r="J63" s="91" t="str"/>
      <x:c r="K63" s="91" t="str">
        <x:v>ロード 金0/銀0/銅0、ITT 金0/銀0/銅0</x:v>
      </x:c>
      <x:c r="L63" s="91" t="str"/>
    </x:row>
    <x:row r="64" ht="24" customHeight="1">
      <x:c r="A64" s="82" t="n">
        <x:v>60</x:v>
      </x:c>
      <x:c r="B64" s="82" t="str">
        <x:v>Harry Sweeny</x:v>
      </x:c>
      <x:c r="C64" s="85" t="n">
        <x:v>0</x:v>
      </x:c>
      <x:c r="D64" s="85" t="n">
        <x:v>0</x:v>
      </x:c>
      <x:c r="E64" s="85" t="n">
        <x:v>0</x:v>
      </x:c>
      <x:c r="F64" s="85" t="n">
        <x:v>0</x:v>
      </x:c>
      <x:c r="G64" s="85" t="n">
        <x:v>0</x:v>
      </x:c>
      <x:c r="H64" s="85" t="n">
        <x:v>0</x:v>
      </x:c>
      <x:c r="I64" s="91" t="str"/>
      <x:c r="J64" s="91" t="str"/>
      <x:c r="K64" s="91" t="str"/>
      <x:c r="L64" s="91" t="str"/>
    </x:row>
    <x:row r="65" ht="24" customHeight="1">
      <x:c r="A65" s="82" t="n">
        <x:v>61</x:v>
      </x:c>
      <x:c r="B65" s="82" t="str">
        <x:v>Jefferson Alveiro Cepeda</x:v>
      </x:c>
      <x:c r="C65" s="85" t="n">
        <x:v>0</x:v>
      </x:c>
      <x:c r="D65" s="85" t="n">
        <x:v>0</x:v>
      </x:c>
      <x:c r="E65" s="85" t="n">
        <x:v>0</x:v>
      </x:c>
      <x:c r="F65" s="85" t="n">
        <x:v>0</x:v>
      </x:c>
      <x:c r="G65" s="85" t="n">
        <x:v>0</x:v>
      </x:c>
      <x:c r="H65" s="85" t="n">
        <x:v>0</x:v>
      </x:c>
      <x:c r="I65" s="91" t="str"/>
      <x:c r="J65" s="91" t="str"/>
      <x:c r="K65" s="91" t="str"/>
      <x:c r="L65" s="91" t="str"/>
    </x:row>
    <x:row r="66" ht="24" customHeight="1">
      <x:c r="A66" s="82" t="n">
        <x:v>62</x:v>
      </x:c>
      <x:c r="B66" s="82" t="str">
        <x:v>Gregor Mühlberger</x:v>
      </x:c>
      <x:c r="C66" s="85" t="n">
        <x:v>0</x:v>
      </x:c>
      <x:c r="D66" s="85" t="n">
        <x:v>0</x:v>
      </x:c>
      <x:c r="E66" s="85" t="n">
        <x:v>0</x:v>
      </x:c>
      <x:c r="F66" s="85" t="n">
        <x:v>0</x:v>
      </x:c>
      <x:c r="G66" s="85" t="n">
        <x:v>0</x:v>
      </x:c>
      <x:c r="H66" s="85" t="n">
        <x:v>0</x:v>
      </x:c>
      <x:c r="I66" s="91" t="str"/>
      <x:c r="J66" s="91" t="str"/>
      <x:c r="K66" s="91" t="str"/>
      <x:c r="L66" s="91" t="str"/>
    </x:row>
    <x:row r="67" ht="24" customHeight="1">
      <x:c r="A67" s="82" t="n">
        <x:v>63</x:v>
      </x:c>
      <x:c r="B67" s="82" t="str">
        <x:v>Lennard Kämna</x:v>
      </x:c>
      <x:c r="C67" s="85" t="n">
        <x:v>0</x:v>
      </x:c>
      <x:c r="D67" s="85" t="n">
        <x:v>0</x:v>
      </x:c>
      <x:c r="E67" s="85" t="n">
        <x:v>0</x:v>
      </x:c>
      <x:c r="F67" s="85" t="n">
        <x:v>0</x:v>
      </x:c>
      <x:c r="G67" s="85" t="n">
        <x:v>0</x:v>
      </x:c>
      <x:c r="H67" s="85" t="n">
        <x:v>0</x:v>
      </x:c>
      <x:c r="I67" s="91" t="str"/>
      <x:c r="J67" s="91" t="str"/>
      <x:c r="K67" s="91" t="str"/>
      <x:c r="L67" s="91" t="str"/>
    </x:row>
    <x:row r="68" ht="24" customHeight="1">
      <x:c r="A68" s="82" t="n">
        <x:v>64</x:v>
      </x:c>
      <x:c r="B68" s="82" t="str">
        <x:v>Lewis Askey</x:v>
      </x:c>
      <x:c r="C68" s="85" t="n">
        <x:v>0</x:v>
      </x:c>
      <x:c r="D68" s="85" t="n">
        <x:v>0</x:v>
      </x:c>
      <x:c r="E68" s="85" t="n">
        <x:v>0</x:v>
      </x:c>
      <x:c r="F68" s="85" t="n">
        <x:v>0</x:v>
      </x:c>
      <x:c r="G68" s="85" t="n">
        <x:v>0</x:v>
      </x:c>
      <x:c r="H68" s="85" t="n">
        <x:v>0</x:v>
      </x:c>
      <x:c r="I68" s="91" t="str"/>
      <x:c r="J68" s="91" t="str"/>
      <x:c r="K68" s="91" t="str"/>
      <x:c r="L68" s="91" t="str"/>
    </x:row>
    <x:row r="69" ht="24" customHeight="1">
      <x:c r="A69" s="82" t="n">
        <x:v>65</x:v>
      </x:c>
      <x:c r="B69" s="82" t="str">
        <x:v>Krists Neilands</x:v>
      </x:c>
      <x:c r="C69" s="85" t="n">
        <x:v>0</x:v>
      </x:c>
      <x:c r="D69" s="85" t="n">
        <x:v>0</x:v>
      </x:c>
      <x:c r="E69" s="85" t="n">
        <x:v>0</x:v>
      </x:c>
      <x:c r="F69" s="85" t="n">
        <x:v>0</x:v>
      </x:c>
      <x:c r="G69" s="85" t="n">
        <x:v>0</x:v>
      </x:c>
      <x:c r="H69" s="85" t="n">
        <x:v>0</x:v>
      </x:c>
      <x:c r="I69" s="91" t="str"/>
      <x:c r="J69" s="91" t="str"/>
      <x:c r="K69" s="91" t="str"/>
      <x:c r="L69" s="91" t="str"/>
    </x:row>
    <x:row r="70" ht="24" customHeight="1">
      <x:c r="A70" s="82" t="n">
        <x:v>66</x:v>
      </x:c>
      <x:c r="B70" s="82" t="str">
        <x:v>Alexey Lutsenko</x:v>
      </x:c>
      <x:c r="C70" s="85" t="n">
        <x:v>0</x:v>
      </x:c>
      <x:c r="D70" s="85" t="n">
        <x:v>0</x:v>
      </x:c>
      <x:c r="E70" s="85" t="n">
        <x:v>0</x:v>
      </x:c>
      <x:c r="F70" s="85" t="n">
        <x:v>0</x:v>
      </x:c>
      <x:c r="G70" s="85" t="n">
        <x:v>0</x:v>
      </x:c>
      <x:c r="H70" s="85" t="n">
        <x:v>0</x:v>
      </x:c>
      <x:c r="I70" s="91" t="str"/>
      <x:c r="J70" s="91" t="str"/>
      <x:c r="K70" s="91" t="str"/>
      <x:c r="L70" s="91" t="str"/>
    </x:row>
    <x:row r="71" ht="24" customHeight="1">
      <x:c r="A71" s="82" t="n">
        <x:v>67</x:v>
      </x:c>
      <x:c r="B71" s="82" t="str">
        <x:v>Carlos Rodríguez (cyclist)</x:v>
      </x:c>
      <x:c r="C71" s="85" t="n">
        <x:v>0</x:v>
      </x:c>
      <x:c r="D71" s="85" t="n">
        <x:v>0</x:v>
      </x:c>
      <x:c r="E71" s="85" t="n">
        <x:v>0</x:v>
      </x:c>
      <x:c r="F71" s="85" t="n">
        <x:v>0</x:v>
      </x:c>
      <x:c r="G71" s="85" t="n">
        <x:v>0</x:v>
      </x:c>
      <x:c r="H71" s="85" t="n">
        <x:v>0</x:v>
      </x:c>
      <x:c r="I71" s="91" t="str"/>
      <x:c r="J71" s="91" t="str"/>
      <x:c r="K71" s="91" t="str"/>
      <x:c r="L71" s="91" t="str"/>
    </x:row>
    <x:row r="72" ht="24" customHeight="1">
      <x:c r="A72" s="82" t="n">
        <x:v>68</x:v>
      </x:c>
      <x:c r="B72" s="82" t="str">
        <x:v>Nairo Quintana</x:v>
      </x:c>
      <x:c r="C72" s="85" t="n">
        <x:v>0</x:v>
      </x:c>
      <x:c r="D72" s="85" t="n">
        <x:v>0</x:v>
      </x:c>
      <x:c r="E72" s="85" t="n">
        <x:v>0</x:v>
      </x:c>
      <x:c r="F72" s="85" t="n">
        <x:v>0</x:v>
      </x:c>
      <x:c r="G72" s="85" t="n">
        <x:v>0</x:v>
      </x:c>
      <x:c r="H72" s="85" t="n">
        <x:v>0</x:v>
      </x:c>
      <x:c r="I72" s="91" t="str"/>
      <x:c r="J72" s="91" t="str"/>
      <x:c r="K72" s="91" t="str">
        <x:v>ロード 金0/銀0/銅0、ITT 金0/銀0/銅0</x:v>
      </x:c>
      <x:c r="L72" s="91" t="str"/>
    </x:row>
    <x:row r="73" ht="24" customHeight="1">
      <x:c r="A73" s="82" t="n">
        <x:v>69</x:v>
      </x:c>
      <x:c r="B73" s="82" t="str">
        <x:v>Andreas Leknessund</x:v>
      </x:c>
      <x:c r="C73" s="85" t="n">
        <x:v>0</x:v>
      </x:c>
      <x:c r="D73" s="85" t="n">
        <x:v>0</x:v>
      </x:c>
      <x:c r="E73" s="85" t="n">
        <x:v>0</x:v>
      </x:c>
      <x:c r="F73" s="85" t="n">
        <x:v>0</x:v>
      </x:c>
      <x:c r="G73" s="85" t="n">
        <x:v>0</x:v>
      </x:c>
      <x:c r="H73" s="85" t="n">
        <x:v>0</x:v>
      </x:c>
      <x:c r="I73" s="91" t="str"/>
      <x:c r="J73" s="91" t="str"/>
      <x:c r="K73" s="91" t="str"/>
      <x:c r="L73" s="91" t="str"/>
    </x:row>
    <x:row r="74" ht="24" customHeight="1">
      <x:c r="A74" s="82" t="n">
        <x:v>70</x:v>
      </x:c>
      <x:c r="B74" s="82" t="str">
        <x:v>Aleksandr Vlasov (cyclist)</x:v>
      </x:c>
      <x:c r="C74" s="85" t="n">
        <x:v>0</x:v>
      </x:c>
      <x:c r="D74" s="85" t="n">
        <x:v>0</x:v>
      </x:c>
      <x:c r="E74" s="85" t="n">
        <x:v>0</x:v>
      </x:c>
      <x:c r="F74" s="85" t="n">
        <x:v>0</x:v>
      </x:c>
      <x:c r="G74" s="85" t="n">
        <x:v>0</x:v>
      </x:c>
      <x:c r="H74" s="85" t="n">
        <x:v>0</x:v>
      </x:c>
      <x:c r="I74" s="91" t="str"/>
      <x:c r="J74" s="91" t="str"/>
      <x:c r="K74" s="91" t="str"/>
      <x:c r="L74" s="91" t="str"/>
    </x:row>
    <x:row r="75" ht="24" customHeight="1">
      <x:c r="A75" s="82" t="n">
        <x:v>71</x:v>
      </x:c>
      <x:c r="B75" s="82" t="str">
        <x:v>Carl-Frederik Bévort</x:v>
      </x:c>
      <x:c r="C75" s="85" t="n">
        <x:v>0</x:v>
      </x:c>
      <x:c r="D75" s="85" t="n">
        <x:v>0</x:v>
      </x:c>
      <x:c r="E75" s="85" t="n">
        <x:v>0</x:v>
      </x:c>
      <x:c r="F75" s="85" t="n">
        <x:v>0</x:v>
      </x:c>
      <x:c r="G75" s="85" t="n">
        <x:v>0</x:v>
      </x:c>
      <x:c r="H75" s="85" t="n">
        <x:v>0</x:v>
      </x:c>
      <x:c r="I75" s="91" t="str"/>
      <x:c r="J75" s="91" t="str"/>
      <x:c r="K75" s="91" t="str"/>
      <x:c r="L75" s="91" t="str"/>
    </x:row>
    <x:row r="76" ht="24" customHeight="1">
      <x:c r="A76" s="82" t="n">
        <x:v>72</x:v>
      </x:c>
      <x:c r="B76" s="82" t="str">
        <x:v>Frits Biesterbos</x:v>
      </x:c>
      <x:c r="C76" s="85" t="n">
        <x:v>0</x:v>
      </x:c>
      <x:c r="D76" s="85" t="n">
        <x:v>0</x:v>
      </x:c>
      <x:c r="E76" s="85" t="n">
        <x:v>0</x:v>
      </x:c>
      <x:c r="F76" s="85" t="n">
        <x:v>0</x:v>
      </x:c>
      <x:c r="G76" s="85" t="n">
        <x:v>0</x:v>
      </x:c>
      <x:c r="H76" s="85" t="n">
        <x:v>0</x:v>
      </x:c>
      <x:c r="I76" s="91" t="str"/>
      <x:c r="J76" s="91" t="str"/>
      <x:c r="K76" s="91" t="str"/>
      <x:c r="L76" s="91" t="str"/>
    </x:row>
    <x:row r="77" ht="24" customHeight="1">
      <x:c r="A77" s="82" t="n">
        <x:v>73</x:v>
      </x:c>
      <x:c r="B77" s="82" t="str">
        <x:v>Ethan Vernon</x:v>
      </x:c>
      <x:c r="C77" s="85" t="n">
        <x:v>0</x:v>
      </x:c>
      <x:c r="D77" s="85" t="n">
        <x:v>0</x:v>
      </x:c>
      <x:c r="E77" s="85" t="n">
        <x:v>0</x:v>
      </x:c>
      <x:c r="F77" s="85" t="n">
        <x:v>0</x:v>
      </x:c>
      <x:c r="G77" s="85" t="n">
        <x:v>0</x:v>
      </x:c>
      <x:c r="H77" s="85" t="n">
        <x:v>0</x:v>
      </x:c>
      <x:c r="I77" s="91" t="str"/>
      <x:c r="J77" s="91" t="str"/>
      <x:c r="K77" s="91" t="str"/>
      <x:c r="L77" s="91" t="str"/>
    </x:row>
    <x:row r="78" ht="24" customHeight="1">
      <x:c r="A78" s="82" t="n">
        <x:v>74</x:v>
      </x:c>
      <x:c r="B78" s="82" t="str">
        <x:v>Hugo Hofstetter</x:v>
      </x:c>
      <x:c r="C78" s="85" t="n">
        <x:v>0</x:v>
      </x:c>
      <x:c r="D78" s="85" t="n">
        <x:v>0</x:v>
      </x:c>
      <x:c r="E78" s="85" t="n">
        <x:v>0</x:v>
      </x:c>
      <x:c r="F78" s="85" t="n">
        <x:v>0</x:v>
      </x:c>
      <x:c r="G78" s="85" t="n">
        <x:v>0</x:v>
      </x:c>
      <x:c r="H78" s="85" t="n">
        <x:v>0</x:v>
      </x:c>
      <x:c r="I78" s="91" t="str"/>
      <x:c r="J78" s="91" t="str"/>
      <x:c r="K78" s="91" t="str"/>
      <x:c r="L78" s="91" t="str"/>
    </x:row>
    <x:row r="79" ht="24" customHeight="1">
      <x:c r="A79" s="82" t="n">
        <x:v>75</x:v>
      </x:c>
      <x:c r="B79" s="82" t="str">
        <x:v>Itamar Einhorn</x:v>
      </x:c>
      <x:c r="C79" s="85" t="n">
        <x:v>0</x:v>
      </x:c>
      <x:c r="D79" s="85" t="n">
        <x:v>0</x:v>
      </x:c>
      <x:c r="E79" s="85" t="n">
        <x:v>0</x:v>
      </x:c>
      <x:c r="F79" s="85" t="n">
        <x:v>0</x:v>
      </x:c>
      <x:c r="G79" s="85" t="n">
        <x:v>0</x:v>
      </x:c>
      <x:c r="H79" s="85" t="n">
        <x:v>0</x:v>
      </x:c>
      <x:c r="I79" s="91" t="str"/>
      <x:c r="J79" s="91" t="str"/>
      <x:c r="K79" s="91" t="str"/>
      <x:c r="L79" s="91" t="str"/>
    </x:row>
    <x:row r="80" ht="24" customHeight="1">
      <x:c r="A80" s="82" t="n">
        <x:v>76</x:v>
      </x:c>
      <x:c r="B80" s="82" t="str">
        <x:v>Albert Torres (cyclist)</x:v>
      </x:c>
      <x:c r="C80" s="85" t="n">
        <x:v>0</x:v>
      </x:c>
      <x:c r="D80" s="85" t="n">
        <x:v>0</x:v>
      </x:c>
      <x:c r="E80" s="85" t="n">
        <x:v>0</x:v>
      </x:c>
      <x:c r="F80" s="85" t="n">
        <x:v>0</x:v>
      </x:c>
      <x:c r="G80" s="85" t="n">
        <x:v>0</x:v>
      </x:c>
      <x:c r="H80" s="85" t="n">
        <x:v>0</x:v>
      </x:c>
      <x:c r="I80" s="91" t="str"/>
      <x:c r="J80" s="91" t="str"/>
      <x:c r="K80" s="91" t="str"/>
      <x:c r="L80" s="91" t="str"/>
    </x:row>
    <x:row r="81" ht="24" customHeight="1">
      <x:c r="A81" s="82" t="n">
        <x:v>77</x:v>
      </x:c>
      <x:c r="B81" s="82" t="str">
        <x:v>Iván García Cortina</x:v>
      </x:c>
      <x:c r="C81" s="85" t="n">
        <x:v>0</x:v>
      </x:c>
      <x:c r="D81" s="85" t="n">
        <x:v>0</x:v>
      </x:c>
      <x:c r="E81" s="85" t="n">
        <x:v>0</x:v>
      </x:c>
      <x:c r="F81" s="85" t="n">
        <x:v>0</x:v>
      </x:c>
      <x:c r="G81" s="85" t="n">
        <x:v>0</x:v>
      </x:c>
      <x:c r="H81" s="85" t="n">
        <x:v>0</x:v>
      </x:c>
      <x:c r="I81" s="91" t="str"/>
      <x:c r="J81" s="91" t="str"/>
      <x:c r="K81" s="91" t="str"/>
      <x:c r="L81" s="91" t="str"/>
    </x:row>
    <x:row r="82" ht="24" customHeight="1">
      <x:c r="A82" s="82" t="n">
        <x:v>78</x:v>
      </x:c>
      <x:c r="B82" s="82" t="str">
        <x:v>Kevin Geniets</x:v>
      </x:c>
      <x:c r="C82" s="85" t="n">
        <x:v>0</x:v>
      </x:c>
      <x:c r="D82" s="85" t="n">
        <x:v>0</x:v>
      </x:c>
      <x:c r="E82" s="85" t="n">
        <x:v>0</x:v>
      </x:c>
      <x:c r="F82" s="85" t="n">
        <x:v>0</x:v>
      </x:c>
      <x:c r="G82" s="85" t="n">
        <x:v>0</x:v>
      </x:c>
      <x:c r="H82" s="85" t="n">
        <x:v>0</x:v>
      </x:c>
      <x:c r="I82" s="91" t="str"/>
      <x:c r="J82" s="91" t="str"/>
      <x:c r="K82" s="91" t="str"/>
      <x:c r="L82" s="91" t="str"/>
    </x:row>
    <x:row r="83" ht="24" customHeight="1">
      <x:c r="A83" s="82" t="n">
        <x:v>79</x:v>
      </x:c>
      <x:c r="B83" s="82" t="str">
        <x:v>Anthon Charmig</x:v>
      </x:c>
      <x:c r="C83" s="85" t="n">
        <x:v>0</x:v>
      </x:c>
      <x:c r="D83" s="85" t="n">
        <x:v>0</x:v>
      </x:c>
      <x:c r="E83" s="85" t="n">
        <x:v>0</x:v>
      </x:c>
      <x:c r="F83" s="85" t="n">
        <x:v>0</x:v>
      </x:c>
      <x:c r="G83" s="85" t="n">
        <x:v>0</x:v>
      </x:c>
      <x:c r="H83" s="85" t="n">
        <x:v>0</x:v>
      </x:c>
      <x:c r="I83" s="91" t="str"/>
      <x:c r="J83" s="91" t="str"/>
      <x:c r="K83" s="91" t="str"/>
      <x:c r="L83" s="91" t="str"/>
    </x:row>
    <x:row r="84" ht="24" customHeight="1">
      <x:c r="A84" s="82" t="n">
        <x:v>80</x:v>
      </x:c>
      <x:c r="B84" s="82" t="str">
        <x:v>Andrea Bagioli</x:v>
      </x:c>
      <x:c r="C84" s="85" t="n">
        <x:v>0</x:v>
      </x:c>
      <x:c r="D84" s="85" t="n">
        <x:v>0</x:v>
      </x:c>
      <x:c r="E84" s="85" t="n">
        <x:v>0</x:v>
      </x:c>
      <x:c r="F84" s="85" t="n">
        <x:v>0</x:v>
      </x:c>
      <x:c r="G84" s="85" t="n">
        <x:v>0</x:v>
      </x:c>
      <x:c r="H84" s="85" t="n">
        <x:v>0</x:v>
      </x:c>
      <x:c r="I84" s="91" t="str"/>
      <x:c r="J84" s="91" t="str"/>
      <x:c r="K84" s="91" t="str"/>
      <x:c r="L84" s="91" t="str"/>
    </x:row>
    <x:row r="85" ht="24" customHeight="1">
      <x:c r="A85" s="82" t="n">
        <x:v>81</x:v>
      </x:c>
      <x:c r="B85" s="82" t="str">
        <x:v>Alan Hatherly</x:v>
      </x:c>
      <x:c r="C85" s="85" t="n">
        <x:v>0</x:v>
      </x:c>
      <x:c r="D85" s="85" t="n">
        <x:v>0</x:v>
      </x:c>
      <x:c r="E85" s="85" t="n">
        <x:v>0</x:v>
      </x:c>
      <x:c r="F85" s="85" t="n">
        <x:v>0</x:v>
      </x:c>
      <x:c r="G85" s="85" t="n">
        <x:v>0</x:v>
      </x:c>
      <x:c r="H85" s="85" t="n">
        <x:v>0</x:v>
      </x:c>
      <x:c r="I85" s="91" t="str"/>
      <x:c r="J85" s="91" t="str"/>
      <x:c r="K85" s="91" t="str"/>
      <x:c r="L85" s="91" t="str"/>
    </x:row>
    <x:row r="86" ht="24" customHeight="1">
      <x:c r="A86" s="82" t="n">
        <x:v>82</x:v>
      </x:c>
      <x:c r="B86" s="82" t="str">
        <x:v>Sepp Kuss</x:v>
      </x:c>
      <x:c r="C86" s="85" t="n">
        <x:v>0</x:v>
      </x:c>
      <x:c r="D86" s="85" t="n">
        <x:v>0</x:v>
      </x:c>
      <x:c r="E86" s="85" t="n">
        <x:v>0</x:v>
      </x:c>
      <x:c r="F86" s="85" t="n">
        <x:v>0</x:v>
      </x:c>
      <x:c r="G86" s="85" t="n">
        <x:v>0</x:v>
      </x:c>
      <x:c r="H86" s="85" t="n">
        <x:v>0</x:v>
      </x:c>
      <x:c r="I86" s="91" t="str"/>
      <x:c r="J86" s="91" t="str"/>
      <x:c r="K86" s="91" t="str">
        <x:v>ロード 金0/銀0/銅0、ITT 金0/銀0/銅0</x:v>
      </x:c>
      <x:c r="L86" s="91" t="str"/>
    </x:row>
    <x:row r="87" ht="24" customHeight="1">
      <x:c r="A87" s="82" t="n">
        <x:v>83</x:v>
      </x:c>
      <x:c r="B87" s="82" t="str">
        <x:v>Cedric Beullens</x:v>
      </x:c>
      <x:c r="C87" s="85" t="n">
        <x:v>0</x:v>
      </x:c>
      <x:c r="D87" s="85" t="n">
        <x:v>0</x:v>
      </x:c>
      <x:c r="E87" s="85" t="n">
        <x:v>0</x:v>
      </x:c>
      <x:c r="F87" s="85" t="n">
        <x:v>0</x:v>
      </x:c>
      <x:c r="G87" s="85" t="n">
        <x:v>0</x:v>
      </x:c>
      <x:c r="H87" s="85" t="n">
        <x:v>0</x:v>
      </x:c>
      <x:c r="I87" s="91" t="str"/>
      <x:c r="J87" s="91" t="str"/>
      <x:c r="K87" s="91" t="str"/>
      <x:c r="L87" s="91" t="str"/>
    </x:row>
    <x:row r="88" ht="24" customHeight="1">
      <x:c r="A88" s="82" t="n">
        <x:v>84</x:v>
      </x:c>
      <x:c r="B88" s="82" t="str">
        <x:v>Diego Ulissi</x:v>
      </x:c>
      <x:c r="C88" s="85" t="n">
        <x:v>0</x:v>
      </x:c>
      <x:c r="D88" s="85" t="n">
        <x:v>0</x:v>
      </x:c>
      <x:c r="E88" s="85" t="n">
        <x:v>0</x:v>
      </x:c>
      <x:c r="F88" s="85" t="n">
        <x:v>0</x:v>
      </x:c>
      <x:c r="G88" s="85" t="n">
        <x:v>0</x:v>
      </x:c>
      <x:c r="H88" s="85" t="n">
        <x:v>0</x:v>
      </x:c>
      <x:c r="I88" s="91" t="str"/>
      <x:c r="J88" s="91" t="str"/>
      <x:c r="K88" s="91" t="str"/>
      <x:c r="L88" s="91" t="str"/>
    </x:row>
    <x:row r="89" ht="24" customHeight="1">
      <x:c r="A89" s="82" t="n">
        <x:v>85</x:v>
      </x:c>
      <x:c r="B89" s="82" t="str">
        <x:v>Henri Uhlig</x:v>
      </x:c>
      <x:c r="C89" s="85" t="n">
        <x:v>0</x:v>
      </x:c>
      <x:c r="D89" s="85" t="n">
        <x:v>0</x:v>
      </x:c>
      <x:c r="E89" s="85" t="n">
        <x:v>0</x:v>
      </x:c>
      <x:c r="F89" s="85" t="n">
        <x:v>0</x:v>
      </x:c>
      <x:c r="G89" s="85" t="n">
        <x:v>0</x:v>
      </x:c>
      <x:c r="H89" s="85" t="n">
        <x:v>0</x:v>
      </x:c>
      <x:c r="I89" s="91" t="str"/>
      <x:c r="J89" s="91" t="str"/>
      <x:c r="K89" s="91" t="str"/>
      <x:c r="L89" s="91" t="str"/>
    </x:row>
    <x:row r="90" ht="24" customHeight="1">
      <x:c r="A90" s="82" t="n">
        <x:v>86</x:v>
      </x:c>
      <x:c r="B90" s="82" t="str">
        <x:v>Alberto Dainese</x:v>
      </x:c>
      <x:c r="C90" s="85" t="n">
        <x:v>0</x:v>
      </x:c>
      <x:c r="D90" s="85" t="n">
        <x:v>0</x:v>
      </x:c>
      <x:c r="E90" s="85" t="n">
        <x:v>0</x:v>
      </x:c>
      <x:c r="F90" s="85" t="n">
        <x:v>0</x:v>
      </x:c>
      <x:c r="G90" s="85" t="n">
        <x:v>0</x:v>
      </x:c>
      <x:c r="H90" s="85" t="n">
        <x:v>0</x:v>
      </x:c>
      <x:c r="I90" s="91" t="str"/>
      <x:c r="J90" s="91" t="str"/>
      <x:c r="K90" s="91" t="str"/>
      <x:c r="L90" s="91" t="str"/>
    </x:row>
    <x:row r="91" ht="24" customHeight="1">
      <x:c r="A91" s="82" t="n">
        <x:v>87</x:v>
      </x:c>
      <x:c r="B91" s="82" t="str">
        <x:v>Andrea Vendrame</x:v>
      </x:c>
      <x:c r="C91" s="85" t="n">
        <x:v>0</x:v>
      </x:c>
      <x:c r="D91" s="85" t="n">
        <x:v>0</x:v>
      </x:c>
      <x:c r="E91" s="85" t="n">
        <x:v>0</x:v>
      </x:c>
      <x:c r="F91" s="85" t="n">
        <x:v>0</x:v>
      </x:c>
      <x:c r="G91" s="85" t="n">
        <x:v>0</x:v>
      </x:c>
      <x:c r="H91" s="85" t="n">
        <x:v>0</x:v>
      </x:c>
      <x:c r="I91" s="91" t="str"/>
      <x:c r="J91" s="91" t="str"/>
      <x:c r="K91" s="91" t="str"/>
      <x:c r="L91" s="91" t="str"/>
    </x:row>
    <x:row r="92" ht="24" customHeight="1">
      <x:c r="A92" s="82" t="n">
        <x:v>88</x:v>
      </x:c>
      <x:c r="B92" s="82" t="str">
        <x:v>Amaury Capiot</x:v>
      </x:c>
      <x:c r="C92" s="85" t="n">
        <x:v>0</x:v>
      </x:c>
      <x:c r="D92" s="85" t="n">
        <x:v>0</x:v>
      </x:c>
      <x:c r="E92" s="85" t="n">
        <x:v>0</x:v>
      </x:c>
      <x:c r="F92" s="85" t="n">
        <x:v>0</x:v>
      </x:c>
      <x:c r="G92" s="85" t="n">
        <x:v>0</x:v>
      </x:c>
      <x:c r="H92" s="85" t="n">
        <x:v>0</x:v>
      </x:c>
      <x:c r="I92" s="91" t="str"/>
      <x:c r="J92" s="91" t="str"/>
      <x:c r="K92" s="91" t="str"/>
      <x:c r="L92" s="91" t="str"/>
    </x:row>
    <x:row r="93" ht="24" customHeight="1">
      <x:c r="A93" s="82" t="n">
        <x:v>89</x:v>
      </x:c>
      <x:c r="B93" s="82" t="str">
        <x:v>Jake Stewart (cyclist)</x:v>
      </x:c>
      <x:c r="C93" s="85" t="n">
        <x:v>0</x:v>
      </x:c>
      <x:c r="D93" s="85" t="n">
        <x:v>0</x:v>
      </x:c>
      <x:c r="E93" s="85" t="n">
        <x:v>0</x:v>
      </x:c>
      <x:c r="F93" s="85" t="n">
        <x:v>0</x:v>
      </x:c>
      <x:c r="G93" s="85" t="n">
        <x:v>0</x:v>
      </x:c>
      <x:c r="H93" s="85" t="n">
        <x:v>0</x:v>
      </x:c>
      <x:c r="I93" s="91" t="str"/>
      <x:c r="J93" s="91" t="str"/>
      <x:c r="K93" s="91" t="str"/>
      <x:c r="L93" s="91" t="str"/>
    </x:row>
    <x:row r="94" ht="24" customHeight="1">
      <x:c r="A94" s="82" t="n">
        <x:v>90</x:v>
      </x:c>
      <x:c r="B94" s="82" t="str">
        <x:v>Aaron Gate</x:v>
      </x:c>
      <x:c r="C94" s="85" t="n">
        <x:v>0</x:v>
      </x:c>
      <x:c r="D94" s="85" t="n">
        <x:v>0</x:v>
      </x:c>
      <x:c r="E94" s="85" t="n">
        <x:v>0</x:v>
      </x:c>
      <x:c r="F94" s="85" t="n">
        <x:v>0</x:v>
      </x:c>
      <x:c r="G94" s="85" t="n">
        <x:v>0</x:v>
      </x:c>
      <x:c r="H94" s="85" t="n">
        <x:v>0</x:v>
      </x:c>
      <x:c r="I94" s="91" t="str"/>
      <x:c r="J94" s="91" t="str"/>
      <x:c r="K94" s="91" t="str"/>
      <x:c r="L94" s="91" t="str"/>
    </x:row>
    <x:row r="95" ht="24" customHeight="1">
      <x:c r="A95" s="82" t="n">
        <x:v>91</x:v>
      </x:c>
      <x:c r="B95" s="82" t="str">
        <x:v>Jonas Abrahamsen</x:v>
      </x:c>
      <x:c r="C95" s="85" t="n">
        <x:v>0</x:v>
      </x:c>
      <x:c r="D95" s="85" t="n">
        <x:v>0</x:v>
      </x:c>
      <x:c r="E95" s="85" t="n">
        <x:v>0</x:v>
      </x:c>
      <x:c r="F95" s="85" t="n">
        <x:v>0</x:v>
      </x:c>
      <x:c r="G95" s="85" t="n">
        <x:v>0</x:v>
      </x:c>
      <x:c r="H95" s="85" t="n">
        <x:v>0</x:v>
      </x:c>
      <x:c r="I95" s="91" t="str"/>
      <x:c r="J95" s="91" t="str"/>
      <x:c r="K95" s="91" t="str"/>
      <x:c r="L95" s="91" t="str"/>
    </x:row>
    <x:row r="96" ht="24" customHeight="1">
      <x:c r="A96" s="82" t="n">
        <x:v>92</x:v>
      </x:c>
      <x:c r="B96" s="82" t="str">
        <x:v>Clément Russo</x:v>
      </x:c>
      <x:c r="C96" s="85" t="n">
        <x:v>0</x:v>
      </x:c>
      <x:c r="D96" s="85" t="n">
        <x:v>0</x:v>
      </x:c>
      <x:c r="E96" s="85" t="n">
        <x:v>0</x:v>
      </x:c>
      <x:c r="F96" s="85" t="n">
        <x:v>0</x:v>
      </x:c>
      <x:c r="G96" s="85" t="n">
        <x:v>0</x:v>
      </x:c>
      <x:c r="H96" s="85" t="n">
        <x:v>0</x:v>
      </x:c>
      <x:c r="I96" s="91" t="str"/>
      <x:c r="J96" s="91" t="str"/>
      <x:c r="K96" s="91" t="str"/>
      <x:c r="L96" s="91" t="str"/>
    </x:row>
    <x:row r="97" ht="24" customHeight="1">
      <x:c r="A97" s="82" t="n">
        <x:v>93</x:v>
      </x:c>
      <x:c r="B97" s="82" t="str">
        <x:v>Michał Kwiatkowski</x:v>
      </x:c>
      <x:c r="C97" s="85" t="n">
        <x:v>0</x:v>
      </x:c>
      <x:c r="D97" s="85" t="n">
        <x:v>0</x:v>
      </x:c>
      <x:c r="E97" s="85" t="n">
        <x:v>0</x:v>
      </x:c>
      <x:c r="F97" s="85" t="n">
        <x:v>0</x:v>
      </x:c>
      <x:c r="G97" s="85" t="n">
        <x:v>0</x:v>
      </x:c>
      <x:c r="H97" s="85" t="n">
        <x:v>0</x:v>
      </x:c>
      <x:c r="I97" s="91" t="str"/>
      <x:c r="J97" s="91" t="str"/>
      <x:c r="K97" s="91" t="str"/>
      <x:c r="L97" s="91" t="str"/>
    </x:row>
    <x:row r="98" ht="24" customHeight="1">
      <x:c r="A98" s="82" t="n">
        <x:v>94</x:v>
      </x:c>
      <x:c r="B98" s="82" t="str">
        <x:v>Attila Valter</x:v>
      </x:c>
      <x:c r="C98" s="85" t="n">
        <x:v>0</x:v>
      </x:c>
      <x:c r="D98" s="85" t="n">
        <x:v>0</x:v>
      </x:c>
      <x:c r="E98" s="85" t="n">
        <x:v>0</x:v>
      </x:c>
      <x:c r="F98" s="85" t="n">
        <x:v>0</x:v>
      </x:c>
      <x:c r="G98" s="85" t="n">
        <x:v>0</x:v>
      </x:c>
      <x:c r="H98" s="85" t="n">
        <x:v>0</x:v>
      </x:c>
      <x:c r="I98" s="91" t="str"/>
      <x:c r="J98" s="91" t="str"/>
      <x:c r="K98" s="91" t="str"/>
      <x:c r="L98" s="91" t="str"/>
    </x:row>
    <x:row r="99" ht="24" customHeight="1">
      <x:c r="A99" s="82" t="n">
        <x:v>95</x:v>
      </x:c>
      <x:c r="B99" s="82" t="str">
        <x:v>James Knox (cyclist)</x:v>
      </x:c>
      <x:c r="C99" s="85" t="n">
        <x:v>0</x:v>
      </x:c>
      <x:c r="D99" s="85" t="n">
        <x:v>0</x:v>
      </x:c>
      <x:c r="E99" s="85" t="n">
        <x:v>0</x:v>
      </x:c>
      <x:c r="F99" s="85" t="n">
        <x:v>0</x:v>
      </x:c>
      <x:c r="G99" s="85" t="n">
        <x:v>0</x:v>
      </x:c>
      <x:c r="H99" s="85" t="n">
        <x:v>0</x:v>
      </x:c>
      <x:c r="I99" s="91" t="str"/>
      <x:c r="J99" s="91" t="str"/>
      <x:c r="K99" s="91" t="str"/>
      <x:c r="L99" s="91" t="str"/>
    </x:row>
    <x:row r="100" ht="24" customHeight="1">
      <x:c r="A100" s="82" t="n">
        <x:v>96</x:v>
      </x:c>
      <x:c r="B100" s="82" t="str">
        <x:v>Léo Bisiaux</x:v>
      </x:c>
      <x:c r="C100" s="85" t="n">
        <x:v>0</x:v>
      </x:c>
      <x:c r="D100" s="85" t="n">
        <x:v>0</x:v>
      </x:c>
      <x:c r="E100" s="85" t="n">
        <x:v>0</x:v>
      </x:c>
      <x:c r="F100" s="85" t="n">
        <x:v>0</x:v>
      </x:c>
      <x:c r="G100" s="85" t="n">
        <x:v>0</x:v>
      </x:c>
      <x:c r="H100" s="85" t="n">
        <x:v>0</x:v>
      </x:c>
      <x:c r="I100" s="91" t="str"/>
      <x:c r="J100" s="91" t="str"/>
      <x:c r="K100" s="91" t="str"/>
      <x:c r="L100" s="91" t="str"/>
    </x:row>
    <x:row r="101" ht="24" customHeight="1">
      <x:c r="A101" s="82" t="n">
        <x:v>97</x:v>
      </x:c>
      <x:c r="B101" s="82" t="str">
        <x:v>Julien Bernard</x:v>
      </x:c>
      <x:c r="C101" s="85" t="n">
        <x:v>0</x:v>
      </x:c>
      <x:c r="D101" s="85" t="n">
        <x:v>0</x:v>
      </x:c>
      <x:c r="E101" s="85" t="n">
        <x:v>0</x:v>
      </x:c>
      <x:c r="F101" s="85" t="n">
        <x:v>0</x:v>
      </x:c>
      <x:c r="G101" s="85" t="n">
        <x:v>0</x:v>
      </x:c>
      <x:c r="H101" s="85" t="n">
        <x:v>0</x:v>
      </x:c>
      <x:c r="I101" s="91" t="str"/>
      <x:c r="J101" s="91" t="str"/>
      <x:c r="K101" s="91" t="str"/>
      <x:c r="L101" s="91" t="str"/>
    </x:row>
    <x:row r="102" ht="24" customHeight="1">
      <x:c r="A102" s="82" t="n">
        <x:v>98</x:v>
      </x:c>
      <x:c r="B102" s="82" t="str">
        <x:v>Jørgen Nordhagen</x:v>
      </x:c>
      <x:c r="C102" s="85" t="n">
        <x:v>0</x:v>
      </x:c>
      <x:c r="D102" s="85" t="n">
        <x:v>0</x:v>
      </x:c>
      <x:c r="E102" s="85" t="n">
        <x:v>0</x:v>
      </x:c>
      <x:c r="F102" s="85" t="n">
        <x:v>0</x:v>
      </x:c>
      <x:c r="G102" s="85" t="n">
        <x:v>0</x:v>
      </x:c>
      <x:c r="H102" s="85" t="n">
        <x:v>0</x:v>
      </x:c>
      <x:c r="I102" s="91" t="str"/>
      <x:c r="J102" s="91" t="str"/>
      <x:c r="K102" s="91" t="str"/>
      <x:c r="L102" s="91" t="str"/>
    </x:row>
    <x:row r="103" ht="24" customHeight="1">
      <x:c r="A103" s="82" t="n">
        <x:v>99</x:v>
      </x:c>
      <x:c r="B103" s="82" t="str">
        <x:v>Alessandro Pinarello</x:v>
      </x:c>
      <x:c r="C103" s="85" t="n">
        <x:v>0</x:v>
      </x:c>
      <x:c r="D103" s="85" t="n">
        <x:v>0</x:v>
      </x:c>
      <x:c r="E103" s="85" t="n">
        <x:v>0</x:v>
      </x:c>
      <x:c r="F103" s="85" t="n">
        <x:v>0</x:v>
      </x:c>
      <x:c r="G103" s="85" t="n">
        <x:v>0</x:v>
      </x:c>
      <x:c r="H103" s="85" t="n">
        <x:v>0</x:v>
      </x:c>
      <x:c r="I103" s="91" t="str"/>
      <x:c r="J103" s="91" t="str"/>
      <x:c r="K103" s="91" t="str"/>
      <x:c r="L103" s="91" t="str"/>
    </x:row>
    <x:row r="104" ht="24" customHeight="1">
      <x:c r="A104" s="82" t="n">
        <x:v>100</x:v>
      </x:c>
      <x:c r="B104" s="82" t="str">
        <x:v>Ilan Van Wilder</x:v>
      </x:c>
      <x:c r="C104" s="85" t="n">
        <x:v>0</x:v>
      </x:c>
      <x:c r="D104" s="85" t="n">
        <x:v>0</x:v>
      </x:c>
      <x:c r="E104" s="85" t="n">
        <x:v>0</x:v>
      </x:c>
      <x:c r="F104" s="85" t="n">
        <x:v>0</x:v>
      </x:c>
      <x:c r="G104" s="85" t="n">
        <x:v>0</x:v>
      </x:c>
      <x:c r="H104" s="85" t="n">
        <x:v>0</x:v>
      </x:c>
      <x:c r="I104" s="91" t="str"/>
      <x:c r="J104" s="91" t="str"/>
      <x:c r="K104" s="91" t="str"/>
      <x:c r="L104" s="91" t="str"/>
    </x:row>
    <x:row r="105" ht="24" customHeight="1">
      <x:c r="A105" s="82" t="n">
        <x:v>101</x:v>
      </x:c>
      <x:c r="B105" s="82" t="str">
        <x:v>Felix Ørn-Kristoff</x:v>
      </x:c>
      <x:c r="C105" s="85" t="n">
        <x:v>0</x:v>
      </x:c>
      <x:c r="D105" s="85" t="n">
        <x:v>0</x:v>
      </x:c>
      <x:c r="E105" s="85" t="n">
        <x:v>0</x:v>
      </x:c>
      <x:c r="F105" s="85" t="n">
        <x:v>0</x:v>
      </x:c>
      <x:c r="G105" s="85" t="n">
        <x:v>0</x:v>
      </x:c>
      <x:c r="H105" s="85" t="n">
        <x:v>0</x:v>
      </x:c>
      <x:c r="I105" s="91" t="str"/>
      <x:c r="J105" s="91" t="str"/>
      <x:c r="K105" s="91" t="str"/>
      <x:c r="L105" s="91" t="str"/>
    </x:row>
    <x:row r="106" ht="24" customHeight="1">
      <x:c r="A106" s="82" t="n">
        <x:v>102</x:v>
      </x:c>
      <x:c r="B106" s="82" t="str">
        <x:v>Jan Hirt</x:v>
      </x:c>
      <x:c r="C106" s="85" t="n">
        <x:v>0</x:v>
      </x:c>
      <x:c r="D106" s="85" t="n">
        <x:v>0</x:v>
      </x:c>
      <x:c r="E106" s="85" t="n">
        <x:v>0</x:v>
      </x:c>
      <x:c r="F106" s="85" t="n">
        <x:v>0</x:v>
      </x:c>
      <x:c r="G106" s="85" t="n">
        <x:v>0</x:v>
      </x:c>
      <x:c r="H106" s="85" t="n">
        <x:v>0</x:v>
      </x:c>
      <x:c r="I106" s="91" t="str"/>
      <x:c r="J106" s="91" t="str"/>
      <x:c r="K106" s="91" t="str"/>
      <x:c r="L106" s="91" t="str"/>
    </x:row>
    <x:row r="107" ht="24" customHeight="1">
      <x:c r="A107" s="82" t="n">
        <x:v>103</x:v>
      </x:c>
      <x:c r="B107" s="82" t="str">
        <x:v>Cian Uijtdebroeks</x:v>
      </x:c>
      <x:c r="C107" s="85" t="n">
        <x:v>0</x:v>
      </x:c>
      <x:c r="D107" s="85" t="n">
        <x:v>0</x:v>
      </x:c>
      <x:c r="E107" s="85" t="n">
        <x:v>0</x:v>
      </x:c>
      <x:c r="F107" s="85" t="n">
        <x:v>0</x:v>
      </x:c>
      <x:c r="G107" s="85" t="n">
        <x:v>0</x:v>
      </x:c>
      <x:c r="H107" s="85" t="n">
        <x:v>0</x:v>
      </x:c>
      <x:c r="I107" s="91" t="str"/>
      <x:c r="J107" s="91" t="str"/>
      <x:c r="K107" s="91" t="str"/>
      <x:c r="L107" s="91" t="str"/>
    </x:row>
    <x:row r="108" ht="24" customHeight="1">
      <x:c r="A108" s="82" t="n">
        <x:v>104</x:v>
      </x:c>
      <x:c r="B108" s="82" t="str">
        <x:v>Ben Healy (cyclist)</x:v>
      </x:c>
      <x:c r="C108" s="85" t="n">
        <x:v>0</x:v>
      </x:c>
      <x:c r="D108" s="85" t="n">
        <x:v>0</x:v>
      </x:c>
      <x:c r="E108" s="85" t="n">
        <x:v>0</x:v>
      </x:c>
      <x:c r="F108" s="85" t="n">
        <x:v>0</x:v>
      </x:c>
      <x:c r="G108" s="85" t="n">
        <x:v>0</x:v>
      </x:c>
      <x:c r="H108" s="85" t="n">
        <x:v>0</x:v>
      </x:c>
      <x:c r="I108" s="91" t="str"/>
      <x:c r="J108" s="91" t="str"/>
      <x:c r="K108" s="91" t="str"/>
      <x:c r="L108" s="91" t="str"/>
    </x:row>
    <x:row r="109" ht="24" customHeight="1">
      <x:c r="A109" s="82" t="n">
        <x:v>105</x:v>
      </x:c>
      <x:c r="B109" s="82" t="str">
        <x:v>Enzo Paleni</x:v>
      </x:c>
      <x:c r="C109" s="85" t="n">
        <x:v>0</x:v>
      </x:c>
      <x:c r="D109" s="85" t="n">
        <x:v>0</x:v>
      </x:c>
      <x:c r="E109" s="85" t="n">
        <x:v>0</x:v>
      </x:c>
      <x:c r="F109" s="85" t="n">
        <x:v>0</x:v>
      </x:c>
      <x:c r="G109" s="85" t="n">
        <x:v>0</x:v>
      </x:c>
      <x:c r="H109" s="85" t="n">
        <x:v>0</x:v>
      </x:c>
      <x:c r="I109" s="91" t="str"/>
      <x:c r="J109" s="91" t="str"/>
      <x:c r="K109" s="91" t="str"/>
      <x:c r="L109" s="91" t="str"/>
    </x:row>
    <x:row r="110" ht="24" customHeight="1">
      <x:c r="A110" s="82" t="n">
        <x:v>106</x:v>
      </x:c>
      <x:c r="B110" s="82" t="str">
        <x:v>Corbin Strong</x:v>
      </x:c>
      <x:c r="C110" s="85" t="n">
        <x:v>0</x:v>
      </x:c>
      <x:c r="D110" s="85" t="n">
        <x:v>0</x:v>
      </x:c>
      <x:c r="E110" s="85" t="n">
        <x:v>0</x:v>
      </x:c>
      <x:c r="F110" s="85" t="n">
        <x:v>0</x:v>
      </x:c>
      <x:c r="G110" s="85" t="n">
        <x:v>0</x:v>
      </x:c>
      <x:c r="H110" s="85" t="n">
        <x:v>0</x:v>
      </x:c>
      <x:c r="I110" s="91" t="str"/>
      <x:c r="J110" s="91" t="str"/>
      <x:c r="K110" s="91" t="str"/>
      <x:c r="L110" s="91" t="str"/>
    </x:row>
    <x:row r="111" ht="24" customHeight="1">
      <x:c r="A111" s="82" t="n">
        <x:v>107</x:v>
      </x:c>
      <x:c r="B111" s="82" t="str">
        <x:v>Lorenzo Rota</x:v>
      </x:c>
      <x:c r="C111" s="85" t="n">
        <x:v>0</x:v>
      </x:c>
      <x:c r="D111" s="85" t="n">
        <x:v>0</x:v>
      </x:c>
      <x:c r="E111" s="85" t="n">
        <x:v>0</x:v>
      </x:c>
      <x:c r="F111" s="85" t="n">
        <x:v>0</x:v>
      </x:c>
      <x:c r="G111" s="85" t="n">
        <x:v>0</x:v>
      </x:c>
      <x:c r="H111" s="85" t="n">
        <x:v>0</x:v>
      </x:c>
      <x:c r="I111" s="91" t="str"/>
      <x:c r="J111" s="91" t="str"/>
      <x:c r="K111" s="91" t="str"/>
      <x:c r="L111" s="91" t="str"/>
    </x:row>
    <x:row r="112" ht="24" customHeight="1">
      <x:c r="A112" s="82" t="n">
        <x:v>108</x:v>
      </x:c>
      <x:c r="B112" s="82" t="str">
        <x:v>Anders Skaarseth</x:v>
      </x:c>
      <x:c r="C112" s="85" t="n">
        <x:v>0</x:v>
      </x:c>
      <x:c r="D112" s="85" t="n">
        <x:v>0</x:v>
      </x:c>
      <x:c r="E112" s="85" t="n">
        <x:v>0</x:v>
      </x:c>
      <x:c r="F112" s="85" t="n">
        <x:v>0</x:v>
      </x:c>
      <x:c r="G112" s="85" t="n">
        <x:v>0</x:v>
      </x:c>
      <x:c r="H112" s="85" t="n">
        <x:v>0</x:v>
      </x:c>
      <x:c r="I112" s="91" t="str"/>
      <x:c r="J112" s="91" t="str"/>
      <x:c r="K112" s="91" t="str"/>
      <x:c r="L112" s="91" t="str"/>
    </x:row>
    <x:row r="113" ht="24" customHeight="1">
      <x:c r="A113" s="82" t="n">
        <x:v>109</x:v>
      </x:c>
      <x:c r="B113" s="82" t="str">
        <x:v>Johan Jacobs</x:v>
      </x:c>
      <x:c r="C113" s="85" t="n">
        <x:v>0</x:v>
      </x:c>
      <x:c r="D113" s="85" t="n">
        <x:v>0</x:v>
      </x:c>
      <x:c r="E113" s="85" t="n">
        <x:v>0</x:v>
      </x:c>
      <x:c r="F113" s="85" t="n">
        <x:v>0</x:v>
      </x:c>
      <x:c r="G113" s="85" t="n">
        <x:v>0</x:v>
      </x:c>
      <x:c r="H113" s="85" t="n">
        <x:v>0</x:v>
      </x:c>
      <x:c r="I113" s="91" t="str"/>
      <x:c r="J113" s="91" t="str"/>
      <x:c r="K113" s="91" t="str"/>
      <x:c r="L113" s="91" t="str"/>
    </x:row>
    <x:row r="114" ht="24" customHeight="1">
      <x:c r="A114" s="82" t="n">
        <x:v>110</x:v>
      </x:c>
      <x:c r="B114" s="82" t="str">
        <x:v>Callum Scotson</x:v>
      </x:c>
      <x:c r="C114" s="85" t="n">
        <x:v>0</x:v>
      </x:c>
      <x:c r="D114" s="85" t="n">
        <x:v>0</x:v>
      </x:c>
      <x:c r="E114" s="85" t="n">
        <x:v>0</x:v>
      </x:c>
      <x:c r="F114" s="85" t="n">
        <x:v>0</x:v>
      </x:c>
      <x:c r="G114" s="85" t="n">
        <x:v>0</x:v>
      </x:c>
      <x:c r="H114" s="85" t="n">
        <x:v>0</x:v>
      </x:c>
      <x:c r="I114" s="91" t="str"/>
      <x:c r="J114" s="91" t="str"/>
      <x:c r="K114" s="91" t="str"/>
      <x:c r="L114" s="91" t="str"/>
    </x:row>
    <x:row r="115" ht="24" customHeight="1">
      <x:c r="A115" s="82" t="n">
        <x:v>111</x:v>
      </x:c>
      <x:c r="B115" s="82" t="str">
        <x:v>Lukas Nerurkar</x:v>
      </x:c>
      <x:c r="C115" s="85" t="n">
        <x:v>0</x:v>
      </x:c>
      <x:c r="D115" s="85" t="n">
        <x:v>0</x:v>
      </x:c>
      <x:c r="E115" s="85" t="n">
        <x:v>0</x:v>
      </x:c>
      <x:c r="F115" s="85" t="n">
        <x:v>0</x:v>
      </x:c>
      <x:c r="G115" s="85" t="n">
        <x:v>0</x:v>
      </x:c>
      <x:c r="H115" s="85" t="n">
        <x:v>0</x:v>
      </x:c>
      <x:c r="I115" s="91" t="str"/>
      <x:c r="J115" s="91" t="str"/>
      <x:c r="K115" s="91" t="str"/>
      <x:c r="L115" s="91" t="str"/>
    </x:row>
    <x:row r="116" ht="24" customHeight="1">
      <x:c r="A116" s="82" t="n">
        <x:v>112</x:v>
      </x:c>
      <x:c r="B116" s="82" t="str">
        <x:v>Filippo Zana</x:v>
      </x:c>
      <x:c r="C116" s="85" t="n">
        <x:v>0</x:v>
      </x:c>
      <x:c r="D116" s="85" t="n">
        <x:v>0</x:v>
      </x:c>
      <x:c r="E116" s="85" t="n">
        <x:v>0</x:v>
      </x:c>
      <x:c r="F116" s="85" t="n">
        <x:v>0</x:v>
      </x:c>
      <x:c r="G116" s="85" t="n">
        <x:v>0</x:v>
      </x:c>
      <x:c r="H116" s="85" t="n">
        <x:v>0</x:v>
      </x:c>
      <x:c r="I116" s="91" t="str"/>
      <x:c r="J116" s="91" t="str"/>
      <x:c r="K116" s="91" t="str"/>
      <x:c r="L116" s="91" t="str"/>
    </x:row>
    <x:row r="117" ht="24" customHeight="1">
      <x:c r="A117" s="82" t="n">
        <x:v>113</x:v>
      </x:c>
      <x:c r="B117" s="82" t="str">
        <x:v>Filippo Conca</x:v>
      </x:c>
      <x:c r="C117" s="85" t="n">
        <x:v>0</x:v>
      </x:c>
      <x:c r="D117" s="85" t="n">
        <x:v>0</x:v>
      </x:c>
      <x:c r="E117" s="85" t="n">
        <x:v>0</x:v>
      </x:c>
      <x:c r="F117" s="85" t="n">
        <x:v>0</x:v>
      </x:c>
      <x:c r="G117" s="85" t="n">
        <x:v>0</x:v>
      </x:c>
      <x:c r="H117" s="85" t="n">
        <x:v>0</x:v>
      </x:c>
      <x:c r="I117" s="91" t="str"/>
      <x:c r="J117" s="91" t="str"/>
      <x:c r="K117" s="91" t="str"/>
      <x:c r="L117" s="91" t="str"/>
    </x:row>
    <x:row r="118" ht="24" customHeight="1">
      <x:c r="A118" s="82" t="n">
        <x:v>114</x:v>
      </x:c>
      <x:c r="B118" s="82" t="str">
        <x:v>James Shaw (cyclist)</x:v>
      </x:c>
      <x:c r="C118" s="85" t="n">
        <x:v>0</x:v>
      </x:c>
      <x:c r="D118" s="85" t="n">
        <x:v>0</x:v>
      </x:c>
      <x:c r="E118" s="85" t="n">
        <x:v>0</x:v>
      </x:c>
      <x:c r="F118" s="85" t="n">
        <x:v>0</x:v>
      </x:c>
      <x:c r="G118" s="85" t="n">
        <x:v>0</x:v>
      </x:c>
      <x:c r="H118" s="85" t="n">
        <x:v>0</x:v>
      </x:c>
      <x:c r="I118" s="91" t="str"/>
      <x:c r="J118" s="91" t="str"/>
      <x:c r="K118" s="91" t="str"/>
      <x:c r="L118" s="91" t="str"/>
    </x:row>
    <x:row r="119" ht="24" customHeight="1">
      <x:c r="A119" s="82" t="n">
        <x:v>115</x:v>
      </x:c>
      <x:c r="B119" s="82" t="str">
        <x:v>Alex Baudin</x:v>
      </x:c>
      <x:c r="C119" s="85" t="n">
        <x:v>0</x:v>
      </x:c>
      <x:c r="D119" s="85" t="n">
        <x:v>0</x:v>
      </x:c>
      <x:c r="E119" s="85" t="n">
        <x:v>0</x:v>
      </x:c>
      <x:c r="F119" s="85" t="n">
        <x:v>0</x:v>
      </x:c>
      <x:c r="G119" s="85" t="n">
        <x:v>0</x:v>
      </x:c>
      <x:c r="H119" s="85" t="n">
        <x:v>0</x:v>
      </x:c>
      <x:c r="I119" s="91" t="str"/>
      <x:c r="J119" s="91" t="str"/>
      <x:c r="K119" s="91" t="str"/>
      <x:c r="L119" s="91" t="str"/>
    </x:row>
    <x:row r="120" ht="24" customHeight="1">
      <x:c r="A120" s="82" t="n">
        <x:v>116</x:v>
      </x:c>
      <x:c r="B120" s="82" t="str">
        <x:v>Alexander Kamp</x:v>
      </x:c>
      <x:c r="C120" s="85" t="n">
        <x:v>0</x:v>
      </x:c>
      <x:c r="D120" s="85" t="n">
        <x:v>0</x:v>
      </x:c>
      <x:c r="E120" s="85" t="n">
        <x:v>0</x:v>
      </x:c>
      <x:c r="F120" s="85" t="n">
        <x:v>0</x:v>
      </x:c>
      <x:c r="G120" s="85" t="n">
        <x:v>0</x:v>
      </x:c>
      <x:c r="H120" s="85" t="n">
        <x:v>0</x:v>
      </x:c>
      <x:c r="I120" s="91" t="str"/>
      <x:c r="J120" s="91" t="str"/>
      <x:c r="K120" s="91" t="str"/>
      <x:c r="L120" s="91" t="str"/>
    </x:row>
    <x:row r="121" ht="24" customHeight="1">
      <x:c r="A121" s="82" t="n">
        <x:v>117</x:v>
      </x:c>
      <x:c r="B121" s="82" t="str">
        <x:v>Jorge Arcas</x:v>
      </x:c>
      <x:c r="C121" s="85" t="n">
        <x:v>0</x:v>
      </x:c>
      <x:c r="D121" s="85" t="n">
        <x:v>0</x:v>
      </x:c>
      <x:c r="E121" s="85" t="n">
        <x:v>0</x:v>
      </x:c>
      <x:c r="F121" s="85" t="n">
        <x:v>0</x:v>
      </x:c>
      <x:c r="G121" s="85" t="n">
        <x:v>0</x:v>
      </x:c>
      <x:c r="H121" s="85" t="n">
        <x:v>0</x:v>
      </x:c>
      <x:c r="I121" s="91" t="str"/>
      <x:c r="J121" s="91" t="str"/>
      <x:c r="K121" s="91" t="str"/>
      <x:c r="L121" s="91" t="str"/>
    </x:row>
    <x:row r="122" ht="24" customHeight="1">
      <x:c r="A122" s="82" t="n">
        <x:v>118</x:v>
      </x:c>
      <x:c r="B122" s="82" t="str">
        <x:v>Jon Barrenetxea</x:v>
      </x:c>
      <x:c r="C122" s="85" t="n">
        <x:v>0</x:v>
      </x:c>
      <x:c r="D122" s="85" t="n">
        <x:v>0</x:v>
      </x:c>
      <x:c r="E122" s="85" t="n">
        <x:v>0</x:v>
      </x:c>
      <x:c r="F122" s="85" t="n">
        <x:v>0</x:v>
      </x:c>
      <x:c r="G122" s="85" t="n">
        <x:v>0</x:v>
      </x:c>
      <x:c r="H122" s="85" t="n">
        <x:v>0</x:v>
      </x:c>
      <x:c r="I122" s="91" t="str"/>
      <x:c r="J122" s="91" t="str"/>
      <x:c r="K122" s="91" t="str"/>
      <x:c r="L122" s="91" t="str"/>
    </x:row>
    <x:row r="123" ht="24" customHeight="1">
      <x:c r="A123" s="82" t="n">
        <x:v>119</x:v>
      </x:c>
      <x:c r="B123" s="82" t="str">
        <x:v>Jefferson Alexander Cepeda</x:v>
      </x:c>
      <x:c r="C123" s="85" t="n">
        <x:v>0</x:v>
      </x:c>
      <x:c r="D123" s="85" t="n">
        <x:v>0</x:v>
      </x:c>
      <x:c r="E123" s="85" t="n">
        <x:v>0</x:v>
      </x:c>
      <x:c r="F123" s="85" t="n">
        <x:v>0</x:v>
      </x:c>
      <x:c r="G123" s="85" t="n">
        <x:v>0</x:v>
      </x:c>
      <x:c r="H123" s="85" t="n">
        <x:v>0</x:v>
      </x:c>
      <x:c r="I123" s="91" t="str"/>
      <x:c r="J123" s="91" t="str"/>
      <x:c r="K123" s="91" t="str"/>
      <x:c r="L123" s="91" t="str"/>
    </x:row>
    <x:row r="124" ht="24" customHeight="1">
      <x:c r="A124" s="82" t="n">
        <x:v>120</x:v>
      </x:c>
      <x:c r="B124" s="82" t="str">
        <x:v>Aaron Dockx</x:v>
      </x:c>
      <x:c r="C124" s="85" t="n">
        <x:v>0</x:v>
      </x:c>
      <x:c r="D124" s="85" t="n">
        <x:v>0</x:v>
      </x:c>
      <x:c r="E124" s="85" t="n">
        <x:v>0</x:v>
      </x:c>
      <x:c r="F124" s="85" t="n">
        <x:v>0</x:v>
      </x:c>
      <x:c r="G124" s="85" t="n">
        <x:v>0</x:v>
      </x:c>
      <x:c r="H124" s="85" t="n">
        <x:v>0</x:v>
      </x:c>
      <x:c r="I124" s="91" t="str"/>
      <x:c r="J124" s="91" t="str"/>
      <x:c r="K124" s="91" t="str"/>
      <x:c r="L124" s="91" t="str"/>
    </x:row>
    <x:row r="125" ht="24" customHeight="1">
      <x:c r="A125" s="82" t="n">
        <x:v>121</x:v>
      </x:c>
      <x:c r="B125" s="82" t="str">
        <x:v>Filippo Fiorelli</x:v>
      </x:c>
      <x:c r="C125" s="85" t="n">
        <x:v>0</x:v>
      </x:c>
      <x:c r="D125" s="85" t="n">
        <x:v>0</x:v>
      </x:c>
      <x:c r="E125" s="85" t="n">
        <x:v>0</x:v>
      </x:c>
      <x:c r="F125" s="85" t="n">
        <x:v>0</x:v>
      </x:c>
      <x:c r="G125" s="85" t="n">
        <x:v>0</x:v>
      </x:c>
      <x:c r="H125" s="85" t="n">
        <x:v>0</x:v>
      </x:c>
      <x:c r="I125" s="91" t="str"/>
      <x:c r="J125" s="91" t="str"/>
      <x:c r="K125" s="91" t="str"/>
      <x:c r="L125" s="91" t="str"/>
    </x:row>
    <x:row r="126" ht="24" customHeight="1">
      <x:c r="A126" s="82" t="n">
        <x:v>122</x:v>
      </x:c>
      <x:c r="B126" s="82" t="str">
        <x:v>Axel Zingle</x:v>
      </x:c>
      <x:c r="C126" s="85" t="n">
        <x:v>0</x:v>
      </x:c>
      <x:c r="D126" s="85" t="n">
        <x:v>0</x:v>
      </x:c>
      <x:c r="E126" s="85" t="n">
        <x:v>0</x:v>
      </x:c>
      <x:c r="F126" s="85" t="n">
        <x:v>0</x:v>
      </x:c>
      <x:c r="G126" s="85" t="n">
        <x:v>0</x:v>
      </x:c>
      <x:c r="H126" s="85" t="n">
        <x:v>0</x:v>
      </x:c>
      <x:c r="I126" s="91" t="str"/>
      <x:c r="J126" s="91" t="str"/>
      <x:c r="K126" s="91" t="str"/>
      <x:c r="L126" s="91" t="str"/>
    </x:row>
    <x:row r="127" ht="24" customHeight="1">
      <x:c r="A127" s="82" t="n">
        <x:v>123</x:v>
      </x:c>
      <x:c r="B127" s="82" t="str">
        <x:v>Ben Swift</x:v>
      </x:c>
      <x:c r="C127" s="85" t="n">
        <x:v>0</x:v>
      </x:c>
      <x:c r="D127" s="85" t="n">
        <x:v>0</x:v>
      </x:c>
      <x:c r="E127" s="85" t="n">
        <x:v>0</x:v>
      </x:c>
      <x:c r="F127" s="85" t="n">
        <x:v>0</x:v>
      </x:c>
      <x:c r="G127" s="85" t="n">
        <x:v>0</x:v>
      </x:c>
      <x:c r="H127" s="85" t="n">
        <x:v>0</x:v>
      </x:c>
      <x:c r="I127" s="91" t="str"/>
      <x:c r="J127" s="91" t="str"/>
      <x:c r="K127" s="91" t="str"/>
      <x:c r="L127" s="91" t="str"/>
    </x:row>
    <x:row r="128" ht="24" customHeight="1">
      <x:c r="A128" s="82" t="n">
        <x:v>124</x:v>
      </x:c>
      <x:c r="B128" s="82" t="str">
        <x:v>Juan Guillermo Martínez</x:v>
      </x:c>
      <x:c r="C128" s="85" t="n">
        <x:v>0</x:v>
      </x:c>
      <x:c r="D128" s="85" t="n">
        <x:v>0</x:v>
      </x:c>
      <x:c r="E128" s="85" t="n">
        <x:v>0</x:v>
      </x:c>
      <x:c r="F128" s="85" t="n">
        <x:v>0</x:v>
      </x:c>
      <x:c r="G128" s="85" t="n">
        <x:v>0</x:v>
      </x:c>
      <x:c r="H128" s="85" t="n">
        <x:v>0</x:v>
      </x:c>
      <x:c r="I128" s="91" t="str"/>
      <x:c r="J128" s="91" t="str"/>
      <x:c r="K128" s="91" t="str"/>
      <x:c r="L128" s="91" t="str"/>
    </x:row>
    <x:row r="129" ht="24" customHeight="1">
      <x:c r="A129" s="82" t="n">
        <x:v>125</x:v>
      </x:c>
      <x:c r="B129" s="82" t="str">
        <x:v>Bjoern Koerdt</x:v>
      </x:c>
      <x:c r="C129" s="85" t="n">
        <x:v>0</x:v>
      </x:c>
      <x:c r="D129" s="85" t="n">
        <x:v>0</x:v>
      </x:c>
      <x:c r="E129" s="85" t="n">
        <x:v>0</x:v>
      </x:c>
      <x:c r="F129" s="85" t="n">
        <x:v>0</x:v>
      </x:c>
      <x:c r="G129" s="85" t="n">
        <x:v>0</x:v>
      </x:c>
      <x:c r="H129" s="85" t="n">
        <x:v>0</x:v>
      </x:c>
      <x:c r="I129" s="91" t="str"/>
      <x:c r="J129" s="91" t="str"/>
      <x:c r="K129" s="91" t="str"/>
      <x:c r="L129" s="91" t="str"/>
    </x:row>
    <x:row r="130" ht="24" customHeight="1">
      <x:c r="A130" s="82" t="n">
        <x:v>126</x:v>
      </x:c>
      <x:c r="B130" s="82" t="str">
        <x:v>Marijn van den Berg</x:v>
      </x:c>
      <x:c r="C130" s="85" t="n">
        <x:v>0</x:v>
      </x:c>
      <x:c r="D130" s="85" t="n">
        <x:v>0</x:v>
      </x:c>
      <x:c r="E130" s="85" t="n">
        <x:v>0</x:v>
      </x:c>
      <x:c r="F130" s="85" t="n">
        <x:v>0</x:v>
      </x:c>
      <x:c r="G130" s="85" t="n">
        <x:v>0</x:v>
      </x:c>
      <x:c r="H130" s="85" t="n">
        <x:v>0</x:v>
      </x:c>
      <x:c r="I130" s="91" t="str"/>
      <x:c r="J130" s="91" t="str"/>
      <x:c r="K130" s="91" t="str"/>
      <x:c r="L130" s="91" t="str"/>
    </x:row>
    <x:row r="131" ht="24" customHeight="1">
      <x:c r="A131" s="82" t="n">
        <x:v>127</x:v>
      </x:c>
      <x:c r="B131" s="82" t="str">
        <x:v>Huub Artz</x:v>
      </x:c>
      <x:c r="C131" s="85" t="n">
        <x:v>0</x:v>
      </x:c>
      <x:c r="D131" s="85" t="n">
        <x:v>0</x:v>
      </x:c>
      <x:c r="E131" s="85" t="n">
        <x:v>0</x:v>
      </x:c>
      <x:c r="F131" s="85" t="n">
        <x:v>0</x:v>
      </x:c>
      <x:c r="G131" s="85" t="n">
        <x:v>0</x:v>
      </x:c>
      <x:c r="H131" s="85" t="n">
        <x:v>0</x:v>
      </x:c>
      <x:c r="I131" s="91" t="str"/>
      <x:c r="J131" s="91" t="str"/>
      <x:c r="K131" s="91" t="str"/>
      <x:c r="L131" s="91" t="str"/>
    </x:row>
    <x:row r="132" ht="24" customHeight="1">
      <x:c r="A132" s="82" t="n">
        <x:v>128</x:v>
      </x:c>
      <x:c r="B132" s="82" t="str">
        <x:v>Jonas Iversby Hvideberg</x:v>
      </x:c>
      <x:c r="C132" s="85" t="n">
        <x:v>0</x:v>
      </x:c>
      <x:c r="D132" s="85" t="n">
        <x:v>0</x:v>
      </x:c>
      <x:c r="E132" s="85" t="n">
        <x:v>0</x:v>
      </x:c>
      <x:c r="F132" s="85" t="n">
        <x:v>0</x:v>
      </x:c>
      <x:c r="G132" s="85" t="n">
        <x:v>0</x:v>
      </x:c>
      <x:c r="H132" s="85" t="n">
        <x:v>0</x:v>
      </x:c>
      <x:c r="I132" s="91" t="str"/>
      <x:c r="J132" s="91" t="str"/>
      <x:c r="K132" s="91" t="str"/>
      <x:c r="L132" s="91" t="str"/>
    </x:row>
    <x:row r="133" ht="24" customHeight="1">
      <x:c r="A133" s="82" t="n">
        <x:v>129</x:v>
      </x:c>
      <x:c r="B133" s="82" t="str">
        <x:v>Julius van den Berg</x:v>
      </x:c>
      <x:c r="C133" s="85" t="n">
        <x:v>0</x:v>
      </x:c>
      <x:c r="D133" s="85" t="n">
        <x:v>0</x:v>
      </x:c>
      <x:c r="E133" s="85" t="n">
        <x:v>0</x:v>
      </x:c>
      <x:c r="F133" s="85" t="n">
        <x:v>0</x:v>
      </x:c>
      <x:c r="G133" s="85" t="n">
        <x:v>0</x:v>
      </x:c>
      <x:c r="H133" s="85" t="n">
        <x:v>0</x:v>
      </x:c>
      <x:c r="I133" s="91" t="str"/>
      <x:c r="J133" s="91" t="str"/>
      <x:c r="K133" s="91" t="str"/>
      <x:c r="L133" s="91" t="str"/>
    </x:row>
    <x:row r="134" ht="24" customHeight="1">
      <x:c r="A134" s="82" t="n">
        <x:v>130</x:v>
      </x:c>
      <x:c r="B134" s="82" t="str">
        <x:v>Iván Romeo</x:v>
      </x:c>
      <x:c r="C134" s="85" t="n">
        <x:v>0</x:v>
      </x:c>
      <x:c r="D134" s="85" t="n">
        <x:v>0</x:v>
      </x:c>
      <x:c r="E134" s="85" t="n">
        <x:v>0</x:v>
      </x:c>
      <x:c r="F134" s="85" t="n">
        <x:v>0</x:v>
      </x:c>
      <x:c r="G134" s="85" t="n">
        <x:v>0</x:v>
      </x:c>
      <x:c r="H134" s="85" t="n">
        <x:v>0</x:v>
      </x:c>
      <x:c r="I134" s="91" t="str"/>
      <x:c r="J134" s="91" t="str"/>
      <x:c r="K134" s="91" t="str"/>
      <x:c r="L134" s="91" t="str"/>
    </x:row>
    <x:row r="135" ht="24" customHeight="1">
      <x:c r="A135" s="82" t="n">
        <x:v>131</x:v>
      </x:c>
      <x:c r="B135" s="82" t="str">
        <x:v>Casper van Uden</x:v>
      </x:c>
      <x:c r="C135" s="85" t="n">
        <x:v>0</x:v>
      </x:c>
      <x:c r="D135" s="85" t="n">
        <x:v>0</x:v>
      </x:c>
      <x:c r="E135" s="85" t="n">
        <x:v>0</x:v>
      </x:c>
      <x:c r="F135" s="85" t="n">
        <x:v>0</x:v>
      </x:c>
      <x:c r="G135" s="85" t="n">
        <x:v>0</x:v>
      </x:c>
      <x:c r="H135" s="85" t="n">
        <x:v>0</x:v>
      </x:c>
      <x:c r="I135" s="91" t="str"/>
      <x:c r="J135" s="91" t="str"/>
      <x:c r="K135" s="91" t="str"/>
      <x:c r="L135" s="91" t="str"/>
    </x:row>
    <x:row r="136" ht="24" customHeight="1">
      <x:c r="A136" s="82" t="n">
        <x:v>132</x:v>
      </x:c>
      <x:c r="B136" s="82" t="str">
        <x:v>Andreas Kron</x:v>
      </x:c>
      <x:c r="C136" s="85" t="n">
        <x:v>0</x:v>
      </x:c>
      <x:c r="D136" s="85" t="n">
        <x:v>0</x:v>
      </x:c>
      <x:c r="E136" s="85" t="n">
        <x:v>0</x:v>
      </x:c>
      <x:c r="F136" s="85" t="n">
        <x:v>0</x:v>
      </x:c>
      <x:c r="G136" s="85" t="n">
        <x:v>0</x:v>
      </x:c>
      <x:c r="H136" s="85" t="n">
        <x:v>0</x:v>
      </x:c>
      <x:c r="I136" s="91" t="str"/>
      <x:c r="J136" s="91" t="str"/>
      <x:c r="K136" s="91" t="str"/>
      <x:c r="L136" s="91" t="str"/>
    </x:row>
    <x:row r="137" ht="24" customHeight="1">
      <x:c r="A137" s="82" t="n">
        <x:v>133</x:v>
      </x:c>
      <x:c r="B137" s="82" t="str">
        <x:v>Cees Bol</x:v>
      </x:c>
      <x:c r="C137" s="85" t="n">
        <x:v>0</x:v>
      </x:c>
      <x:c r="D137" s="85" t="n">
        <x:v>0</x:v>
      </x:c>
      <x:c r="E137" s="85" t="n">
        <x:v>0</x:v>
      </x:c>
      <x:c r="F137" s="85" t="n">
        <x:v>0</x:v>
      </x:c>
      <x:c r="G137" s="85" t="n">
        <x:v>0</x:v>
      </x:c>
      <x:c r="H137" s="85" t="n">
        <x:v>0</x:v>
      </x:c>
      <x:c r="I137" s="91" t="str"/>
      <x:c r="J137" s="91" t="str"/>
      <x:c r="K137" s="91" t="str"/>
      <x:c r="L137" s="91" t="str"/>
    </x:row>
    <x:row r="138" ht="24" customHeight="1">
      <x:c r="A138" s="82" t="n">
        <x:v>134</x:v>
      </x:c>
      <x:c r="B138" s="82" t="str">
        <x:v>Darren Rafferty</x:v>
      </x:c>
      <x:c r="C138" s="85" t="n">
        <x:v>0</x:v>
      </x:c>
      <x:c r="D138" s="85" t="n">
        <x:v>0</x:v>
      </x:c>
      <x:c r="E138" s="85" t="n">
        <x:v>0</x:v>
      </x:c>
      <x:c r="F138" s="85" t="n">
        <x:v>0</x:v>
      </x:c>
      <x:c r="G138" s="85" t="n">
        <x:v>0</x:v>
      </x:c>
      <x:c r="H138" s="85" t="n">
        <x:v>0</x:v>
      </x:c>
      <x:c r="I138" s="91" t="str"/>
      <x:c r="J138" s="91" t="str"/>
      <x:c r="K138" s="91" t="str"/>
      <x:c r="L138" s="91" t="str"/>
    </x:row>
    <x:row r="139" ht="24" customHeight="1">
      <x:c r="A139" s="82" t="n">
        <x:v>135</x:v>
      </x:c>
      <x:c r="B139" s="82" t="str">
        <x:v>Amanuel Ghebreigzabhier</x:v>
      </x:c>
      <x:c r="C139" s="85" t="n">
        <x:v>0</x:v>
      </x:c>
      <x:c r="D139" s="85" t="n">
        <x:v>0</x:v>
      </x:c>
      <x:c r="E139" s="85" t="n">
        <x:v>0</x:v>
      </x:c>
      <x:c r="F139" s="85" t="n">
        <x:v>0</x:v>
      </x:c>
      <x:c r="G139" s="85" t="n">
        <x:v>0</x:v>
      </x:c>
      <x:c r="H139" s="85" t="n">
        <x:v>0</x:v>
      </x:c>
      <x:c r="I139" s="91" t="str"/>
      <x:c r="J139" s="91" t="str"/>
      <x:c r="K139" s="91" t="str"/>
      <x:c r="L139" s="91" t="str"/>
    </x:row>
    <x:row r="140" ht="24" customHeight="1">
      <x:c r="A140" s="82" t="n">
        <x:v>136</x:v>
      </x:c>
      <x:c r="B140" s="82" t="str">
        <x:v>Jay Vine</x:v>
      </x:c>
      <x:c r="C140" s="85" t="n">
        <x:v>0</x:v>
      </x:c>
      <x:c r="D140" s="85" t="n">
        <x:v>0</x:v>
      </x:c>
      <x:c r="E140" s="85" t="n">
        <x:v>0</x:v>
      </x:c>
      <x:c r="F140" s="85" t="n">
        <x:v>0</x:v>
      </x:c>
      <x:c r="G140" s="85" t="n">
        <x:v>0</x:v>
      </x:c>
      <x:c r="H140" s="85" t="n">
        <x:v>0</x:v>
      </x:c>
      <x:c r="I140" s="91" t="str"/>
      <x:c r="J140" s="91" t="str"/>
      <x:c r="K140" s="91" t="str"/>
      <x:c r="L140" s="91" t="str"/>
    </x:row>
    <x:row r="141" ht="24" customHeight="1">
      <x:c r="A141" s="82" t="n">
        <x:v>137</x:v>
      </x:c>
      <x:c r="B141" s="82" t="str">
        <x:v>António Morgado</x:v>
      </x:c>
      <x:c r="C141" s="85" t="n">
        <x:v>0</x:v>
      </x:c>
      <x:c r="D141" s="85" t="n">
        <x:v>0</x:v>
      </x:c>
      <x:c r="E141" s="85" t="n">
        <x:v>0</x:v>
      </x:c>
      <x:c r="F141" s="85" t="n">
        <x:v>0</x:v>
      </x:c>
      <x:c r="G141" s="85" t="n">
        <x:v>0</x:v>
      </x:c>
      <x:c r="H141" s="85" t="n">
        <x:v>0</x:v>
      </x:c>
      <x:c r="I141" s="91" t="str"/>
      <x:c r="J141" s="91" t="str"/>
      <x:c r="K141" s="91" t="str"/>
      <x:c r="L141" s="91" t="str"/>
    </x:row>
    <x:row r="142" ht="24" customHeight="1">
      <x:c r="A142" s="82" t="n">
        <x:v>138</x:v>
      </x:c>
      <x:c r="B142" s="82" t="str">
        <x:v>Joshua Giddings (cyclist)</x:v>
      </x:c>
      <x:c r="C142" s="85" t="n">
        <x:v>0</x:v>
      </x:c>
      <x:c r="D142" s="85" t="n">
        <x:v>0</x:v>
      </x:c>
      <x:c r="E142" s="85" t="n">
        <x:v>0</x:v>
      </x:c>
      <x:c r="F142" s="85" t="n">
        <x:v>0</x:v>
      </x:c>
      <x:c r="G142" s="85" t="n">
        <x:v>0</x:v>
      </x:c>
      <x:c r="H142" s="85" t="n">
        <x:v>0</x:v>
      </x:c>
      <x:c r="I142" s="91" t="str"/>
      <x:c r="J142" s="91" t="str"/>
      <x:c r="K142" s="91" t="str"/>
      <x:c r="L142" s="91" t="str"/>
    </x:row>
    <x:row r="143" ht="24" customHeight="1">
      <x:c r="A143" s="82" t="n">
        <x:v>139</x:v>
      </x:c>
      <x:c r="B143" s="82" t="str">
        <x:v>Edward Planckaert</x:v>
      </x:c>
      <x:c r="C143" s="85" t="n">
        <x:v>0</x:v>
      </x:c>
      <x:c r="D143" s="85" t="n">
        <x:v>0</x:v>
      </x:c>
      <x:c r="E143" s="85" t="n">
        <x:v>0</x:v>
      </x:c>
      <x:c r="F143" s="85" t="n">
        <x:v>0</x:v>
      </x:c>
      <x:c r="G143" s="85" t="n">
        <x:v>0</x:v>
      </x:c>
      <x:c r="H143" s="85" t="n">
        <x:v>0</x:v>
      </x:c>
      <x:c r="I143" s="91" t="str"/>
      <x:c r="J143" s="91" t="str"/>
      <x:c r="K143" s="91" t="str"/>
      <x:c r="L143" s="91" t="str"/>
    </x:row>
    <x:row r="144" ht="24" customHeight="1">
      <x:c r="A144" s="82" t="n">
        <x:v>140</x:v>
      </x:c>
      <x:c r="B144" s="82" t="str">
        <x:v>Colby Simmons</x:v>
      </x:c>
      <x:c r="C144" s="85" t="n">
        <x:v>0</x:v>
      </x:c>
      <x:c r="D144" s="85" t="n">
        <x:v>0</x:v>
      </x:c>
      <x:c r="E144" s="85" t="n">
        <x:v>0</x:v>
      </x:c>
      <x:c r="F144" s="85" t="n">
        <x:v>0</x:v>
      </x:c>
      <x:c r="G144" s="85" t="n">
        <x:v>0</x:v>
      </x:c>
      <x:c r="H144" s="85" t="n">
        <x:v>0</x:v>
      </x:c>
      <x:c r="I144" s="91" t="str"/>
      <x:c r="J144" s="91" t="str"/>
      <x:c r="K144" s="91" t="str"/>
      <x:c r="L144" s="91" t="str"/>
    </x:row>
    <x:row r="145" ht="24" customHeight="1">
      <x:c r="A145" s="82" t="n">
        <x:v>141</x:v>
      </x:c>
      <x:c r="B145" s="82" t="str">
        <x:v>Anton Schiffer</x:v>
      </x:c>
      <x:c r="C145" s="85" t="n">
        <x:v>0</x:v>
      </x:c>
      <x:c r="D145" s="85" t="n">
        <x:v>0</x:v>
      </x:c>
      <x:c r="E145" s="85" t="n">
        <x:v>0</x:v>
      </x:c>
      <x:c r="F145" s="85" t="n">
        <x:v>0</x:v>
      </x:c>
      <x:c r="G145" s="85" t="n">
        <x:v>0</x:v>
      </x:c>
      <x:c r="H145" s="85" t="n">
        <x:v>0</x:v>
      </x:c>
      <x:c r="I145" s="91" t="str"/>
      <x:c r="J145" s="91" t="str"/>
      <x:c r="K145" s="91" t="str"/>
      <x:c r="L145" s="91" t="str"/>
    </x:row>
    <x:row r="146" ht="24" customHeight="1">
      <x:c r="A146" s="82" t="n">
        <x:v>142</x:v>
      </x:c>
      <x:c r="B146" s="82" t="str">
        <x:v>Javier Romo</x:v>
      </x:c>
      <x:c r="C146" s="85" t="n">
        <x:v>0</x:v>
      </x:c>
      <x:c r="D146" s="85" t="n">
        <x:v>0</x:v>
      </x:c>
      <x:c r="E146" s="85" t="n">
        <x:v>0</x:v>
      </x:c>
      <x:c r="F146" s="85" t="n">
        <x:v>0</x:v>
      </x:c>
      <x:c r="G146" s="85" t="n">
        <x:v>0</x:v>
      </x:c>
      <x:c r="H146" s="85" t="n">
        <x:v>0</x:v>
      </x:c>
      <x:c r="I146" s="91" t="str"/>
      <x:c r="J146" s="91" t="str"/>
      <x:c r="K146" s="91" t="str"/>
      <x:c r="L146" s="91" t="str"/>
    </x:row>
    <x:row r="147" ht="24" customHeight="1">
      <x:c r="A147" s="82" t="n">
        <x:v>143</x:v>
      </x:c>
      <x:c r="B147" s="82" t="str">
        <x:v>Magnus Cort</x:v>
      </x:c>
      <x:c r="C147" s="85" t="n">
        <x:v>0</x:v>
      </x:c>
      <x:c r="D147" s="85" t="n">
        <x:v>0</x:v>
      </x:c>
      <x:c r="E147" s="85" t="n">
        <x:v>0</x:v>
      </x:c>
      <x:c r="F147" s="85" t="n">
        <x:v>0</x:v>
      </x:c>
      <x:c r="G147" s="85" t="n">
        <x:v>0</x:v>
      </x:c>
      <x:c r="H147" s="85" t="n">
        <x:v>0</x:v>
      </x:c>
      <x:c r="I147" s="91" t="str"/>
      <x:c r="J147" s="91" t="str"/>
      <x:c r="K147" s="91" t="str"/>
      <x:c r="L147" s="91" t="str"/>
    </x:row>
    <x:row r="148" ht="24" customHeight="1">
      <x:c r="A148" s="82" t="n">
        <x:v>144</x:v>
      </x:c>
      <x:c r="B148" s="82" t="str">
        <x:v>Christian Scaroni</x:v>
      </x:c>
      <x:c r="C148" s="85" t="n">
        <x:v>0</x:v>
      </x:c>
      <x:c r="D148" s="85" t="n">
        <x:v>0</x:v>
      </x:c>
      <x:c r="E148" s="85" t="n">
        <x:v>0</x:v>
      </x:c>
      <x:c r="F148" s="85" t="n">
        <x:v>0</x:v>
      </x:c>
      <x:c r="G148" s="85" t="n">
        <x:v>0</x:v>
      </x:c>
      <x:c r="H148" s="85" t="n">
        <x:v>0</x:v>
      </x:c>
      <x:c r="I148" s="91" t="str"/>
      <x:c r="J148" s="91" t="str"/>
      <x:c r="K148" s="91" t="str"/>
      <x:c r="L148" s="91" t="str"/>
    </x:row>
    <x:row r="149" ht="24" customHeight="1">
      <x:c r="A149" s="82" t="n">
        <x:v>145</x:v>
      </x:c>
      <x:c r="B149" s="82" t="str">
        <x:v>Cristián Rodríguez (cyclist)</x:v>
      </x:c>
      <x:c r="C149" s="85" t="n">
        <x:v>0</x:v>
      </x:c>
      <x:c r="D149" s="85" t="n">
        <x:v>0</x:v>
      </x:c>
      <x:c r="E149" s="85" t="n">
        <x:v>0</x:v>
      </x:c>
      <x:c r="F149" s="85" t="n">
        <x:v>0</x:v>
      </x:c>
      <x:c r="G149" s="85" t="n">
        <x:v>0</x:v>
      </x:c>
      <x:c r="H149" s="85" t="n">
        <x:v>0</x:v>
      </x:c>
      <x:c r="I149" s="91" t="str"/>
      <x:c r="J149" s="91" t="str"/>
      <x:c r="K149" s="91" t="str"/>
      <x:c r="L149" s="91" t="str"/>
    </x:row>
    <x:row r="150" ht="24" customHeight="1">
      <x:c r="A150" s="82" t="n">
        <x:v>146</x:v>
      </x:c>
      <x:c r="B150" s="82" t="str">
        <x:v>Gianluca Pollefliet</x:v>
      </x:c>
      <x:c r="C150" s="85" t="n">
        <x:v>0</x:v>
      </x:c>
      <x:c r="D150" s="85" t="n">
        <x:v>0</x:v>
      </x:c>
      <x:c r="E150" s="85" t="n">
        <x:v>0</x:v>
      </x:c>
      <x:c r="F150" s="85" t="n">
        <x:v>0</x:v>
      </x:c>
      <x:c r="G150" s="85" t="n">
        <x:v>0</x:v>
      </x:c>
      <x:c r="H150" s="85" t="n">
        <x:v>0</x:v>
      </x:c>
      <x:c r="I150" s="91" t="str"/>
      <x:c r="J150" s="91" t="str"/>
      <x:c r="K150" s="91" t="str"/>
      <x:c r="L150" s="91" t="str"/>
    </x:row>
    <x:row r="151" ht="24" customHeight="1">
      <x:c r="A151" s="82" t="n">
        <x:v>147</x:v>
      </x:c>
      <x:c r="B151" s="82" t="str">
        <x:v>Georg Steinhauser</x:v>
      </x:c>
      <x:c r="C151" s="85" t="n">
        <x:v>0</x:v>
      </x:c>
      <x:c r="D151" s="85" t="n">
        <x:v>0</x:v>
      </x:c>
      <x:c r="E151" s="85" t="n">
        <x:v>0</x:v>
      </x:c>
      <x:c r="F151" s="85" t="n">
        <x:v>0</x:v>
      </x:c>
      <x:c r="G151" s="85" t="n">
        <x:v>0</x:v>
      </x:c>
      <x:c r="H151" s="85" t="n">
        <x:v>0</x:v>
      </x:c>
      <x:c r="I151" s="91" t="str"/>
      <x:c r="J151" s="91" t="str"/>
      <x:c r="K151" s="91" t="str"/>
      <x:c r="L151" s="91" t="str"/>
    </x:row>
    <x:row r="152" ht="24" customHeight="1">
      <x:c r="A152" s="82" t="n">
        <x:v>148</x:v>
      </x:c>
      <x:c r="B152" s="82" t="str">
        <x:v>Ben Tulett</x:v>
      </x:c>
      <x:c r="C152" s="85" t="n">
        <x:v>0</x:v>
      </x:c>
      <x:c r="D152" s="85" t="n">
        <x:v>0</x:v>
      </x:c>
      <x:c r="E152" s="85" t="n">
        <x:v>0</x:v>
      </x:c>
      <x:c r="F152" s="85" t="n">
        <x:v>0</x:v>
      </x:c>
      <x:c r="G152" s="85" t="n">
        <x:v>0</x:v>
      </x:c>
      <x:c r="H152" s="85" t="n">
        <x:v>0</x:v>
      </x:c>
      <x:c r="I152" s="91" t="str"/>
      <x:c r="J152" s="91" t="str"/>
      <x:c r="K152" s="91" t="str"/>
      <x:c r="L152" s="91" t="str"/>
    </x:row>
    <x:row r="153" ht="24" customHeight="1">
      <x:c r="A153" s="82" t="n">
        <x:v>149</x:v>
      </x:c>
      <x:c r="B153" s="82" t="str">
        <x:v>Andrew August</x:v>
      </x:c>
      <x:c r="C153" s="85" t="n">
        <x:v>0</x:v>
      </x:c>
      <x:c r="D153" s="85" t="n">
        <x:v>0</x:v>
      </x:c>
      <x:c r="E153" s="85" t="n">
        <x:v>0</x:v>
      </x:c>
      <x:c r="F153" s="85" t="n">
        <x:v>0</x:v>
      </x:c>
      <x:c r="G153" s="85" t="n">
        <x:v>0</x:v>
      </x:c>
      <x:c r="H153" s="85" t="n">
        <x:v>0</x:v>
      </x:c>
      <x:c r="I153" s="91" t="str"/>
      <x:c r="J153" s="91" t="str"/>
      <x:c r="K153" s="91" t="str"/>
      <x:c r="L153" s="91" t="str"/>
    </x:row>
    <x:row r="154" ht="24" customHeight="1">
      <x:c r="A154" s="82" t="n">
        <x:v>150</x:v>
      </x:c>
      <x:c r="B154" s="82" t="str">
        <x:v>Bram Welten</x:v>
      </x:c>
      <x:c r="C154" s="85" t="n">
        <x:v>0</x:v>
      </x:c>
      <x:c r="D154" s="85" t="n">
        <x:v>0</x:v>
      </x:c>
      <x:c r="E154" s="85" t="n">
        <x:v>0</x:v>
      </x:c>
      <x:c r="F154" s="85" t="n">
        <x:v>0</x:v>
      </x:c>
      <x:c r="G154" s="85" t="n">
        <x:v>0</x:v>
      </x:c>
      <x:c r="H154" s="85" t="n">
        <x:v>0</x:v>
      </x:c>
      <x:c r="I154" s="91" t="str"/>
      <x:c r="J154" s="91" t="str"/>
      <x:c r="K154" s="91" t="str"/>
      <x:c r="L154" s="91" t="str"/>
    </x:row>
    <x:row r="155" ht="24" customHeight="1">
      <x:c r="A155" s="82" t="n">
        <x:v>151</x:v>
      </x:c>
      <x:c r="B155" s="82" t="str">
        <x:v>Ben O'Connor (cyclist)</x:v>
      </x:c>
      <x:c r="C155" s="85" t="n">
        <x:v>0</x:v>
      </x:c>
      <x:c r="D155" s="85" t="n">
        <x:v>0</x:v>
      </x:c>
      <x:c r="E155" s="85" t="n">
        <x:v>0</x:v>
      </x:c>
      <x:c r="F155" s="85" t="n">
        <x:v>0</x:v>
      </x:c>
      <x:c r="G155" s="85" t="n">
        <x:v>0</x:v>
      </x:c>
      <x:c r="H155" s="85" t="n">
        <x:v>0</x:v>
      </x:c>
      <x:c r="I155" s="91" t="str"/>
      <x:c r="J155" s="91" t="str"/>
      <x:c r="K155" s="91" t="str"/>
      <x:c r="L155" s="91" t="str"/>
    </x:row>
    <x:row r="156" ht="24" customHeight="1">
      <x:c r="A156" s="82" t="n">
        <x:v>152</x:v>
      </x:c>
      <x:c r="B156" s="82" t="str">
        <x:v>Henrik Pedersen (cyclist)</x:v>
      </x:c>
      <x:c r="C156" s="85" t="n">
        <x:v>0</x:v>
      </x:c>
      <x:c r="D156" s="85" t="n">
        <x:v>0</x:v>
      </x:c>
      <x:c r="E156" s="85" t="n">
        <x:v>0</x:v>
      </x:c>
      <x:c r="F156" s="85" t="n">
        <x:v>0</x:v>
      </x:c>
      <x:c r="G156" s="85" t="n">
        <x:v>0</x:v>
      </x:c>
      <x:c r="H156" s="85" t="n">
        <x:v>0</x:v>
      </x:c>
      <x:c r="I156" s="91" t="str"/>
      <x:c r="J156" s="91" t="str"/>
      <x:c r="K156" s="91" t="str"/>
      <x:c r="L156" s="91" t="str"/>
    </x:row>
    <x:row r="157" ht="24" customHeight="1">
      <x:c r="A157" s="82" t="n">
        <x:v>153</x:v>
      </x:c>
      <x:c r="B157" s="82" t="str">
        <x:v>Guillermo Thomas Silva</x:v>
      </x:c>
      <x:c r="C157" s="85" t="n">
        <x:v>0</x:v>
      </x:c>
      <x:c r="D157" s="85" t="n">
        <x:v>0</x:v>
      </x:c>
      <x:c r="E157" s="85" t="n">
        <x:v>0</x:v>
      </x:c>
      <x:c r="F157" s="85" t="n">
        <x:v>0</x:v>
      </x:c>
      <x:c r="G157" s="85" t="n">
        <x:v>0</x:v>
      </x:c>
      <x:c r="H157" s="85" t="n">
        <x:v>0</x:v>
      </x:c>
      <x:c r="I157" s="91" t="str"/>
      <x:c r="J157" s="91" t="str"/>
      <x:c r="K157" s="91" t="str"/>
      <x:c r="L157" s="91" t="str"/>
    </x:row>
    <x:row r="158" ht="24" customHeight="1">
      <x:c r="A158" s="82" t="n">
        <x:v>154</x:v>
      </x:c>
      <x:c r="B158" s="82" t="str">
        <x:v>Brandon Rivera</x:v>
      </x:c>
      <x:c r="C158" s="85" t="n">
        <x:v>0</x:v>
      </x:c>
      <x:c r="D158" s="85" t="n">
        <x:v>0</x:v>
      </x:c>
      <x:c r="E158" s="85" t="n">
        <x:v>0</x:v>
      </x:c>
      <x:c r="F158" s="85" t="n">
        <x:v>0</x:v>
      </x:c>
      <x:c r="G158" s="85" t="n">
        <x:v>0</x:v>
      </x:c>
      <x:c r="H158" s="85" t="n">
        <x:v>0</x:v>
      </x:c>
      <x:c r="I158" s="91" t="str"/>
      <x:c r="J158" s="91" t="str"/>
      <x:c r="K158" s="91" t="str"/>
      <x:c r="L158" s="91" t="str"/>
    </x:row>
    <x:row r="159" ht="24" customHeight="1">
      <x:c r="A159" s="82" t="n">
        <x:v>155</x:v>
      </x:c>
      <x:c r="B159" s="82" t="str">
        <x:v>Jacopo Mosca</x:v>
      </x:c>
      <x:c r="C159" s="85" t="n">
        <x:v>0</x:v>
      </x:c>
      <x:c r="D159" s="85" t="n">
        <x:v>0</x:v>
      </x:c>
      <x:c r="E159" s="85" t="n">
        <x:v>0</x:v>
      </x:c>
      <x:c r="F159" s="85" t="n">
        <x:v>0</x:v>
      </x:c>
      <x:c r="G159" s="85" t="n">
        <x:v>0</x:v>
      </x:c>
      <x:c r="H159" s="85" t="n">
        <x:v>0</x:v>
      </x:c>
      <x:c r="I159" s="91" t="str"/>
      <x:c r="J159" s="91" t="str"/>
      <x:c r="K159" s="91" t="str"/>
      <x:c r="L159" s="91" t="str"/>
    </x:row>
    <x:row r="160" ht="24" customHeight="1">
      <x:c r="A160" s="82" t="n">
        <x:v>156</x:v>
      </x:c>
      <x:c r="B160" s="82" t="str">
        <x:v>Fabio Van den Bossche</x:v>
      </x:c>
      <x:c r="C160" s="85" t="n">
        <x:v>0</x:v>
      </x:c>
      <x:c r="D160" s="85" t="n">
        <x:v>0</x:v>
      </x:c>
      <x:c r="E160" s="85" t="n">
        <x:v>0</x:v>
      </x:c>
      <x:c r="F160" s="85" t="n">
        <x:v>0</x:v>
      </x:c>
      <x:c r="G160" s="85" t="n">
        <x:v>0</x:v>
      </x:c>
      <x:c r="H160" s="85" t="n">
        <x:v>0</x:v>
      </x:c>
      <x:c r="I160" s="91" t="str"/>
      <x:c r="J160" s="91" t="str"/>
      <x:c r="K160" s="91" t="str"/>
      <x:c r="L160" s="91" t="str"/>
    </x:row>
    <x:row r="161" ht="24" customHeight="1">
      <x:c r="A161" s="82" t="n">
        <x:v>157</x:v>
      </x:c>
      <x:c r="B161" s="82" t="str">
        <x:v>Jonas Rickaert</x:v>
      </x:c>
      <x:c r="C161" s="85" t="n">
        <x:v>0</x:v>
      </x:c>
      <x:c r="D161" s="85" t="n">
        <x:v>0</x:v>
      </x:c>
      <x:c r="E161" s="85" t="n">
        <x:v>0</x:v>
      </x:c>
      <x:c r="F161" s="85" t="n">
        <x:v>0</x:v>
      </x:c>
      <x:c r="G161" s="85" t="n">
        <x:v>0</x:v>
      </x:c>
      <x:c r="H161" s="85" t="n">
        <x:v>0</x:v>
      </x:c>
      <x:c r="I161" s="91" t="str"/>
      <x:c r="J161" s="91" t="str"/>
      <x:c r="K161" s="91" t="str"/>
      <x:c r="L161" s="91" t="str"/>
    </x:row>
    <x:row r="162" ht="24" customHeight="1">
      <x:c r="A162" s="82" t="n">
        <x:v>158</x:v>
      </x:c>
      <x:c r="B162" s="82" t="str">
        <x:v>Carlos Canal</x:v>
      </x:c>
      <x:c r="C162" s="85" t="n">
        <x:v>0</x:v>
      </x:c>
      <x:c r="D162" s="85" t="n">
        <x:v>0</x:v>
      </x:c>
      <x:c r="E162" s="85" t="n">
        <x:v>0</x:v>
      </x:c>
      <x:c r="F162" s="85" t="n">
        <x:v>0</x:v>
      </x:c>
      <x:c r="G162" s="85" t="n">
        <x:v>0</x:v>
      </x:c>
      <x:c r="H162" s="85" t="n">
        <x:v>0</x:v>
      </x:c>
      <x:c r="I162" s="91" t="str"/>
      <x:c r="J162" s="91" t="str"/>
      <x:c r="K162" s="91" t="str"/>
      <x:c r="L162" s="91" t="str"/>
    </x:row>
    <x:row r="163" ht="24" customHeight="1">
      <x:c r="A163" s="82" t="n">
        <x:v>159</x:v>
      </x:c>
      <x:c r="B163" s="82" t="str">
        <x:v>Antoine L'Hote</x:v>
      </x:c>
      <x:c r="C163" s="85" t="n">
        <x:v>0</x:v>
      </x:c>
      <x:c r="D163" s="85" t="n">
        <x:v>0</x:v>
      </x:c>
      <x:c r="E163" s="85" t="n">
        <x:v>0</x:v>
      </x:c>
      <x:c r="F163" s="85" t="n">
        <x:v>0</x:v>
      </x:c>
      <x:c r="G163" s="85" t="n">
        <x:v>0</x:v>
      </x:c>
      <x:c r="H163" s="85" t="n">
        <x:v>0</x:v>
      </x:c>
      <x:c r="I163" s="91" t="str"/>
      <x:c r="J163" s="91" t="str"/>
      <x:c r="K163" s="91" t="str"/>
      <x:c r="L163" s="91" t="str"/>
    </x:row>
    <x:row r="164" ht="24" customHeight="1">
      <x:c r="A164" s="82" t="n">
        <x:v>160</x:v>
      </x:c>
      <x:c r="B164" s="82" t="str">
        <x:v>Daan Hoole</x:v>
      </x:c>
      <x:c r="C164" s="85" t="n">
        <x:v>0</x:v>
      </x:c>
      <x:c r="D164" s="85" t="n">
        <x:v>0</x:v>
      </x:c>
      <x:c r="E164" s="85" t="n">
        <x:v>0</x:v>
      </x:c>
      <x:c r="F164" s="85" t="n">
        <x:v>0</x:v>
      </x:c>
      <x:c r="G164" s="85" t="n">
        <x:v>0</x:v>
      </x:c>
      <x:c r="H164" s="85" t="n">
        <x:v>0</x:v>
      </x:c>
      <x:c r="I164" s="91" t="str"/>
      <x:c r="J164" s="91" t="str"/>
      <x:c r="K164" s="91" t="str"/>
      <x:c r="L164" s="91" t="str"/>
    </x:row>
    <x:row r="165" ht="24" customHeight="1">
      <x:c r="A165" s="82" t="n">
        <x:v>161</x:v>
      </x:c>
      <x:c r="B165" s="82" t="str">
        <x:v>Ben Turner (cyclist)</x:v>
      </x:c>
      <x:c r="C165" s="85" t="n">
        <x:v>0</x:v>
      </x:c>
      <x:c r="D165" s="85" t="n">
        <x:v>0</x:v>
      </x:c>
      <x:c r="E165" s="85" t="n">
        <x:v>0</x:v>
      </x:c>
      <x:c r="F165" s="85" t="n">
        <x:v>0</x:v>
      </x:c>
      <x:c r="G165" s="85" t="n">
        <x:v>0</x:v>
      </x:c>
      <x:c r="H165" s="85" t="n">
        <x:v>0</x:v>
      </x:c>
      <x:c r="I165" s="91" t="str"/>
      <x:c r="J165" s="91" t="str"/>
      <x:c r="K165" s="91" t="str"/>
      <x:c r="L165" s="91" t="str"/>
    </x:row>
    <x:row r="166" ht="24" customHeight="1">
      <x:c r="A166" s="82" t="n">
        <x:v>162</x:v>
      </x:c>
      <x:c r="B166" s="82" t="str">
        <x:v>Dries De Bondt</x:v>
      </x:c>
      <x:c r="C166" s="85" t="n">
        <x:v>0</x:v>
      </x:c>
      <x:c r="D166" s="85" t="n">
        <x:v>0</x:v>
      </x:c>
      <x:c r="E166" s="85" t="n">
        <x:v>0</x:v>
      </x:c>
      <x:c r="F166" s="85" t="n">
        <x:v>0</x:v>
      </x:c>
      <x:c r="G166" s="85" t="n">
        <x:v>0</x:v>
      </x:c>
      <x:c r="H166" s="85" t="n">
        <x:v>0</x:v>
      </x:c>
      <x:c r="I166" s="91" t="str"/>
      <x:c r="J166" s="91" t="str"/>
      <x:c r="K166" s="91" t="str"/>
      <x:c r="L166" s="91" t="str"/>
    </x:row>
    <x:row r="167" ht="24" customHeight="1">
      <x:c r="A167" s="82" t="n">
        <x:v>163</x:v>
      </x:c>
      <x:c r="B167" s="82" t="str">
        <x:v>Bruno Armirail</x:v>
      </x:c>
      <x:c r="C167" s="85" t="n">
        <x:v>0</x:v>
      </x:c>
      <x:c r="D167" s="85" t="n">
        <x:v>0</x:v>
      </x:c>
      <x:c r="E167" s="85" t="n">
        <x:v>0</x:v>
      </x:c>
      <x:c r="F167" s="85" t="n">
        <x:v>0</x:v>
      </x:c>
      <x:c r="G167" s="85" t="n">
        <x:v>0</x:v>
      </x:c>
      <x:c r="H167" s="85" t="n">
        <x:v>0</x:v>
      </x:c>
      <x:c r="I167" s="91" t="str"/>
      <x:c r="J167" s="91" t="str"/>
      <x:c r="K167" s="91" t="str"/>
      <x:c r="L167" s="91" t="str"/>
    </x:row>
    <x:row r="168" ht="24" customHeight="1">
      <x:c r="A168" s="82" t="n">
        <x:v>164</x:v>
      </x:c>
      <x:c r="B168" s="82" t="str">
        <x:v>Gleb Syritsa</x:v>
      </x:c>
      <x:c r="C168" s="85" t="n">
        <x:v>0</x:v>
      </x:c>
      <x:c r="D168" s="85" t="n">
        <x:v>0</x:v>
      </x:c>
      <x:c r="E168" s="85" t="n">
        <x:v>0</x:v>
      </x:c>
      <x:c r="F168" s="85" t="n">
        <x:v>0</x:v>
      </x:c>
      <x:c r="G168" s="85" t="n">
        <x:v>0</x:v>
      </x:c>
      <x:c r="H168" s="85" t="n">
        <x:v>0</x:v>
      </x:c>
      <x:c r="I168" s="91" t="str"/>
      <x:c r="J168" s="91" t="str"/>
      <x:c r="K168" s="91" t="str"/>
      <x:c r="L168" s="91" t="str"/>
    </x:row>
    <x:row r="169" ht="24" customHeight="1">
      <x:c r="A169" s="82" t="n">
        <x:v>165</x:v>
      </x:c>
      <x:c r="B169" s="82" t="str">
        <x:v>Jarno Widar</x:v>
      </x:c>
      <x:c r="C169" s="85" t="n">
        <x:v>0</x:v>
      </x:c>
      <x:c r="D169" s="85" t="n">
        <x:v>0</x:v>
      </x:c>
      <x:c r="E169" s="85" t="n">
        <x:v>0</x:v>
      </x:c>
      <x:c r="F169" s="85" t="n">
        <x:v>0</x:v>
      </x:c>
      <x:c r="G169" s="85" t="n">
        <x:v>0</x:v>
      </x:c>
      <x:c r="H169" s="85" t="n">
        <x:v>0</x:v>
      </x:c>
      <x:c r="I169" s="91" t="str"/>
      <x:c r="J169" s="91" t="str"/>
      <x:c r="K169" s="91" t="str"/>
      <x:c r="L169" s="91" t="str"/>
    </x:row>
    <x:row r="170" ht="24" customHeight="1">
      <x:c r="A170" s="82" t="n">
        <x:v>166</x:v>
      </x:c>
      <x:c r="B170" s="82" t="str">
        <x:v>Dries De Pooter</x:v>
      </x:c>
      <x:c r="C170" s="85" t="n">
        <x:v>0</x:v>
      </x:c>
      <x:c r="D170" s="85" t="n">
        <x:v>0</x:v>
      </x:c>
      <x:c r="E170" s="85" t="n">
        <x:v>0</x:v>
      </x:c>
      <x:c r="F170" s="85" t="n">
        <x:v>0</x:v>
      </x:c>
      <x:c r="G170" s="85" t="n">
        <x:v>0</x:v>
      </x:c>
      <x:c r="H170" s="85" t="n">
        <x:v>0</x:v>
      </x:c>
      <x:c r="I170" s="91" t="str"/>
      <x:c r="J170" s="91" t="str"/>
      <x:c r="K170" s="91" t="str"/>
      <x:c r="L170" s="91" t="str"/>
    </x:row>
    <x:row r="171" ht="24" customHeight="1">
      <x:c r="A171" s="82" t="n">
        <x:v>167</x:v>
      </x:c>
      <x:c r="B171" s="82" t="str">
        <x:v>Markus Hoelgaard</x:v>
      </x:c>
      <x:c r="C171" s="85" t="n">
        <x:v>0</x:v>
      </x:c>
      <x:c r="D171" s="85" t="n">
        <x:v>0</x:v>
      </x:c>
      <x:c r="E171" s="85" t="n">
        <x:v>0</x:v>
      </x:c>
      <x:c r="F171" s="85" t="n">
        <x:v>0</x:v>
      </x:c>
      <x:c r="G171" s="85" t="n">
        <x:v>0</x:v>
      </x:c>
      <x:c r="H171" s="85" t="n">
        <x:v>0</x:v>
      </x:c>
      <x:c r="I171" s="91" t="str"/>
      <x:c r="J171" s="91" t="str"/>
      <x:c r="K171" s="91" t="str"/>
      <x:c r="L171" s="91" t="str"/>
    </x:row>
    <x:row r="172" ht="24" customHeight="1">
      <x:c r="A172" s="82" t="n">
        <x:v>168</x:v>
      </x:c>
      <x:c r="B172" s="82" t="str">
        <x:v>Afonso Eulálio</x:v>
      </x:c>
      <x:c r="C172" s="85" t="n">
        <x:v>0</x:v>
      </x:c>
      <x:c r="D172" s="85" t="n">
        <x:v>0</x:v>
      </x:c>
      <x:c r="E172" s="85" t="n">
        <x:v>0</x:v>
      </x:c>
      <x:c r="F172" s="85" t="n">
        <x:v>0</x:v>
      </x:c>
      <x:c r="G172" s="85" t="n">
        <x:v>0</x:v>
      </x:c>
      <x:c r="H172" s="85" t="n">
        <x:v>0</x:v>
      </x:c>
      <x:c r="I172" s="91" t="str"/>
      <x:c r="J172" s="91" t="str"/>
      <x:c r="K172" s="91" t="str"/>
      <x:c r="L172" s="91" t="str"/>
    </x:row>
    <x:row r="173" ht="24" customHeight="1">
      <x:c r="A173" s="82" t="n">
        <x:v>169</x:v>
      </x:c>
      <x:c r="B173" s="82" t="str">
        <x:v>Chris Hamilton (cyclist)</x:v>
      </x:c>
      <x:c r="C173" s="85" t="n">
        <x:v>0</x:v>
      </x:c>
      <x:c r="D173" s="85" t="n">
        <x:v>0</x:v>
      </x:c>
      <x:c r="E173" s="85" t="n">
        <x:v>0</x:v>
      </x:c>
      <x:c r="F173" s="85" t="n">
        <x:v>0</x:v>
      </x:c>
      <x:c r="G173" s="85" t="n">
        <x:v>0</x:v>
      </x:c>
      <x:c r="H173" s="85" t="n">
        <x:v>0</x:v>
      </x:c>
      <x:c r="I173" s="91" t="str"/>
      <x:c r="J173" s="91" t="str"/>
      <x:c r="K173" s="91" t="str"/>
      <x:c r="L173" s="91" t="str"/>
    </x:row>
    <x:row r="174" ht="24" customHeight="1">
      <x:c r="A174" s="82" t="n">
        <x:v>170</x:v>
      </x:c>
      <x:c r="B174" s="82" t="str">
        <x:v>Jonas Geens</x:v>
      </x:c>
      <x:c r="C174" s="85" t="n">
        <x:v>0</x:v>
      </x:c>
      <x:c r="D174" s="85" t="n">
        <x:v>0</x:v>
      </x:c>
      <x:c r="E174" s="85" t="n">
        <x:v>0</x:v>
      </x:c>
      <x:c r="F174" s="85" t="n">
        <x:v>0</x:v>
      </x:c>
      <x:c r="G174" s="85" t="n">
        <x:v>0</x:v>
      </x:c>
      <x:c r="H174" s="85" t="n">
        <x:v>0</x:v>
      </x:c>
      <x:c r="I174" s="91" t="str"/>
      <x:c r="J174" s="91" t="str"/>
      <x:c r="K174" s="91" t="str"/>
      <x:c r="L174" s="91" t="str"/>
    </x:row>
    <x:row r="175" ht="24" customHeight="1">
      <x:c r="A175" s="82" t="n">
        <x:v>171</x:v>
      </x:c>
      <x:c r="B175" s="82" t="str">
        <x:v>Adrià Pericas</x:v>
      </x:c>
      <x:c r="C175" s="85" t="n">
        <x:v>0</x:v>
      </x:c>
      <x:c r="D175" s="85" t="n">
        <x:v>0</x:v>
      </x:c>
      <x:c r="E175" s="85" t="n">
        <x:v>0</x:v>
      </x:c>
      <x:c r="F175" s="85" t="n">
        <x:v>0</x:v>
      </x:c>
      <x:c r="G175" s="85" t="n">
        <x:v>0</x:v>
      </x:c>
      <x:c r="H175" s="85" t="n">
        <x:v>0</x:v>
      </x:c>
      <x:c r="I175" s="91" t="str"/>
      <x:c r="J175" s="91" t="str"/>
      <x:c r="K175" s="91" t="str"/>
      <x:c r="L175" s="91" t="str"/>
    </x:row>
    <x:row r="176" ht="24" customHeight="1">
      <x:c r="A176" s="82" t="n">
        <x:v>172</x:v>
      </x:c>
      <x:c r="B176" s="82" t="str">
        <x:v>Gerben Thijssen</x:v>
      </x:c>
      <x:c r="C176" s="85" t="n">
        <x:v>0</x:v>
      </x:c>
      <x:c r="D176" s="85" t="n">
        <x:v>0</x:v>
      </x:c>
      <x:c r="E176" s="85" t="n">
        <x:v>0</x:v>
      </x:c>
      <x:c r="F176" s="85" t="n">
        <x:v>0</x:v>
      </x:c>
      <x:c r="G176" s="85" t="n">
        <x:v>0</x:v>
      </x:c>
      <x:c r="H176" s="85" t="n">
        <x:v>0</x:v>
      </x:c>
      <x:c r="I176" s="91" t="str"/>
      <x:c r="J176" s="91" t="str"/>
      <x:c r="K176" s="91" t="str"/>
      <x:c r="L176" s="91" t="str"/>
    </x:row>
    <x:row r="177" ht="24" customHeight="1">
      <x:c r="A177" s="82" t="n">
        <x:v>173</x:v>
      </x:c>
      <x:c r="B177" s="82" t="str">
        <x:v>Anders Foldager</x:v>
      </x:c>
      <x:c r="C177" s="85" t="n">
        <x:v>0</x:v>
      </x:c>
      <x:c r="D177" s="85" t="n">
        <x:v>0</x:v>
      </x:c>
      <x:c r="E177" s="85" t="n">
        <x:v>0</x:v>
      </x:c>
      <x:c r="F177" s="85" t="n">
        <x:v>0</x:v>
      </x:c>
      <x:c r="G177" s="85" t="n">
        <x:v>0</x:v>
      </x:c>
      <x:c r="H177" s="85" t="n">
        <x:v>0</x:v>
      </x:c>
      <x:c r="I177" s="91" t="str"/>
      <x:c r="J177" s="91" t="str"/>
      <x:c r="K177" s="91" t="str"/>
      <x:c r="L177" s="91" t="str"/>
    </x:row>
    <x:row r="178" ht="24" customHeight="1">
      <x:c r="A178" s="82" t="n">
        <x:v>174</x:v>
      </x:c>
      <x:c r="B178" s="82" t="str">
        <x:v>Alberto Bruttomesso</x:v>
      </x:c>
      <x:c r="C178" s="85" t="n">
        <x:v>0</x:v>
      </x:c>
      <x:c r="D178" s="85" t="n">
        <x:v>0</x:v>
      </x:c>
      <x:c r="E178" s="85" t="n">
        <x:v>0</x:v>
      </x:c>
      <x:c r="F178" s="85" t="n">
        <x:v>0</x:v>
      </x:c>
      <x:c r="G178" s="85" t="n">
        <x:v>0</x:v>
      </x:c>
      <x:c r="H178" s="85" t="n">
        <x:v>0</x:v>
      </x:c>
      <x:c r="I178" s="91" t="str"/>
      <x:c r="J178" s="91" t="str"/>
      <x:c r="K178" s="91" t="str"/>
      <x:c r="L178" s="91" t="str"/>
    </x:row>
    <x:row r="179" ht="24" customHeight="1">
      <x:c r="A179" s="82" t="n">
        <x:v>175</x:v>
      </x:c>
      <x:c r="B179" s="82" t="str">
        <x:v>Emiel Verstrynge</x:v>
      </x:c>
      <x:c r="C179" s="85" t="n">
        <x:v>0</x:v>
      </x:c>
      <x:c r="D179" s="85" t="n">
        <x:v>0</x:v>
      </x:c>
      <x:c r="E179" s="85" t="n">
        <x:v>0</x:v>
      </x:c>
      <x:c r="F179" s="85" t="n">
        <x:v>0</x:v>
      </x:c>
      <x:c r="G179" s="85" t="n">
        <x:v>0</x:v>
      </x:c>
      <x:c r="H179" s="85" t="n">
        <x:v>0</x:v>
      </x:c>
      <x:c r="I179" s="91" t="str"/>
      <x:c r="J179" s="91" t="str"/>
      <x:c r="K179" s="91" t="str"/>
      <x:c r="L179" s="91" t="str"/>
    </x:row>
    <x:row r="180" ht="24" customHeight="1">
      <x:c r="A180" s="82" t="n">
        <x:v>176</x:v>
      </x:c>
      <x:c r="B180" s="82" t="str">
        <x:v>Davide Toneatti</x:v>
      </x:c>
      <x:c r="C180" s="85" t="n">
        <x:v>0</x:v>
      </x:c>
      <x:c r="D180" s="85" t="n">
        <x:v>0</x:v>
      </x:c>
      <x:c r="E180" s="85" t="n">
        <x:v>0</x:v>
      </x:c>
      <x:c r="F180" s="85" t="n">
        <x:v>0</x:v>
      </x:c>
      <x:c r="G180" s="85" t="n">
        <x:v>0</x:v>
      </x:c>
      <x:c r="H180" s="85" t="n">
        <x:v>0</x:v>
      </x:c>
      <x:c r="I180" s="91" t="str"/>
      <x:c r="J180" s="91" t="str"/>
      <x:c r="K180" s="91" t="str"/>
      <x:c r="L180" s="91" t="str"/>
    </x:row>
    <x:row r="181" ht="24" customHeight="1">
      <x:c r="A181" s="82" t="n">
        <x:v>177</x:v>
      </x:c>
      <x:c r="B181" s="82" t="str">
        <x:v>Arne Marit</x:v>
      </x:c>
      <x:c r="C181" s="85" t="n">
        <x:v>0</x:v>
      </x:c>
      <x:c r="D181" s="85" t="n">
        <x:v>0</x:v>
      </x:c>
      <x:c r="E181" s="85" t="n">
        <x:v>0</x:v>
      </x:c>
      <x:c r="F181" s="85" t="n">
        <x:v>0</x:v>
      </x:c>
      <x:c r="G181" s="85" t="n">
        <x:v>0</x:v>
      </x:c>
      <x:c r="H181" s="85" t="n">
        <x:v>0</x:v>
      </x:c>
      <x:c r="I181" s="91" t="str"/>
      <x:c r="J181" s="91" t="str"/>
      <x:c r="K181" s="91" t="str"/>
      <x:c r="L181" s="91" t="str"/>
    </x:row>
    <x:row r="182" ht="24" customHeight="1">
      <x:c r="A182" s="82" t="n">
        <x:v>178</x:v>
      </x:c>
      <x:c r="B182" s="82" t="str">
        <x:v>Brady Gilmore</x:v>
      </x:c>
      <x:c r="C182" s="85" t="n">
        <x:v>0</x:v>
      </x:c>
      <x:c r="D182" s="85" t="n">
        <x:v>0</x:v>
      </x:c>
      <x:c r="E182" s="85" t="n">
        <x:v>0</x:v>
      </x:c>
      <x:c r="F182" s="85" t="n">
        <x:v>0</x:v>
      </x:c>
      <x:c r="G182" s="85" t="n">
        <x:v>0</x:v>
      </x:c>
      <x:c r="H182" s="85" t="n">
        <x:v>0</x:v>
      </x:c>
      <x:c r="I182" s="91" t="str"/>
      <x:c r="J182" s="91" t="str"/>
      <x:c r="K182" s="91" t="str"/>
      <x:c r="L182" s="91" t="str"/>
    </x:row>
    <x:row r="183" ht="24" customHeight="1">
      <x:c r="A183" s="82" t="n">
        <x:v>179</x:v>
      </x:c>
      <x:c r="B183" s="82" t="str">
        <x:v>Johannes Staune-Mittet</x:v>
      </x:c>
      <x:c r="C183" s="85" t="n">
        <x:v>0</x:v>
      </x:c>
      <x:c r="D183" s="85" t="n">
        <x:v>0</x:v>
      </x:c>
      <x:c r="E183" s="85" t="n">
        <x:v>0</x:v>
      </x:c>
      <x:c r="F183" s="85" t="n">
        <x:v>0</x:v>
      </x:c>
      <x:c r="G183" s="85" t="n">
        <x:v>0</x:v>
      </x:c>
      <x:c r="H183" s="85" t="n">
        <x:v>0</x:v>
      </x:c>
      <x:c r="I183" s="91" t="str"/>
      <x:c r="J183" s="91" t="str"/>
      <x:c r="K183" s="91" t="str"/>
      <x:c r="L183" s="91" t="str"/>
    </x:row>
    <x:row r="184" ht="24" customHeight="1">
      <x:c r="A184" s="82" t="n">
        <x:v>180</x:v>
      </x:c>
      <x:c r="B184" s="82" t="str">
        <x:v>Ayco Bastiaens</x:v>
      </x:c>
      <x:c r="C184" s="85" t="n">
        <x:v>0</x:v>
      </x:c>
      <x:c r="D184" s="85" t="n">
        <x:v>0</x:v>
      </x:c>
      <x:c r="E184" s="85" t="n">
        <x:v>0</x:v>
      </x:c>
      <x:c r="F184" s="85" t="n">
        <x:v>0</x:v>
      </x:c>
      <x:c r="G184" s="85" t="n">
        <x:v>0</x:v>
      </x:c>
      <x:c r="H184" s="85" t="n">
        <x:v>0</x:v>
      </x:c>
      <x:c r="I184" s="91" t="str"/>
      <x:c r="J184" s="91" t="str"/>
      <x:c r="K184" s="91" t="str"/>
      <x:c r="L184" s="91" t="str"/>
    </x:row>
    <x:row r="185" ht="24" customHeight="1">
      <x:c r="A185" s="82" t="n">
        <x:v>181</x:v>
      </x:c>
      <x:c r="B185" s="82" t="str">
        <x:v>Jensen Plowright</x:v>
      </x:c>
      <x:c r="C185" s="85" t="n">
        <x:v>0</x:v>
      </x:c>
      <x:c r="D185" s="85" t="n">
        <x:v>0</x:v>
      </x:c>
      <x:c r="E185" s="85" t="n">
        <x:v>0</x:v>
      </x:c>
      <x:c r="F185" s="85" t="n">
        <x:v>0</x:v>
      </x:c>
      <x:c r="G185" s="85" t="n">
        <x:v>0</x:v>
      </x:c>
      <x:c r="H185" s="85" t="n">
        <x:v>0</x:v>
      </x:c>
      <x:c r="I185" s="91" t="str"/>
      <x:c r="J185" s="91" t="str"/>
      <x:c r="K185" s="91" t="str"/>
      <x:c r="L185" s="91" t="str"/>
    </x:row>
    <x:row r="186" ht="24" customHeight="1">
      <x:c r="A186" s="82" t="n">
        <x:v>182</x:v>
      </x:c>
      <x:c r="B186" s="82" t="str">
        <x:v>Ethan Hayter</x:v>
      </x:c>
      <x:c r="C186" s="85" t="n">
        <x:v>0</x:v>
      </x:c>
      <x:c r="D186" s="85" t="n">
        <x:v>0</x:v>
      </x:c>
      <x:c r="E186" s="85" t="n">
        <x:v>0</x:v>
      </x:c>
      <x:c r="F186" s="85" t="n">
        <x:v>0</x:v>
      </x:c>
      <x:c r="G186" s="85" t="n">
        <x:v>0</x:v>
      </x:c>
      <x:c r="H186" s="85" t="n">
        <x:v>0</x:v>
      </x:c>
      <x:c r="I186" s="91" t="str"/>
      <x:c r="J186" s="91" t="str"/>
      <x:c r="K186" s="91" t="str"/>
      <x:c r="L186" s="91" t="str"/>
    </x:row>
    <x:row r="187" ht="24" customHeight="1">
      <x:c r="A187" s="82" t="n">
        <x:v>183</x:v>
      </x:c>
      <x:c r="B187" s="82" t="str">
        <x:v>Johan Price-Pejtersen</x:v>
      </x:c>
      <x:c r="C187" s="85" t="n">
        <x:v>0</x:v>
      </x:c>
      <x:c r="D187" s="85" t="n">
        <x:v>0</x:v>
      </x:c>
      <x:c r="E187" s="85" t="n">
        <x:v>0</x:v>
      </x:c>
      <x:c r="F187" s="85" t="n">
        <x:v>0</x:v>
      </x:c>
      <x:c r="G187" s="85" t="n">
        <x:v>0</x:v>
      </x:c>
      <x:c r="H187" s="85" t="n">
        <x:v>0</x:v>
      </x:c>
      <x:c r="I187" s="91" t="str"/>
      <x:c r="J187" s="91" t="str"/>
      <x:c r="K187" s="91" t="str"/>
      <x:c r="L187" s="91" t="str"/>
    </x:row>
    <x:row r="188" ht="24" customHeight="1">
      <x:c r="A188" s="82" t="n">
        <x:v>184</x:v>
      </x:c>
      <x:c r="B188" s="82" t="str">
        <x:v>Callum Thornley</x:v>
      </x:c>
      <x:c r="C188" s="85" t="n">
        <x:v>0</x:v>
      </x:c>
      <x:c r="D188" s="85" t="n">
        <x:v>0</x:v>
      </x:c>
      <x:c r="E188" s="85" t="n">
        <x:v>0</x:v>
      </x:c>
      <x:c r="F188" s="85" t="n">
        <x:v>0</x:v>
      </x:c>
      <x:c r="G188" s="85" t="n">
        <x:v>0</x:v>
      </x:c>
      <x:c r="H188" s="85" t="n">
        <x:v>0</x:v>
      </x:c>
      <x:c r="I188" s="91" t="str"/>
      <x:c r="J188" s="91" t="str"/>
      <x:c r="K188" s="91" t="str"/>
      <x:c r="L188" s="91" t="str"/>
    </x:row>
    <x:row r="189" ht="24" customHeight="1">
      <x:c r="A189" s="82" t="n">
        <x:v>185</x:v>
      </x:c>
      <x:c r="B189" s="82" t="str">
        <x:v>Alec Segaert</x:v>
      </x:c>
      <x:c r="C189" s="85" t="n">
        <x:v>0</x:v>
      </x:c>
      <x:c r="D189" s="85" t="n">
        <x:v>0</x:v>
      </x:c>
      <x:c r="E189" s="85" t="n">
        <x:v>0</x:v>
      </x:c>
      <x:c r="F189" s="85" t="n">
        <x:v>0</x:v>
      </x:c>
      <x:c r="G189" s="85" t="n">
        <x:v>0</x:v>
      </x:c>
      <x:c r="H189" s="85" t="n">
        <x:v>0</x:v>
      </x:c>
      <x:c r="I189" s="91" t="str"/>
      <x:c r="J189" s="91" t="str"/>
      <x:c r="K189" s="91" t="str"/>
      <x:c r="L189" s="91" t="str"/>
    </x:row>
    <x:row r="190" ht="24" customHeight="1">
      <x:c r="A190" s="82" t="n">
        <x:v>186</x:v>
      </x:c>
      <x:c r="B190" s="82" t="str">
        <x:v>Edoardo Zambanini</x:v>
      </x:c>
      <x:c r="C190" s="85" t="n">
        <x:v>0</x:v>
      </x:c>
      <x:c r="D190" s="85" t="n">
        <x:v>0</x:v>
      </x:c>
      <x:c r="E190" s="85" t="n">
        <x:v>0</x:v>
      </x:c>
      <x:c r="F190" s="85" t="n">
        <x:v>0</x:v>
      </x:c>
      <x:c r="G190" s="85" t="n">
        <x:v>0</x:v>
      </x:c>
      <x:c r="H190" s="85" t="n">
        <x:v>0</x:v>
      </x:c>
      <x:c r="I190" s="91" t="str"/>
      <x:c r="J190" s="91" t="str"/>
      <x:c r="K190" s="91" t="str"/>
      <x:c r="L190" s="91" t="str"/>
    </x:row>
    <x:row r="191" ht="24" customHeight="1">
      <x:c r="A191" s="82" t="n">
        <x:v>187</x:v>
      </x:c>
      <x:c r="B191" s="82" t="str">
        <x:v>Emil Herzog</x:v>
      </x:c>
      <x:c r="C191" s="85" t="n">
        <x:v>0</x:v>
      </x:c>
      <x:c r="D191" s="85" t="n">
        <x:v>0</x:v>
      </x:c>
      <x:c r="E191" s="85" t="n">
        <x:v>0</x:v>
      </x:c>
      <x:c r="F191" s="85" t="n">
        <x:v>0</x:v>
      </x:c>
      <x:c r="G191" s="85" t="n">
        <x:v>0</x:v>
      </x:c>
      <x:c r="H191" s="85" t="n">
        <x:v>0</x:v>
      </x:c>
      <x:c r="I191" s="91" t="str"/>
      <x:c r="J191" s="91" t="str"/>
      <x:c r="K191" s="91" t="str"/>
      <x:c r="L191" s="91" t="str"/>
    </x:row>
    <x:row r="192" ht="24" customHeight="1">
      <x:c r="A192" s="82" t="n">
        <x:v>188</x:v>
      </x:c>
      <x:c r="B192" s="82" t="str">
        <x:v>Joseph Blackmore</x:v>
      </x:c>
      <x:c r="C192" s="85" t="n">
        <x:v>0</x:v>
      </x:c>
      <x:c r="D192" s="85" t="n">
        <x:v>0</x:v>
      </x:c>
      <x:c r="E192" s="85" t="n">
        <x:v>0</x:v>
      </x:c>
      <x:c r="F192" s="85" t="n">
        <x:v>0</x:v>
      </x:c>
      <x:c r="G192" s="85" t="n">
        <x:v>0</x:v>
      </x:c>
      <x:c r="H192" s="85" t="n">
        <x:v>0</x:v>
      </x:c>
      <x:c r="I192" s="91" t="str"/>
      <x:c r="J192" s="91" t="str"/>
      <x:c r="K192" s="91" t="str"/>
      <x:c r="L192" s="91" t="str"/>
    </x:row>
    <x:row r="193" ht="24" customHeight="1">
      <x:c r="A193" s="82" t="n">
        <x:v>189</x:v>
      </x:c>
      <x:c r="B193" s="82" t="str">
        <x:v>Georg Zimmermann</x:v>
      </x:c>
      <x:c r="C193" s="85" t="n">
        <x:v>0</x:v>
      </x:c>
      <x:c r="D193" s="85" t="n">
        <x:v>0</x:v>
      </x:c>
      <x:c r="E193" s="85" t="n">
        <x:v>0</x:v>
      </x:c>
      <x:c r="F193" s="85" t="n">
        <x:v>0</x:v>
      </x:c>
      <x:c r="G193" s="85" t="n">
        <x:v>0</x:v>
      </x:c>
      <x:c r="H193" s="85" t="n">
        <x:v>0</x:v>
      </x:c>
      <x:c r="I193" s="91" t="str"/>
      <x:c r="J193" s="91" t="str"/>
      <x:c r="K193" s="91" t="str"/>
      <x:c r="L193" s="91" t="str"/>
    </x:row>
    <x:row r="194" ht="24" customHeight="1">
      <x:c r="A194" s="82" t="n">
        <x:v>190</x:v>
      </x:c>
      <x:c r="B194" s="82" t="str">
        <x:v>Lionel Taminiaux</x:v>
      </x:c>
      <x:c r="C194" s="85" t="n">
        <x:v>0</x:v>
      </x:c>
      <x:c r="D194" s="85" t="n">
        <x:v>0</x:v>
      </x:c>
      <x:c r="E194" s="85" t="n">
        <x:v>0</x:v>
      </x:c>
      <x:c r="F194" s="85" t="n">
        <x:v>0</x:v>
      </x:c>
      <x:c r="G194" s="85" t="n">
        <x:v>0</x:v>
      </x:c>
      <x:c r="H194" s="85" t="n">
        <x:v>0</x:v>
      </x:c>
      <x:c r="I194" s="91" t="str"/>
      <x:c r="J194" s="91" t="str"/>
      <x:c r="K194" s="91" t="str"/>
      <x:c r="L194" s="91" t="str"/>
    </x:row>
    <x:row r="195" ht="24" customHeight="1">
      <x:c r="A195" s="82" t="n">
        <x:v>191</x:v>
      </x:c>
      <x:c r="B195" s="82" t="str">
        <x:v>Gal Glivar</x:v>
      </x:c>
      <x:c r="C195" s="85" t="n">
        <x:v>0</x:v>
      </x:c>
      <x:c r="D195" s="85" t="n">
        <x:v>0</x:v>
      </x:c>
      <x:c r="E195" s="85" t="n">
        <x:v>0</x:v>
      </x:c>
      <x:c r="F195" s="85" t="n">
        <x:v>0</x:v>
      </x:c>
      <x:c r="G195" s="85" t="n">
        <x:v>0</x:v>
      </x:c>
      <x:c r="H195" s="85" t="n">
        <x:v>0</x:v>
      </x:c>
      <x:c r="I195" s="91" t="str"/>
      <x:c r="J195" s="91" t="str"/>
      <x:c r="K195" s="91" t="str"/>
      <x:c r="L195" s="91" t="str"/>
    </x:row>
    <x:row r="196" ht="24" customHeight="1">
      <x:c r="A196" s="82" t="n">
        <x:v>192</x:v>
      </x:c>
      <x:c r="B196" s="82" t="str">
        <x:v>Jonas Rutsch</x:v>
      </x:c>
      <x:c r="C196" s="85" t="n">
        <x:v>0</x:v>
      </x:c>
      <x:c r="D196" s="85" t="n">
        <x:v>0</x:v>
      </x:c>
      <x:c r="E196" s="85" t="n">
        <x:v>0</x:v>
      </x:c>
      <x:c r="F196" s="85" t="n">
        <x:v>0</x:v>
      </x:c>
      <x:c r="G196" s="85" t="n">
        <x:v>0</x:v>
      </x:c>
      <x:c r="H196" s="85" t="n">
        <x:v>0</x:v>
      </x:c>
      <x:c r="I196" s="91" t="str"/>
      <x:c r="J196" s="91" t="str"/>
      <x:c r="K196" s="91" t="str"/>
      <x:c r="L196" s="91" t="str"/>
    </x:row>
    <x:row r="197" ht="24" customHeight="1">
      <x:c r="A197" s="82" t="n">
        <x:v>193</x:v>
      </x:c>
      <x:c r="B197" s="82" t="str">
        <x:v>Axel Laurance</x:v>
      </x:c>
      <x:c r="C197" s="85" t="n">
        <x:v>0</x:v>
      </x:c>
      <x:c r="D197" s="85" t="n">
        <x:v>0</x:v>
      </x:c>
      <x:c r="E197" s="85" t="n">
        <x:v>0</x:v>
      </x:c>
      <x:c r="F197" s="85" t="n">
        <x:v>0</x:v>
      </x:c>
      <x:c r="G197" s="85" t="n">
        <x:v>0</x:v>
      </x:c>
      <x:c r="H197" s="85" t="n">
        <x:v>0</x:v>
      </x:c>
      <x:c r="I197" s="91" t="str"/>
      <x:c r="J197" s="91" t="str"/>
      <x:c r="K197" s="91" t="str"/>
      <x:c r="L197" s="91" t="str"/>
    </x:row>
    <x:row r="198" ht="24" customHeight="1">
      <x:c r="A198" s="82" t="n">
        <x:v>194</x:v>
      </x:c>
      <x:c r="B198" s="82" t="str">
        <x:v>Frank van den Broek</x:v>
      </x:c>
      <x:c r="C198" s="85" t="n">
        <x:v>0</x:v>
      </x:c>
      <x:c r="D198" s="85" t="n">
        <x:v>0</x:v>
      </x:c>
      <x:c r="E198" s="85" t="n">
        <x:v>0</x:v>
      </x:c>
      <x:c r="F198" s="85" t="n">
        <x:v>0</x:v>
      </x:c>
      <x:c r="G198" s="85" t="n">
        <x:v>0</x:v>
      </x:c>
      <x:c r="H198" s="85" t="n">
        <x:v>0</x:v>
      </x:c>
      <x:c r="I198" s="91" t="str"/>
      <x:c r="J198" s="91" t="str"/>
      <x:c r="K198" s="91" t="str"/>
      <x:c r="L198" s="91" t="str"/>
    </x:row>
    <x:row r="199" ht="24" customHeight="1">
      <x:c r="A199" s="82" t="n">
        <x:v>195</x:v>
      </x:c>
      <x:c r="B199" s="82" t="str">
        <x:v>Matthew Riccitello</x:v>
      </x:c>
      <x:c r="C199" s="85" t="n">
        <x:v>0</x:v>
      </x:c>
      <x:c r="D199" s="85" t="n">
        <x:v>0</x:v>
      </x:c>
      <x:c r="E199" s="85" t="n">
        <x:v>0</x:v>
      </x:c>
      <x:c r="F199" s="85" t="n">
        <x:v>0</x:v>
      </x:c>
      <x:c r="G199" s="85" t="n">
        <x:v>0</x:v>
      </x:c>
      <x:c r="H199" s="85" t="n">
        <x:v>0</x:v>
      </x:c>
      <x:c r="I199" s="91" t="str"/>
      <x:c r="J199" s="91" t="str"/>
      <x:c r="K199" s="91" t="str"/>
      <x:c r="L199" s="91" t="str"/>
    </x:row>
    <x:row r="200" ht="24" customHeight="1">
      <x:c r="A200" s="82" t="n">
        <x:v>196</x:v>
      </x:c>
      <x:c r="B200" s="82" t="str">
        <x:v>Andrea Raccagni Noviero</x:v>
      </x:c>
      <x:c r="C200" s="85" t="n">
        <x:v>0</x:v>
      </x:c>
      <x:c r="D200" s="85" t="n">
        <x:v>0</x:v>
      </x:c>
      <x:c r="E200" s="85" t="n">
        <x:v>0</x:v>
      </x:c>
      <x:c r="F200" s="85" t="n">
        <x:v>0</x:v>
      </x:c>
      <x:c r="G200" s="85" t="n">
        <x:v>0</x:v>
      </x:c>
      <x:c r="H200" s="85" t="n">
        <x:v>0</x:v>
      </x:c>
      <x:c r="I200" s="91" t="str"/>
      <x:c r="J200" s="91" t="str"/>
      <x:c r="K200" s="91" t="str"/>
      <x:c r="L200" s="91" t="str"/>
    </x:row>
    <x:row r="201" ht="24" customHeight="1">
      <x:c r="A201" s="82" t="n">
        <x:v>197</x:v>
      </x:c>
      <x:c r="B201" s="82" t="str">
        <x:v>Gianmarco Garofoli</x:v>
      </x:c>
      <x:c r="C201" s="85" t="n">
        <x:v>0</x:v>
      </x:c>
      <x:c r="D201" s="85" t="n">
        <x:v>0</x:v>
      </x:c>
      <x:c r="E201" s="85" t="n">
        <x:v>0</x:v>
      </x:c>
      <x:c r="F201" s="85" t="n">
        <x:v>0</x:v>
      </x:c>
      <x:c r="G201" s="85" t="n">
        <x:v>0</x:v>
      </x:c>
      <x:c r="H201" s="85" t="n">
        <x:v>0</x:v>
      </x:c>
      <x:c r="I201" s="91" t="str"/>
      <x:c r="J201" s="91" t="str"/>
      <x:c r="K201" s="91" t="str"/>
      <x:c r="L201" s="91" t="str"/>
    </x:row>
    <x:row r="202" ht="24" customHeight="1">
      <x:c r="A202" s="82" t="n">
        <x:v>198</x:v>
      </x:c>
      <x:c r="B202" s="82" t="str">
        <x:v>Gijs Leemreize</x:v>
      </x:c>
      <x:c r="C202" s="85" t="n">
        <x:v>0</x:v>
      </x:c>
      <x:c r="D202" s="85" t="n">
        <x:v>0</x:v>
      </x:c>
      <x:c r="E202" s="85" t="n">
        <x:v>0</x:v>
      </x:c>
      <x:c r="F202" s="85" t="n">
        <x:v>0</x:v>
      </x:c>
      <x:c r="G202" s="85" t="n">
        <x:v>0</x:v>
      </x:c>
      <x:c r="H202" s="85" t="n">
        <x:v>0</x:v>
      </x:c>
      <x:c r="I202" s="91" t="str"/>
      <x:c r="J202" s="91" t="str"/>
      <x:c r="K202" s="91" t="str"/>
      <x:c r="L202" s="91" t="str"/>
    </x:row>
    <x:row r="203" ht="24" customHeight="1">
      <x:c r="A203" s="82" t="n">
        <x:v>199</x:v>
      </x:c>
      <x:c r="B203" s="82" t="str">
        <x:v>Lars Craps</x:v>
      </x:c>
      <x:c r="C203" s="85" t="n">
        <x:v>0</x:v>
      </x:c>
      <x:c r="D203" s="85" t="n">
        <x:v>0</x:v>
      </x:c>
      <x:c r="E203" s="85" t="n">
        <x:v>0</x:v>
      </x:c>
      <x:c r="F203" s="85" t="n">
        <x:v>0</x:v>
      </x:c>
      <x:c r="G203" s="85" t="n">
        <x:v>0</x:v>
      </x:c>
      <x:c r="H203" s="85" t="n">
        <x:v>0</x:v>
      </x:c>
      <x:c r="I203" s="91" t="str"/>
      <x:c r="J203" s="91" t="str"/>
      <x:c r="K203" s="91" t="str"/>
      <x:c r="L203" s="91" t="str"/>
    </x:row>
    <x:row r="204" ht="24" customHeight="1">
      <x:c r="A204" s="82" t="n">
        <x:v>200</x:v>
      </x:c>
      <x:c r="B204" s="82" t="str">
        <x:v>Diego Pescador</x:v>
      </x:c>
      <x:c r="C204" s="85" t="n">
        <x:v>0</x:v>
      </x:c>
      <x:c r="D204" s="85" t="n">
        <x:v>0</x:v>
      </x:c>
      <x:c r="E204" s="85" t="n">
        <x:v>0</x:v>
      </x:c>
      <x:c r="F204" s="85" t="n">
        <x:v>0</x:v>
      </x:c>
      <x:c r="G204" s="85" t="n">
        <x:v>0</x:v>
      </x:c>
      <x:c r="H204" s="85" t="n">
        <x:v>0</x:v>
      </x:c>
      <x:c r="I204" s="91" t="str"/>
      <x:c r="J204" s="91" t="str"/>
      <x:c r="K204" s="91" t="str"/>
      <x:c r="L204" s="91" t="str"/>
    </x:row>
    <x:row r="205" ht="24" customHeight="1">
      <x:c r="A205" s="82" t="n">
        <x:v>201</x:v>
      </x:c>
      <x:c r="B205" s="82" t="str">
        <x:v>Fran Miholjević</x:v>
      </x:c>
      <x:c r="C205" s="85" t="n">
        <x:v>0</x:v>
      </x:c>
      <x:c r="D205" s="85" t="n">
        <x:v>0</x:v>
      </x:c>
      <x:c r="E205" s="85" t="n">
        <x:v>0</x:v>
      </x:c>
      <x:c r="F205" s="85" t="n">
        <x:v>0</x:v>
      </x:c>
      <x:c r="G205" s="85" t="n">
        <x:v>0</x:v>
      </x:c>
      <x:c r="H205" s="85" t="n">
        <x:v>0</x:v>
      </x:c>
      <x:c r="I205" s="91" t="str"/>
      <x:c r="J205" s="91" t="str"/>
      <x:c r="K205" s="91" t="str"/>
      <x:c r="L205" s="91" t="str"/>
    </x:row>
    <x:row r="206" ht="24" customHeight="1">
      <x:c r="A206" s="82" t="n">
        <x:v>202</x:v>
      </x:c>
      <x:c r="B206" s="82" t="str">
        <x:v>Madis Mihkels</x:v>
      </x:c>
      <x:c r="C206" s="85" t="n">
        <x:v>0</x:v>
      </x:c>
      <x:c r="D206" s="85" t="n">
        <x:v>0</x:v>
      </x:c>
      <x:c r="E206" s="85" t="n">
        <x:v>0</x:v>
      </x:c>
      <x:c r="F206" s="85" t="n">
        <x:v>0</x:v>
      </x:c>
      <x:c r="G206" s="85" t="n">
        <x:v>0</x:v>
      </x:c>
      <x:c r="H206" s="85" t="n">
        <x:v>0</x:v>
      </x:c>
      <x:c r="I206" s="91" t="str"/>
      <x:c r="J206" s="91" t="str"/>
      <x:c r="K206" s="91" t="str"/>
      <x:c r="L206" s="91" t="str"/>
    </x:row>
    <x:row r="207" ht="24" customHeight="1">
      <x:c r="A207" s="82" t="n">
        <x:v>203</x:v>
      </x:c>
      <x:c r="B207" s="82" t="str">
        <x:v>Luke Lamperti</x:v>
      </x:c>
      <x:c r="C207" s="85" t="n">
        <x:v>0</x:v>
      </x:c>
      <x:c r="D207" s="85" t="n">
        <x:v>0</x:v>
      </x:c>
      <x:c r="E207" s="85" t="n">
        <x:v>0</x:v>
      </x:c>
      <x:c r="F207" s="85" t="n">
        <x:v>0</x:v>
      </x:c>
      <x:c r="G207" s="85" t="n">
        <x:v>0</x:v>
      </x:c>
      <x:c r="H207" s="85" t="n">
        <x:v>0</x:v>
      </x:c>
      <x:c r="I207" s="91" t="str"/>
      <x:c r="J207" s="91" t="str"/>
      <x:c r="K207" s="91" t="str"/>
      <x:c r="L207" s="91" t="str"/>
    </x:row>
    <x:row r="208" ht="24" customHeight="1">
      <x:c r="A208" s="82" t="n">
        <x:v>204</x:v>
      </x:c>
      <x:c r="B208" s="82" t="str">
        <x:v>Dries Van Gestel</x:v>
      </x:c>
      <x:c r="C208" s="85" t="n">
        <x:v>0</x:v>
      </x:c>
      <x:c r="D208" s="85" t="n">
        <x:v>0</x:v>
      </x:c>
      <x:c r="E208" s="85" t="n">
        <x:v>0</x:v>
      </x:c>
      <x:c r="F208" s="85" t="n">
        <x:v>0</x:v>
      </x:c>
      <x:c r="G208" s="85" t="n">
        <x:v>0</x:v>
      </x:c>
      <x:c r="H208" s="85" t="n">
        <x:v>0</x:v>
      </x:c>
      <x:c r="I208" s="91" t="str"/>
      <x:c r="J208" s="91" t="str"/>
      <x:c r="K208" s="91" t="str"/>
      <x:c r="L208" s="91" t="str"/>
    </x:row>
    <x:row r="209" ht="24" customHeight="1">
      <x:c r="A209" s="82" t="n">
        <x:v>205</x:v>
      </x:c>
      <x:c r="B209" s="82" t="str">
        <x:v>Ben Zwiehoff</x:v>
      </x:c>
      <x:c r="C209" s="85" t="n">
        <x:v>0</x:v>
      </x:c>
      <x:c r="D209" s="85" t="n">
        <x:v>0</x:v>
      </x:c>
      <x:c r="E209" s="85" t="n">
        <x:v>0</x:v>
      </x:c>
      <x:c r="F209" s="85" t="n">
        <x:v>0</x:v>
      </x:c>
      <x:c r="G209" s="85" t="n">
        <x:v>0</x:v>
      </x:c>
      <x:c r="H209" s="85" t="n">
        <x:v>0</x:v>
      </x:c>
      <x:c r="I209" s="91" t="str"/>
      <x:c r="J209" s="91" t="str"/>
      <x:c r="K209" s="91" t="str"/>
      <x:c r="L209" s="91" t="str"/>
    </x:row>
    <x:row r="210" ht="24" customHeight="1">
      <x:c r="A210" s="82" t="n">
        <x:v>206</x:v>
      </x:c>
      <x:c r="B210" s="82" t="str">
        <x:v>Fredrik Dversnes</x:v>
      </x:c>
      <x:c r="C210" s="85" t="n">
        <x:v>0</x:v>
      </x:c>
      <x:c r="D210" s="85" t="n">
        <x:v>0</x:v>
      </x:c>
      <x:c r="E210" s="85" t="n">
        <x:v>0</x:v>
      </x:c>
      <x:c r="F210" s="85" t="n">
        <x:v>0</x:v>
      </x:c>
      <x:c r="G210" s="85" t="n">
        <x:v>0</x:v>
      </x:c>
      <x:c r="H210" s="85" t="n">
        <x:v>0</x:v>
      </x:c>
      <x:c r="I210" s="91" t="str"/>
      <x:c r="J210" s="91" t="str"/>
      <x:c r="K210" s="91" t="str"/>
      <x:c r="L210" s="91" t="str"/>
    </x:row>
    <x:row r="211" ht="24" customHeight="1">
      <x:c r="A211" s="82" t="n">
        <x:v>207</x:v>
      </x:c>
      <x:c r="B211" s="82" t="str">
        <x:v>Jardi Christiaan van der Lee</x:v>
      </x:c>
      <x:c r="C211" s="85" t="n">
        <x:v>0</x:v>
      </x:c>
      <x:c r="D211" s="85" t="n">
        <x:v>0</x:v>
      </x:c>
      <x:c r="E211" s="85" t="n">
        <x:v>0</x:v>
      </x:c>
      <x:c r="F211" s="85" t="n">
        <x:v>0</x:v>
      </x:c>
      <x:c r="G211" s="85" t="n">
        <x:v>0</x:v>
      </x:c>
      <x:c r="H211" s="85" t="n">
        <x:v>0</x:v>
      </x:c>
      <x:c r="I211" s="91" t="str"/>
      <x:c r="J211" s="91" t="str"/>
      <x:c r="K211" s="91" t="str"/>
      <x:c r="L211" s="91" t="str"/>
    </x:row>
    <x:row r="212" ht="24" customHeight="1">
      <x:c r="A212" s="82" t="n">
        <x:v>208</x:v>
      </x:c>
      <x:c r="B212" s="82" t="str">
        <x:v>Gonzalo Serrano</x:v>
      </x:c>
      <x:c r="C212" s="85" t="n">
        <x:v>0</x:v>
      </x:c>
      <x:c r="D212" s="85" t="n">
        <x:v>0</x:v>
      </x:c>
      <x:c r="E212" s="85" t="n">
        <x:v>0</x:v>
      </x:c>
      <x:c r="F212" s="85" t="n">
        <x:v>0</x:v>
      </x:c>
      <x:c r="G212" s="85" t="n">
        <x:v>0</x:v>
      </x:c>
      <x:c r="H212" s="85" t="n">
        <x:v>0</x:v>
      </x:c>
      <x:c r="I212" s="91" t="str"/>
      <x:c r="J212" s="91" t="str"/>
      <x:c r="K212" s="91" t="str"/>
      <x:c r="L212" s="91" t="str"/>
    </x:row>
    <x:row r="213" ht="24" customHeight="1">
      <x:c r="A213" s="82" t="n">
        <x:v>209</x:v>
      </x:c>
      <x:c r="B213" s="82" t="str">
        <x:v>Ådne Holter</x:v>
      </x:c>
      <x:c r="C213" s="85" t="n">
        <x:v>0</x:v>
      </x:c>
      <x:c r="D213" s="85" t="n">
        <x:v>0</x:v>
      </x:c>
      <x:c r="E213" s="85" t="n">
        <x:v>0</x:v>
      </x:c>
      <x:c r="F213" s="85" t="n">
        <x:v>0</x:v>
      </x:c>
      <x:c r="G213" s="85" t="n">
        <x:v>0</x:v>
      </x:c>
      <x:c r="H213" s="85" t="n">
        <x:v>0</x:v>
      </x:c>
      <x:c r="I213" s="91" t="str"/>
      <x:c r="J213" s="91" t="str"/>
      <x:c r="K213" s="91" t="str"/>
      <x:c r="L213" s="91" t="str"/>
    </x:row>
    <x:row r="214" ht="24" customHeight="1">
      <x:c r="A214" s="82" t="n">
        <x:v>210</x:v>
      </x:c>
      <x:c r="B214" s="82" t="str">
        <x:v>Alessandro Romele</x:v>
      </x:c>
      <x:c r="C214" s="85" t="n">
        <x:v>0</x:v>
      </x:c>
      <x:c r="D214" s="85" t="n">
        <x:v>0</x:v>
      </x:c>
      <x:c r="E214" s="85" t="n">
        <x:v>0</x:v>
      </x:c>
      <x:c r="F214" s="85" t="n">
        <x:v>0</x:v>
      </x:c>
      <x:c r="G214" s="85" t="n">
        <x:v>0</x:v>
      </x:c>
      <x:c r="H214" s="85" t="n">
        <x:v>0</x:v>
      </x:c>
      <x:c r="I214" s="91" t="str"/>
      <x:c r="J214" s="91" t="str"/>
      <x:c r="K214" s="91" t="str"/>
      <x:c r="L214" s="91" t="str"/>
    </x:row>
    <x:row r="215" ht="24" customHeight="1">
      <x:c r="A215" s="82" t="n">
        <x:v>211</x:v>
      </x:c>
      <x:c r="B215" s="82" t="str">
        <x:v>Erlend Blikra</x:v>
      </x:c>
      <x:c r="C215" s="85" t="n">
        <x:v>0</x:v>
      </x:c>
      <x:c r="D215" s="85" t="n">
        <x:v>0</x:v>
      </x:c>
      <x:c r="E215" s="85" t="n">
        <x:v>0</x:v>
      </x:c>
      <x:c r="F215" s="85" t="n">
        <x:v>0</x:v>
      </x:c>
      <x:c r="G215" s="85" t="n">
        <x:v>0</x:v>
      </x:c>
      <x:c r="H215" s="85" t="n">
        <x:v>0</x:v>
      </x:c>
      <x:c r="I215" s="91" t="str"/>
      <x:c r="J215" s="91" t="str"/>
      <x:c r="K215" s="91" t="str"/>
      <x:c r="L215" s="91" t="str"/>
    </x:row>
    <x:row r="216" ht="24" customHeight="1">
      <x:c r="A216" s="82" t="n">
        <x:v>212</x:v>
      </x:c>
      <x:c r="B216" s="82" t="str">
        <x:v>Guillaume Boivin</x:v>
      </x:c>
      <x:c r="C216" s="85" t="n">
        <x:v>0</x:v>
      </x:c>
      <x:c r="D216" s="85" t="n">
        <x:v>0</x:v>
      </x:c>
      <x:c r="E216" s="85" t="n">
        <x:v>0</x:v>
      </x:c>
      <x:c r="F216" s="85" t="n">
        <x:v>0</x:v>
      </x:c>
      <x:c r="G216" s="85" t="n">
        <x:v>0</x:v>
      </x:c>
      <x:c r="H216" s="85" t="n">
        <x:v>0</x:v>
      </x:c>
      <x:c r="I216" s="91" t="str"/>
      <x:c r="J216" s="91" t="str"/>
      <x:c r="K216" s="91" t="str"/>
      <x:c r="L216" s="91" t="str"/>
    </x:row>
    <x:row r="217" ht="24" customHeight="1">
      <x:c r="A217" s="82" t="n">
        <x:v>213</x:v>
      </x:c>
      <x:c r="B217" s="82" t="str">
        <x:v>Davide Formolo</x:v>
      </x:c>
      <x:c r="C217" s="85" t="n">
        <x:v>0</x:v>
      </x:c>
      <x:c r="D217" s="85" t="n">
        <x:v>0</x:v>
      </x:c>
      <x:c r="E217" s="85" t="n">
        <x:v>0</x:v>
      </x:c>
      <x:c r="F217" s="85" t="n">
        <x:v>0</x:v>
      </x:c>
      <x:c r="G217" s="85" t="n">
        <x:v>0</x:v>
      </x:c>
      <x:c r="H217" s="85" t="n">
        <x:v>0</x:v>
      </x:c>
      <x:c r="I217" s="91" t="str"/>
      <x:c r="J217" s="91" t="str"/>
      <x:c r="K217" s="91" t="str"/>
      <x:c r="L217" s="91" t="str"/>
    </x:row>
    <x:row r="218" ht="24" customHeight="1">
      <x:c r="A218" s="82" t="n">
        <x:v>214</x:v>
      </x:c>
      <x:c r="B218" s="82" t="str">
        <x:v>Adrien Boichis</x:v>
      </x:c>
      <x:c r="C218" s="85" t="n">
        <x:v>0</x:v>
      </x:c>
      <x:c r="D218" s="85" t="n">
        <x:v>0</x:v>
      </x:c>
      <x:c r="E218" s="85" t="n">
        <x:v>0</x:v>
      </x:c>
      <x:c r="F218" s="85" t="n">
        <x:v>0</x:v>
      </x:c>
      <x:c r="G218" s="85" t="n">
        <x:v>0</x:v>
      </x:c>
      <x:c r="H218" s="85" t="n">
        <x:v>0</x:v>
      </x:c>
      <x:c r="I218" s="91" t="str"/>
      <x:c r="J218" s="91" t="str"/>
      <x:c r="K218" s="91" t="str"/>
      <x:c r="L218" s="91" t="str"/>
    </x:row>
    <x:row r="219" ht="24" customHeight="1">
      <x:c r="A219" s="82" t="n">
        <x:v>215</x:v>
      </x:c>
      <x:c r="B219" s="82" t="str">
        <x:v>Clément Champoussin</x:v>
      </x:c>
      <x:c r="C219" s="85" t="n">
        <x:v>0</x:v>
      </x:c>
      <x:c r="D219" s="85" t="n">
        <x:v>0</x:v>
      </x:c>
      <x:c r="E219" s="85" t="n">
        <x:v>0</x:v>
      </x:c>
      <x:c r="F219" s="85" t="n">
        <x:v>0</x:v>
      </x:c>
      <x:c r="G219" s="85" t="n">
        <x:v>0</x:v>
      </x:c>
      <x:c r="H219" s="85" t="n">
        <x:v>0</x:v>
      </x:c>
      <x:c r="I219" s="91" t="str"/>
      <x:c r="J219" s="91" t="str"/>
      <x:c r="K219" s="91" t="str"/>
      <x:c r="L219" s="91" t="str"/>
    </x:row>
    <x:row r="220" ht="24" customHeight="1">
      <x:c r="A220" s="82" t="n">
        <x:v>216</x:v>
      </x:c>
      <x:c r="B220" s="82" t="str">
        <x:v>Einer Rubio</x:v>
      </x:c>
      <x:c r="C220" s="85" t="n">
        <x:v>0</x:v>
      </x:c>
      <x:c r="D220" s="85" t="n">
        <x:v>0</x:v>
      </x:c>
      <x:c r="E220" s="85" t="n">
        <x:v>0</x:v>
      </x:c>
      <x:c r="F220" s="85" t="n">
        <x:v>0</x:v>
      </x:c>
      <x:c r="G220" s="85" t="n">
        <x:v>0</x:v>
      </x:c>
      <x:c r="H220" s="85" t="n">
        <x:v>0</x:v>
      </x:c>
      <x:c r="I220" s="91" t="str"/>
      <x:c r="J220" s="91" t="str"/>
      <x:c r="K220" s="91" t="str"/>
      <x:c r="L220" s="91" t="str"/>
    </x:row>
    <x:row r="221" ht="24" customHeight="1">
      <x:c r="A221" s="82" t="n">
        <x:v>217</x:v>
      </x:c>
      <x:c r="B221" s="82" t="str">
        <x:v>Clément Braz Afonso</x:v>
      </x:c>
      <x:c r="C221" s="85" t="n">
        <x:v>0</x:v>
      </x:c>
      <x:c r="D221" s="85" t="n">
        <x:v>0</x:v>
      </x:c>
      <x:c r="E221" s="85" t="n">
        <x:v>0</x:v>
      </x:c>
      <x:c r="F221" s="85" t="n">
        <x:v>0</x:v>
      </x:c>
      <x:c r="G221" s="85" t="n">
        <x:v>0</x:v>
      </x:c>
      <x:c r="H221" s="85" t="n">
        <x:v>0</x:v>
      </x:c>
      <x:c r="I221" s="91" t="str"/>
      <x:c r="J221" s="91" t="str"/>
      <x:c r="K221" s="91" t="str"/>
      <x:c r="L221" s="91" t="str"/>
    </x:row>
    <x:row r="222" ht="24" customHeight="1">
      <x:c r="A222" s="82" t="n">
        <x:v>218</x:v>
      </x:c>
      <x:c r="B222" s="82" t="str">
        <x:v>Alexander Hajek</x:v>
      </x:c>
      <x:c r="C222" s="85" t="n">
        <x:v>0</x:v>
      </x:c>
      <x:c r="D222" s="85" t="n">
        <x:v>0</x:v>
      </x:c>
      <x:c r="E222" s="85" t="n">
        <x:v>0</x:v>
      </x:c>
      <x:c r="F222" s="85" t="n">
        <x:v>0</x:v>
      </x:c>
      <x:c r="G222" s="85" t="n">
        <x:v>0</x:v>
      </x:c>
      <x:c r="H222" s="85" t="n">
        <x:v>0</x:v>
      </x:c>
      <x:c r="I222" s="91" t="str"/>
      <x:c r="J222" s="91" t="str"/>
      <x:c r="K222" s="91" t="str"/>
      <x:c r="L222" s="91" t="str"/>
    </x:row>
    <x:row r="223" ht="24" customHeight="1">
      <x:c r="A223" s="82" t="n">
        <x:v>219</x:v>
      </x:c>
      <x:c r="B223" s="82" t="str">
        <x:v>Axel Huens</x:v>
      </x:c>
      <x:c r="C223" s="85" t="n">
        <x:v>0</x:v>
      </x:c>
      <x:c r="D223" s="85" t="n">
        <x:v>0</x:v>
      </x:c>
      <x:c r="E223" s="85" t="n">
        <x:v>0</x:v>
      </x:c>
      <x:c r="F223" s="85" t="n">
        <x:v>0</x:v>
      </x:c>
      <x:c r="G223" s="85" t="n">
        <x:v>0</x:v>
      </x:c>
      <x:c r="H223" s="85" t="n">
        <x:v>0</x:v>
      </x:c>
      <x:c r="I223" s="91" t="str"/>
      <x:c r="J223" s="91" t="str"/>
      <x:c r="K223" s="91" t="str"/>
      <x:c r="L223" s="91" t="str"/>
    </x:row>
    <x:row r="224" ht="24" customHeight="1">
      <x:c r="A224" s="82" t="n">
        <x:v>220</x:v>
      </x:c>
      <x:c r="B224" s="82" t="str">
        <x:v>Cyril Barthe</x:v>
      </x:c>
      <x:c r="C224" s="85" t="n">
        <x:v>0</x:v>
      </x:c>
      <x:c r="D224" s="85" t="n">
        <x:v>0</x:v>
      </x:c>
      <x:c r="E224" s="85" t="n">
        <x:v>0</x:v>
      </x:c>
      <x:c r="F224" s="85" t="n">
        <x:v>0</x:v>
      </x:c>
      <x:c r="G224" s="85" t="n">
        <x:v>0</x:v>
      </x:c>
      <x:c r="H224" s="85" t="n">
        <x:v>0</x:v>
      </x:c>
      <x:c r="I224" s="91" t="str"/>
      <x:c r="J224" s="91" t="str"/>
      <x:c r="K224" s="91" t="str"/>
      <x:c r="L224" s="91" t="str"/>
    </x:row>
    <x:row r="225" ht="24" customHeight="1">
      <x:c r="A225" s="82" t="n">
        <x:v>221</x:v>
      </x:c>
      <x:c r="B225" s="82" t="str">
        <x:v>Ewen Costiou</x:v>
      </x:c>
      <x:c r="C225" s="85" t="n">
        <x:v>0</x:v>
      </x:c>
      <x:c r="D225" s="85" t="n">
        <x:v>0</x:v>
      </x:c>
      <x:c r="E225" s="85" t="n">
        <x:v>0</x:v>
      </x:c>
      <x:c r="F225" s="85" t="n">
        <x:v>0</x:v>
      </x:c>
      <x:c r="G225" s="85" t="n">
        <x:v>0</x:v>
      </x:c>
      <x:c r="H225" s="85" t="n">
        <x:v>0</x:v>
      </x:c>
      <x:c r="I225" s="91" t="str"/>
      <x:c r="J225" s="91" t="str"/>
      <x:c r="K225" s="91" t="str"/>
      <x:c r="L225" s="91" t="str"/>
    </x:row>
    <x:row r="226" ht="24" customHeight="1">
      <x:c r="A226" s="82" t="n">
        <x:v>222</x:v>
      </x:c>
      <x:c r="B226" s="82" t="str">
        <x:v>Erik Nordsæter Resell</x:v>
      </x:c>
      <x:c r="C226" s="85" t="n">
        <x:v>0</x:v>
      </x:c>
      <x:c r="D226" s="85" t="n">
        <x:v>0</x:v>
      </x:c>
      <x:c r="E226" s="85" t="n">
        <x:v>0</x:v>
      </x:c>
      <x:c r="F226" s="85" t="n">
        <x:v>0</x:v>
      </x:c>
      <x:c r="G226" s="85" t="n">
        <x:v>0</x:v>
      </x:c>
      <x:c r="H226" s="85" t="n">
        <x:v>0</x:v>
      </x:c>
      <x:c r="I226" s="91" t="str"/>
      <x:c r="J226" s="91" t="str"/>
      <x:c r="K226" s="91" t="str"/>
      <x:c r="L226" s="91" t="str"/>
    </x:row>
    <x:row r="227" ht="24" customHeight="1">
      <x:c r="A227" s="82" t="n">
        <x:v>223</x:v>
      </x:c>
      <x:c r="B227" s="82" t="str">
        <x:v>Daniel Skerl</x:v>
      </x:c>
      <x:c r="C227" s="85" t="n">
        <x:v>0</x:v>
      </x:c>
      <x:c r="D227" s="85" t="n">
        <x:v>0</x:v>
      </x:c>
      <x:c r="E227" s="85" t="n">
        <x:v>0</x:v>
      </x:c>
      <x:c r="F227" s="85" t="n">
        <x:v>0</x:v>
      </x:c>
      <x:c r="G227" s="85" t="n">
        <x:v>0</x:v>
      </x:c>
      <x:c r="H227" s="85" t="n">
        <x:v>0</x:v>
      </x:c>
      <x:c r="I227" s="91" t="str"/>
      <x:c r="J227" s="91" t="str"/>
      <x:c r="K227" s="91" t="str"/>
      <x:c r="L227" s="91" t="str"/>
    </x:row>
    <x:row r="228" ht="24" customHeight="1">
      <x:c r="A228" s="82" t="n">
        <x:v>224</x:v>
      </x:c>
      <x:c r="B228" s="82" t="str">
        <x:v>Liam Slock</x:v>
      </x:c>
      <x:c r="C228" s="85" t="n">
        <x:v>0</x:v>
      </x:c>
      <x:c r="D228" s="85" t="n">
        <x:v>0</x:v>
      </x:c>
      <x:c r="E228" s="85" t="n">
        <x:v>0</x:v>
      </x:c>
      <x:c r="F228" s="85" t="n">
        <x:v>0</x:v>
      </x:c>
      <x:c r="G228" s="85" t="n">
        <x:v>0</x:v>
      </x:c>
      <x:c r="H228" s="85" t="n">
        <x:v>0</x:v>
      </x:c>
      <x:c r="I228" s="91" t="str"/>
      <x:c r="J228" s="91" t="str"/>
      <x:c r="K228" s="91" t="str"/>
      <x:c r="L228" s="91" t="str"/>
    </x:row>
    <x:row r="229" ht="24" customHeight="1">
      <x:c r="A229" s="82" t="n">
        <x:v>225</x:v>
      </x:c>
      <x:c r="B229" s="82" t="str">
        <x:v>Artem Shmidt</x:v>
      </x:c>
      <x:c r="C229" s="85" t="n">
        <x:v>0</x:v>
      </x:c>
      <x:c r="D229" s="85" t="n">
        <x:v>0</x:v>
      </x:c>
      <x:c r="E229" s="85" t="n">
        <x:v>0</x:v>
      </x:c>
      <x:c r="F229" s="85" t="n">
        <x:v>0</x:v>
      </x:c>
      <x:c r="G229" s="85" t="n">
        <x:v>0</x:v>
      </x:c>
      <x:c r="H229" s="85" t="n">
        <x:v>0</x:v>
      </x:c>
      <x:c r="I229" s="91" t="str"/>
      <x:c r="J229" s="91" t="str"/>
      <x:c r="K229" s="91" t="str"/>
      <x:c r="L229" s="91" t="str"/>
    </x:row>
    <x:row r="230" ht="24" customHeight="1">
      <x:c r="A230" s="82" t="n">
        <x:v>226</x:v>
      </x:c>
      <x:c r="B230" s="82" t="str">
        <x:v>Kamil Gradek</x:v>
      </x:c>
      <x:c r="C230" s="85" t="n">
        <x:v>0</x:v>
      </x:c>
      <x:c r="D230" s="85" t="n">
        <x:v>0</x:v>
      </x:c>
      <x:c r="E230" s="85" t="n">
        <x:v>0</x:v>
      </x:c>
      <x:c r="F230" s="85" t="n">
        <x:v>0</x:v>
      </x:c>
      <x:c r="G230" s="85" t="n">
        <x:v>0</x:v>
      </x:c>
      <x:c r="H230" s="85" t="n">
        <x:v>0</x:v>
      </x:c>
      <x:c r="I230" s="91" t="str"/>
      <x:c r="J230" s="91" t="str"/>
      <x:c r="K230" s="91" t="str"/>
      <x:c r="L230" s="91" t="str"/>
    </x:row>
    <x:row r="231" ht="24" customHeight="1">
      <x:c r="A231" s="82" t="n">
        <x:v>227</x:v>
      </x:c>
      <x:c r="B231" s="82" t="str">
        <x:v>Francesco Busatto</x:v>
      </x:c>
      <x:c r="C231" s="85" t="n">
        <x:v>0</x:v>
      </x:c>
      <x:c r="D231" s="85" t="n">
        <x:v>0</x:v>
      </x:c>
      <x:c r="E231" s="85" t="n">
        <x:v>0</x:v>
      </x:c>
      <x:c r="F231" s="85" t="n">
        <x:v>0</x:v>
      </x:c>
      <x:c r="G231" s="85" t="n">
        <x:v>0</x:v>
      </x:c>
      <x:c r="H231" s="85" t="n">
        <x:v>0</x:v>
      </x:c>
      <x:c r="I231" s="91" t="str"/>
      <x:c r="J231" s="91" t="str"/>
      <x:c r="K231" s="91" t="str"/>
      <x:c r="L231" s="91" t="str"/>
    </x:row>
    <x:row r="232" ht="24" customHeight="1">
      <x:c r="A232" s="82" t="n">
        <x:v>228</x:v>
      </x:c>
      <x:c r="B232" s="82" t="str">
        <x:v>Juan Pedro López</x:v>
      </x:c>
      <x:c r="C232" s="85" t="n">
        <x:v>0</x:v>
      </x:c>
      <x:c r="D232" s="85" t="n">
        <x:v>0</x:v>
      </x:c>
      <x:c r="E232" s="85" t="n">
        <x:v>0</x:v>
      </x:c>
      <x:c r="F232" s="85" t="n">
        <x:v>0</x:v>
      </x:c>
      <x:c r="G232" s="85" t="n">
        <x:v>0</x:v>
      </x:c>
      <x:c r="H232" s="85" t="n">
        <x:v>0</x:v>
      </x:c>
      <x:c r="I232" s="91" t="str"/>
      <x:c r="J232" s="91" t="str"/>
      <x:c r="K232" s="91" t="str"/>
      <x:c r="L232" s="91" t="str"/>
    </x:row>
    <x:row r="233" ht="24" customHeight="1">
      <x:c r="A233" s="82" t="n">
        <x:v>229</x:v>
      </x:c>
      <x:c r="B233" s="82" t="str">
        <x:v>Jakob Omrzel</x:v>
      </x:c>
      <x:c r="C233" s="85" t="n">
        <x:v>0</x:v>
      </x:c>
      <x:c r="D233" s="85" t="n">
        <x:v>0</x:v>
      </x:c>
      <x:c r="E233" s="85" t="n">
        <x:v>0</x:v>
      </x:c>
      <x:c r="F233" s="85" t="n">
        <x:v>0</x:v>
      </x:c>
      <x:c r="G233" s="85" t="n">
        <x:v>0</x:v>
      </x:c>
      <x:c r="H233" s="85" t="n">
        <x:v>0</x:v>
      </x:c>
      <x:c r="I233" s="91" t="str"/>
      <x:c r="J233" s="91" t="str"/>
      <x:c r="K233" s="91" t="str"/>
      <x:c r="L233" s="91" t="str"/>
    </x:row>
    <x:row r="234" ht="24" customHeight="1">
      <x:c r="A234" s="82" t="n">
        <x:v>230</x:v>
      </x:c>
      <x:c r="B234" s="82" t="str">
        <x:v>Aurélien Paret-Peintre</x:v>
      </x:c>
      <x:c r="C234" s="85" t="n">
        <x:v>0</x:v>
      </x:c>
      <x:c r="D234" s="85" t="n">
        <x:v>0</x:v>
      </x:c>
      <x:c r="E234" s="85" t="n">
        <x:v>0</x:v>
      </x:c>
      <x:c r="F234" s="85" t="n">
        <x:v>0</x:v>
      </x:c>
      <x:c r="G234" s="85" t="n">
        <x:v>0</x:v>
      </x:c>
      <x:c r="H234" s="85" t="n">
        <x:v>0</x:v>
      </x:c>
      <x:c r="I234" s="91" t="str"/>
      <x:c r="J234" s="91" t="str"/>
      <x:c r="K234" s="91" t="str"/>
      <x:c r="L234" s="91" t="str"/>
    </x:row>
    <x:row r="235" ht="24" customHeight="1">
      <x:c r="A235" s="82" t="n">
        <x:v>231</x:v>
      </x:c>
      <x:c r="B235" s="82" t="str">
        <x:v>Alastair Mackellar</x:v>
      </x:c>
      <x:c r="C235" s="85" t="n">
        <x:v>0</x:v>
      </x:c>
      <x:c r="D235" s="85" t="n">
        <x:v>0</x:v>
      </x:c>
      <x:c r="E235" s="85" t="n">
        <x:v>0</x:v>
      </x:c>
      <x:c r="F235" s="85" t="n">
        <x:v>0</x:v>
      </x:c>
      <x:c r="G235" s="85" t="n">
        <x:v>0</x:v>
      </x:c>
      <x:c r="H235" s="85" t="n">
        <x:v>0</x:v>
      </x:c>
      <x:c r="I235" s="91" t="str"/>
      <x:c r="J235" s="91" t="str"/>
      <x:c r="K235" s="91" t="str"/>
      <x:c r="L235" s="91" t="str"/>
    </x:row>
    <x:row r="236" ht="24" customHeight="1">
      <x:c r="A236" s="82" t="n">
        <x:v>232</x:v>
      </x:c>
      <x:c r="B236" s="82" t="str">
        <x:v>Brieuc Rolland</x:v>
      </x:c>
      <x:c r="C236" s="85" t="n">
        <x:v>0</x:v>
      </x:c>
      <x:c r="D236" s="85" t="n">
        <x:v>0</x:v>
      </x:c>
      <x:c r="E236" s="85" t="n">
        <x:v>0</x:v>
      </x:c>
      <x:c r="F236" s="85" t="n">
        <x:v>0</x:v>
      </x:c>
      <x:c r="G236" s="85" t="n">
        <x:v>0</x:v>
      </x:c>
      <x:c r="H236" s="85" t="n">
        <x:v>0</x:v>
      </x:c>
      <x:c r="I236" s="91" t="str"/>
      <x:c r="J236" s="91" t="str"/>
      <x:c r="K236" s="91" t="str"/>
      <x:c r="L236" s="91" t="str"/>
    </x:row>
    <x:row r="237" ht="24" customHeight="1">
      <x:c r="A237" s="82" t="n">
        <x:v>233</x:v>
      </x:c>
      <x:c r="B237" s="82" t="str">
        <x:v>Albert Withen Philipsen</x:v>
      </x:c>
      <x:c r="C237" s="85" t="n">
        <x:v>0</x:v>
      </x:c>
      <x:c r="D237" s="85" t="n">
        <x:v>0</x:v>
      </x:c>
      <x:c r="E237" s="85" t="n">
        <x:v>0</x:v>
      </x:c>
      <x:c r="F237" s="85" t="n">
        <x:v>0</x:v>
      </x:c>
      <x:c r="G237" s="85" t="n">
        <x:v>0</x:v>
      </x:c>
      <x:c r="H237" s="85" t="n">
        <x:v>0</x:v>
      </x:c>
      <x:c r="I237" s="91" t="str"/>
      <x:c r="J237" s="91" t="str"/>
      <x:c r="K237" s="91" t="str"/>
      <x:c r="L237" s="91" t="str"/>
    </x:row>
    <x:row r="238" ht="24" customHeight="1">
      <x:c r="A238" s="82" t="n">
        <x:v>234</x:v>
      </x:c>
      <x:c r="B238" s="82" t="str">
        <x:v>Arjen Livyns</x:v>
      </x:c>
      <x:c r="C238" s="85" t="n">
        <x:v>0</x:v>
      </x:c>
      <x:c r="D238" s="85" t="n">
        <x:v>0</x:v>
      </x:c>
      <x:c r="E238" s="85" t="n">
        <x:v>0</x:v>
      </x:c>
      <x:c r="F238" s="85" t="n">
        <x:v>0</x:v>
      </x:c>
      <x:c r="G238" s="85" t="n">
        <x:v>0</x:v>
      </x:c>
      <x:c r="H238" s="85" t="n">
        <x:v>0</x:v>
      </x:c>
      <x:c r="I238" s="91" t="str"/>
      <x:c r="J238" s="91" t="str"/>
      <x:c r="K238" s="91" t="str"/>
      <x:c r="L238" s="91" t="str"/>
    </x:row>
    <x:row r="239" ht="24" customHeight="1">
      <x:c r="A239" s="82" t="n">
        <x:v>235</x:v>
      </x:c>
      <x:c r="B239" s="82" t="str">
        <x:v>Loe van Belle</x:v>
      </x:c>
      <x:c r="C239" s="85" t="n">
        <x:v>0</x:v>
      </x:c>
      <x:c r="D239" s="85" t="n">
        <x:v>0</x:v>
      </x:c>
      <x:c r="E239" s="85" t="n">
        <x:v>0</x:v>
      </x:c>
      <x:c r="F239" s="85" t="n">
        <x:v>0</x:v>
      </x:c>
      <x:c r="G239" s="85" t="n">
        <x:v>0</x:v>
      </x:c>
      <x:c r="H239" s="85" t="n">
        <x:v>0</x:v>
      </x:c>
      <x:c r="I239" s="91" t="str"/>
      <x:c r="J239" s="91" t="str"/>
      <x:c r="K239" s="91" t="str"/>
      <x:c r="L239" s="91" t="str"/>
    </x:row>
    <x:row r="240" ht="24" customHeight="1">
      <x:c r="A240" s="82" t="n">
        <x:v>236</x:v>
      </x:c>
      <x:c r="B240" s="82" t="str">
        <x:v>Florian Samuel Kajamini</x:v>
      </x:c>
      <x:c r="C240" s="85" t="n">
        <x:v>0</x:v>
      </x:c>
      <x:c r="D240" s="85" t="n">
        <x:v>0</x:v>
      </x:c>
      <x:c r="E240" s="85" t="n">
        <x:v>0</x:v>
      </x:c>
      <x:c r="F240" s="85" t="n">
        <x:v>0</x:v>
      </x:c>
      <x:c r="G240" s="85" t="n">
        <x:v>0</x:v>
      </x:c>
      <x:c r="H240" s="85" t="n">
        <x:v>0</x:v>
      </x:c>
      <x:c r="I240" s="91" t="str"/>
      <x:c r="J240" s="91" t="str"/>
      <x:c r="K240" s="91" t="str"/>
      <x:c r="L240" s="91" t="str"/>
    </x:row>
    <x:row r="241" ht="24" customHeight="1">
      <x:c r="A241" s="82" t="n">
        <x:v>237</x:v>
      </x:c>
      <x:c r="B241" s="82" t="str">
        <x:v>Davide De Pretto</x:v>
      </x:c>
      <x:c r="C241" s="85" t="n">
        <x:v>0</x:v>
      </x:c>
      <x:c r="D241" s="85" t="n">
        <x:v>0</x:v>
      </x:c>
      <x:c r="E241" s="85" t="n">
        <x:v>0</x:v>
      </x:c>
      <x:c r="F241" s="85" t="n">
        <x:v>0</x:v>
      </x:c>
      <x:c r="G241" s="85" t="n">
        <x:v>0</x:v>
      </x:c>
      <x:c r="H241" s="85" t="n">
        <x:v>0</x:v>
      </x:c>
      <x:c r="I241" s="91" t="str"/>
      <x:c r="J241" s="91" t="str"/>
      <x:c r="K241" s="91" t="str"/>
      <x:c r="L241" s="91" t="str"/>
    </x:row>
    <x:row r="242" ht="24" customHeight="1">
      <x:c r="A242" s="82" t="n">
        <x:v>238</x:v>
      </x:c>
      <x:c r="B242" s="82" t="str">
        <x:v>Gil Gelders</x:v>
      </x:c>
      <x:c r="C242" s="85" t="n">
        <x:v>0</x:v>
      </x:c>
      <x:c r="D242" s="85" t="n">
        <x:v>0</x:v>
      </x:c>
      <x:c r="E242" s="85" t="n">
        <x:v>0</x:v>
      </x:c>
      <x:c r="F242" s="85" t="n">
        <x:v>0</x:v>
      </x:c>
      <x:c r="G242" s="85" t="n">
        <x:v>0</x:v>
      </x:c>
      <x:c r="H242" s="85" t="n">
        <x:v>0</x:v>
      </x:c>
      <x:c r="I242" s="91" t="str"/>
      <x:c r="J242" s="91" t="str"/>
      <x:c r="K242" s="91" t="str"/>
      <x:c r="L242" s="91" t="str"/>
    </x:row>
    <x:row r="243" ht="24" customHeight="1">
      <x:c r="A243" s="82" t="n">
        <x:v>239</x:v>
      </x:c>
      <x:c r="B243" s="82" t="str">
        <x:v>Clément Berthet</x:v>
      </x:c>
      <x:c r="C243" s="85" t="n">
        <x:v>0</x:v>
      </x:c>
      <x:c r="D243" s="85" t="n">
        <x:v>0</x:v>
      </x:c>
      <x:c r="E243" s="85" t="n">
        <x:v>0</x:v>
      </x:c>
      <x:c r="F243" s="85" t="n">
        <x:v>0</x:v>
      </x:c>
      <x:c r="G243" s="85" t="n">
        <x:v>0</x:v>
      </x:c>
      <x:c r="H243" s="85" t="n">
        <x:v>0</x:v>
      </x:c>
      <x:c r="I243" s="91" t="str"/>
      <x:c r="J243" s="91" t="str"/>
      <x:c r="K243" s="91" t="str"/>
      <x:c r="L243" s="91" t="str"/>
    </x:row>
    <x:row r="244" ht="24" customHeight="1">
      <x:c r="A244" s="82" t="n">
        <x:v>240</x:v>
      </x:c>
      <x:c r="B244" s="82" t="str">
        <x:v>Dillon Corkery</x:v>
      </x:c>
      <x:c r="C244" s="85" t="n">
        <x:v>0</x:v>
      </x:c>
      <x:c r="D244" s="85" t="n">
        <x:v>0</x:v>
      </x:c>
      <x:c r="E244" s="85" t="n">
        <x:v>0</x:v>
      </x:c>
      <x:c r="F244" s="85" t="n">
        <x:v>0</x:v>
      </x:c>
      <x:c r="G244" s="85" t="n">
        <x:v>0</x:v>
      </x:c>
      <x:c r="H244" s="85" t="n">
        <x:v>0</x:v>
      </x:c>
      <x:c r="I244" s="91" t="str"/>
      <x:c r="J244" s="91" t="str"/>
      <x:c r="K244" s="91" t="str"/>
      <x:c r="L244" s="91" t="str"/>
    </x:row>
    <x:row r="245" ht="24" customHeight="1">
      <x:c r="A245" s="82" t="n">
        <x:v>241</x:v>
      </x:c>
      <x:c r="B245" s="82" t="str">
        <x:v>Casper Pedersen</x:v>
      </x:c>
      <x:c r="C245" s="85" t="n">
        <x:v>0</x:v>
      </x:c>
      <x:c r="D245" s="85" t="n">
        <x:v>0</x:v>
      </x:c>
      <x:c r="E245" s="85" t="n">
        <x:v>0</x:v>
      </x:c>
      <x:c r="F245" s="85" t="n">
        <x:v>0</x:v>
      </x:c>
      <x:c r="G245" s="85" t="n">
        <x:v>0</x:v>
      </x:c>
      <x:c r="H245" s="85" t="n">
        <x:v>0</x:v>
      </x:c>
      <x:c r="I245" s="91" t="str"/>
      <x:c r="J245" s="91" t="str"/>
      <x:c r="K245" s="91" t="str"/>
      <x:c r="L245" s="91" t="str"/>
    </x:row>
    <x:row r="246" ht="24" customHeight="1">
      <x:c r="A246" s="82" t="n">
        <x:v>242</x:v>
      </x:c>
      <x:c r="B246" s="82" t="str">
        <x:v>Christopher Juul-Jensen</x:v>
      </x:c>
      <x:c r="C246" s="85" t="n">
        <x:v>0</x:v>
      </x:c>
      <x:c r="D246" s="85" t="n">
        <x:v>0</x:v>
      </x:c>
      <x:c r="E246" s="85" t="n">
        <x:v>0</x:v>
      </x:c>
      <x:c r="F246" s="85" t="n">
        <x:v>0</x:v>
      </x:c>
      <x:c r="G246" s="85" t="n">
        <x:v>0</x:v>
      </x:c>
      <x:c r="H246" s="85" t="n">
        <x:v>0</x:v>
      </x:c>
      <x:c r="I246" s="91" t="str"/>
      <x:c r="J246" s="91" t="str"/>
      <x:c r="K246" s="91" t="str"/>
      <x:c r="L246" s="91" t="str"/>
    </x:row>
    <x:row r="247" ht="24" customHeight="1">
      <x:c r="A247" s="82" t="n">
        <x:v>243</x:v>
      </x:c>
      <x:c r="B247" s="82" t="str">
        <x:v>Felix Engelhardt</x:v>
      </x:c>
      <x:c r="C247" s="85" t="n">
        <x:v>0</x:v>
      </x:c>
      <x:c r="D247" s="85" t="n">
        <x:v>0</x:v>
      </x:c>
      <x:c r="E247" s="85" t="n">
        <x:v>0</x:v>
      </x:c>
      <x:c r="F247" s="85" t="n">
        <x:v>0</x:v>
      </x:c>
      <x:c r="G247" s="85" t="n">
        <x:v>0</x:v>
      </x:c>
      <x:c r="H247" s="85" t="n">
        <x:v>0</x:v>
      </x:c>
      <x:c r="I247" s="91" t="str"/>
      <x:c r="J247" s="91" t="str"/>
      <x:c r="K247" s="91" t="str"/>
      <x:c r="L247" s="91" t="str"/>
    </x:row>
    <x:row r="248" ht="24" customHeight="1">
      <x:c r="A248" s="82" t="n">
        <x:v>244</x:v>
      </x:c>
      <x:c r="B248" s="82" t="str">
        <x:v>Jenno Berckmoes</x:v>
      </x:c>
      <x:c r="C248" s="85" t="n">
        <x:v>0</x:v>
      </x:c>
      <x:c r="D248" s="85" t="n">
        <x:v>0</x:v>
      </x:c>
      <x:c r="E248" s="85" t="n">
        <x:v>0</x:v>
      </x:c>
      <x:c r="F248" s="85" t="n">
        <x:v>0</x:v>
      </x:c>
      <x:c r="G248" s="85" t="n">
        <x:v>0</x:v>
      </x:c>
      <x:c r="H248" s="85" t="n">
        <x:v>0</x:v>
      </x:c>
      <x:c r="I248" s="91" t="str"/>
      <x:c r="J248" s="91" t="str"/>
      <x:c r="K248" s="91" t="str"/>
      <x:c r="L248" s="91" t="str"/>
    </x:row>
    <x:row r="249" ht="24" customHeight="1">
      <x:c r="A249" s="82" t="n">
        <x:v>245</x:v>
      </x:c>
      <x:c r="B249" s="82" t="str">
        <x:v>Jakob Söderqvist</x:v>
      </x:c>
      <x:c r="C249" s="85" t="n">
        <x:v>0</x:v>
      </x:c>
      <x:c r="D249" s="85" t="n">
        <x:v>0</x:v>
      </x:c>
      <x:c r="E249" s="85" t="n">
        <x:v>0</x:v>
      </x:c>
      <x:c r="F249" s="85" t="n">
        <x:v>0</x:v>
      </x:c>
      <x:c r="G249" s="85" t="n">
        <x:v>0</x:v>
      </x:c>
      <x:c r="H249" s="85" t="n">
        <x:v>0</x:v>
      </x:c>
      <x:c r="I249" s="91" t="str"/>
      <x:c r="J249" s="91" t="str"/>
      <x:c r="K249" s="91" t="str"/>
      <x:c r="L249" s="91" t="str"/>
    </x:row>
    <x:row r="250" ht="24" customHeight="1">
      <x:c r="A250" s="82" t="n">
        <x:v>246</x:v>
      </x:c>
      <x:c r="B250" s="82" t="str">
        <x:v>Johannes Kulset</x:v>
      </x:c>
      <x:c r="C250" s="85" t="n">
        <x:v>0</x:v>
      </x:c>
      <x:c r="D250" s="85" t="n">
        <x:v>0</x:v>
      </x:c>
      <x:c r="E250" s="85" t="n">
        <x:v>0</x:v>
      </x:c>
      <x:c r="F250" s="85" t="n">
        <x:v>0</x:v>
      </x:c>
      <x:c r="G250" s="85" t="n">
        <x:v>0</x:v>
      </x:c>
      <x:c r="H250" s="85" t="n">
        <x:v>0</x:v>
      </x:c>
      <x:c r="I250" s="91" t="str"/>
      <x:c r="J250" s="91" t="str"/>
      <x:c r="K250" s="91" t="str"/>
      <x:c r="L250" s="91" t="str"/>
    </x:row>
    <x:row r="251" ht="24" customHeight="1">
      <x:c r="A251" s="82" t="n">
        <x:v>247</x:v>
      </x:c>
      <x:c r="B251" s="82" t="str">
        <x:v>Archie Ryan (cyclist)</x:v>
      </x:c>
      <x:c r="C251" s="85" t="n">
        <x:v>0</x:v>
      </x:c>
      <x:c r="D251" s="85" t="n">
        <x:v>0</x:v>
      </x:c>
      <x:c r="E251" s="85" t="n">
        <x:v>0</x:v>
      </x:c>
      <x:c r="F251" s="85" t="n">
        <x:v>0</x:v>
      </x:c>
      <x:c r="G251" s="85" t="n">
        <x:v>0</x:v>
      </x:c>
      <x:c r="H251" s="85" t="n">
        <x:v>0</x:v>
      </x:c>
      <x:c r="I251" s="91" t="str"/>
      <x:c r="J251" s="91" t="str"/>
      <x:c r="K251" s="91" t="str"/>
      <x:c r="L251" s="91" t="str"/>
    </x:row>
    <x:row r="252" ht="24" customHeight="1">
      <x:c r="A252" s="82" t="n">
        <x:v>248</x:v>
      </x:c>
      <x:c r="B252" s="82" t="str">
        <x:v>Josh Kench</x:v>
      </x:c>
      <x:c r="C252" s="85" t="n">
        <x:v>0</x:v>
      </x:c>
      <x:c r="D252" s="85" t="n">
        <x:v>0</x:v>
      </x:c>
      <x:c r="E252" s="85" t="n">
        <x:v>0</x:v>
      </x:c>
      <x:c r="F252" s="85" t="n">
        <x:v>0</x:v>
      </x:c>
      <x:c r="G252" s="85" t="n">
        <x:v>0</x:v>
      </x:c>
      <x:c r="H252" s="85" t="n">
        <x:v>0</x:v>
      </x:c>
      <x:c r="I252" s="91" t="str"/>
      <x:c r="J252" s="91" t="str"/>
      <x:c r="K252" s="91" t="str"/>
      <x:c r="L252" s="91" t="str"/>
    </x:row>
    <x:row r="253" ht="24" customHeight="1">
      <x:c r="A253" s="82" t="n">
        <x:v>249</x:v>
      </x:c>
      <x:c r="B253" s="82" t="str">
        <x:v>Floris Van Tricht</x:v>
      </x:c>
      <x:c r="C253" s="85" t="n">
        <x:v>0</x:v>
      </x:c>
      <x:c r="D253" s="85" t="n">
        <x:v>0</x:v>
      </x:c>
      <x:c r="E253" s="85" t="n">
        <x:v>0</x:v>
      </x:c>
      <x:c r="F253" s="85" t="n">
        <x:v>0</x:v>
      </x:c>
      <x:c r="G253" s="85" t="n">
        <x:v>0</x:v>
      </x:c>
      <x:c r="H253" s="85" t="n">
        <x:v>0</x:v>
      </x:c>
      <x:c r="I253" s="91" t="str"/>
      <x:c r="J253" s="91" t="str"/>
      <x:c r="K253" s="91" t="str"/>
      <x:c r="L253" s="91" t="str"/>
    </x:row>
    <x:row r="254" ht="24" customHeight="1">
      <x:c r="A254" s="82" t="n">
        <x:v>250</x:v>
      </x:c>
      <x:c r="B254" s="82" t="str">
        <x:v>Bart Lemmen</x:v>
      </x:c>
      <x:c r="C254" s="85" t="n">
        <x:v>0</x:v>
      </x:c>
      <x:c r="D254" s="85" t="n">
        <x:v>0</x:v>
      </x:c>
      <x:c r="E254" s="85" t="n">
        <x:v>0</x:v>
      </x:c>
      <x:c r="F254" s="85" t="n">
        <x:v>0</x:v>
      </x:c>
      <x:c r="G254" s="85" t="n">
        <x:v>0</x:v>
      </x:c>
      <x:c r="H254" s="85" t="n">
        <x:v>0</x:v>
      </x:c>
      <x:c r="I254" s="91" t="str"/>
      <x:c r="J254" s="91" t="str"/>
      <x:c r="K254" s="91" t="str"/>
      <x:c r="L254" s="91" t="str"/>
    </x:row>
    <x:row r="255" ht="24" customHeight="1">
      <x:c r="A255" s="82" t="n">
        <x:v>251</x:v>
      </x:c>
      <x:c r="B255" s="82" t="str">
        <x:v>Davide Piganzoli</x:v>
      </x:c>
      <x:c r="C255" s="85" t="n">
        <x:v>0</x:v>
      </x:c>
      <x:c r="D255" s="85" t="n">
        <x:v>0</x:v>
      </x:c>
      <x:c r="E255" s="85" t="n">
        <x:v>0</x:v>
      </x:c>
      <x:c r="F255" s="85" t="n">
        <x:v>0</x:v>
      </x:c>
      <x:c r="G255" s="85" t="n">
        <x:v>0</x:v>
      </x:c>
      <x:c r="H255" s="85" t="n">
        <x:v>0</x:v>
      </x:c>
      <x:c r="I255" s="91" t="str"/>
      <x:c r="J255" s="91" t="str"/>
      <x:c r="K255" s="91" t="str"/>
      <x:c r="L255" s="91" t="str"/>
    </x:row>
    <x:row r="256" ht="24" customHeight="1">
      <x:c r="A256" s="82" t="n">
        <x:v>252</x:v>
      </x:c>
      <x:c r="B256" s="82" t="str">
        <x:v>Harold Martín López</x:v>
      </x:c>
      <x:c r="C256" s="85" t="n">
        <x:v>0</x:v>
      </x:c>
      <x:c r="D256" s="85" t="n">
        <x:v>0</x:v>
      </x:c>
      <x:c r="E256" s="85" t="n">
        <x:v>0</x:v>
      </x:c>
      <x:c r="F256" s="85" t="n">
        <x:v>0</x:v>
      </x:c>
      <x:c r="G256" s="85" t="n">
        <x:v>0</x:v>
      </x:c>
      <x:c r="H256" s="85" t="n">
        <x:v>0</x:v>
      </x:c>
      <x:c r="I256" s="91" t="str"/>
      <x:c r="J256" s="91" t="str"/>
      <x:c r="K256" s="91" t="str"/>
      <x:c r="L256" s="91" t="str"/>
    </x:row>
    <x:row r="257" ht="24" customHeight="1">
      <x:c r="A257" s="82" t="n">
        <x:v>253</x:v>
      </x:c>
      <x:c r="B257" s="82" t="str">
        <x:v>Henri-François Renard-Haquin</x:v>
      </x:c>
      <x:c r="C257" s="85" t="n">
        <x:v>0</x:v>
      </x:c>
      <x:c r="D257" s="85" t="n">
        <x:v>0</x:v>
      </x:c>
      <x:c r="E257" s="85" t="n">
        <x:v>0</x:v>
      </x:c>
      <x:c r="F257" s="85" t="n">
        <x:v>0</x:v>
      </x:c>
      <x:c r="G257" s="85" t="n">
        <x:v>0</x:v>
      </x:c>
      <x:c r="H257" s="85" t="n">
        <x:v>0</x:v>
      </x:c>
      <x:c r="I257" s="91" t="str"/>
      <x:c r="J257" s="91" t="str"/>
      <x:c r="K257" s="91" t="str"/>
      <x:c r="L257" s="91" t="str"/>
    </x:row>
    <x:row r="258" ht="24" customHeight="1">
      <x:c r="A258" s="82" t="n">
        <x:v>254</x:v>
      </x:c>
      <x:c r="B258" s="82" t="str">
        <x:v>Lennert Belmans</x:v>
      </x:c>
      <x:c r="C258" s="85" t="n">
        <x:v>0</x:v>
      </x:c>
      <x:c r="D258" s="85" t="n">
        <x:v>0</x:v>
      </x:c>
      <x:c r="E258" s="85" t="n">
        <x:v>0</x:v>
      </x:c>
      <x:c r="F258" s="85" t="n">
        <x:v>0</x:v>
      </x:c>
      <x:c r="G258" s="85" t="n">
        <x:v>0</x:v>
      </x:c>
      <x:c r="H258" s="85" t="n">
        <x:v>0</x:v>
      </x:c>
      <x:c r="I258" s="91" t="str"/>
      <x:c r="J258" s="91" t="str"/>
      <x:c r="K258" s="91" t="str"/>
      <x:c r="L258" s="91" t="str"/>
    </x:row>
    <x:row r="259" ht="24" customHeight="1">
      <x:c r="A259" s="82" t="n">
        <x:v>255</x:v>
      </x:c>
      <x:c r="B259" s="82" t="str">
        <x:v>Bastien Tronchon</x:v>
      </x:c>
      <x:c r="C259" s="85" t="n">
        <x:v>0</x:v>
      </x:c>
      <x:c r="D259" s="85" t="n">
        <x:v>0</x:v>
      </x:c>
      <x:c r="E259" s="85" t="n">
        <x:v>0</x:v>
      </x:c>
      <x:c r="F259" s="85" t="n">
        <x:v>0</x:v>
      </x:c>
      <x:c r="G259" s="85" t="n">
        <x:v>0</x:v>
      </x:c>
      <x:c r="H259" s="85" t="n">
        <x:v>0</x:v>
      </x:c>
      <x:c r="I259" s="91" t="str"/>
      <x:c r="J259" s="91" t="str"/>
      <x:c r="K259" s="91" t="str"/>
      <x:c r="L259" s="91" t="str"/>
    </x:row>
    <x:row r="260" ht="24" customHeight="1">
      <x:c r="A260" s="82" t="n">
        <x:v>256</x:v>
      </x:c>
      <x:c r="B260" s="82" t="str">
        <x:v>Laurens De Plus</x:v>
      </x:c>
      <x:c r="C260" s="85" t="n">
        <x:v>0</x:v>
      </x:c>
      <x:c r="D260" s="85" t="n">
        <x:v>0</x:v>
      </x:c>
      <x:c r="E260" s="85" t="n">
        <x:v>0</x:v>
      </x:c>
      <x:c r="F260" s="85" t="n">
        <x:v>0</x:v>
      </x:c>
      <x:c r="G260" s="85" t="n">
        <x:v>0</x:v>
      </x:c>
      <x:c r="H260" s="85" t="n">
        <x:v>0</x:v>
      </x:c>
      <x:c r="I260" s="91" t="str"/>
      <x:c r="J260" s="91" t="str"/>
      <x:c r="K260" s="91" t="str">
        <x:v>ロード 金0/銀0/銅0、ITT 金0/銀0/銅0</x:v>
      </x:c>
      <x:c r="L260" s="91" t="str"/>
    </x:row>
    <x:row r="261" ht="24" customHeight="1">
      <x:c r="A261" s="82" t="n">
        <x:v>257</x:v>
      </x:c>
      <x:c r="B261" s="82" t="str">
        <x:v>Alessandro Covi</x:v>
      </x:c>
      <x:c r="C261" s="85" t="n">
        <x:v>0</x:v>
      </x:c>
      <x:c r="D261" s="85" t="n">
        <x:v>0</x:v>
      </x:c>
      <x:c r="E261" s="85" t="n">
        <x:v>0</x:v>
      </x:c>
      <x:c r="F261" s="85" t="n">
        <x:v>0</x:v>
      </x:c>
      <x:c r="G261" s="85" t="n">
        <x:v>0</x:v>
      </x:c>
      <x:c r="H261" s="85" t="n">
        <x:v>0</x:v>
      </x:c>
      <x:c r="I261" s="91" t="str"/>
      <x:c r="J261" s="91" t="str"/>
      <x:c r="K261" s="91" t="str"/>
      <x:c r="L261" s="91" t="str"/>
    </x:row>
    <x:row r="262" ht="24" customHeight="1">
      <x:c r="A262" s="82" t="n">
        <x:v>258</x:v>
      </x:c>
      <x:c r="B262" s="82" t="str">
        <x:v>Darren van Bekkum</x:v>
      </x:c>
      <x:c r="C262" s="85" t="n">
        <x:v>0</x:v>
      </x:c>
      <x:c r="D262" s="85" t="n">
        <x:v>0</x:v>
      </x:c>
      <x:c r="E262" s="85" t="n">
        <x:v>0</x:v>
      </x:c>
      <x:c r="F262" s="85" t="n">
        <x:v>0</x:v>
      </x:c>
      <x:c r="G262" s="85" t="n">
        <x:v>0</x:v>
      </x:c>
      <x:c r="H262" s="85" t="n">
        <x:v>0</x:v>
      </x:c>
      <x:c r="I262" s="91" t="str"/>
      <x:c r="J262" s="91" t="str"/>
      <x:c r="K262" s="91" t="str"/>
      <x:c r="L262" s="91" t="str"/>
    </x:row>
    <x:row r="263" ht="24" customHeight="1">
      <x:c r="A263" s="82" t="n">
        <x:v>259</x:v>
      </x:c>
      <x:c r="B263" s="82" t="str">
        <x:v>Anton Kuzmin</x:v>
      </x:c>
      <x:c r="C263" s="85" t="n">
        <x:v>0</x:v>
      </x:c>
      <x:c r="D263" s="85" t="n">
        <x:v>0</x:v>
      </x:c>
      <x:c r="E263" s="85" t="n">
        <x:v>0</x:v>
      </x:c>
      <x:c r="F263" s="85" t="n">
        <x:v>0</x:v>
      </x:c>
      <x:c r="G263" s="85" t="n">
        <x:v>0</x:v>
      </x:c>
      <x:c r="H263" s="85" t="n">
        <x:v>0</x:v>
      </x:c>
      <x:c r="I263" s="91" t="str"/>
      <x:c r="J263" s="91" t="str"/>
      <x:c r="K263" s="91" t="str"/>
      <x:c r="L263" s="91" t="str"/>
    </x:row>
    <x:row r="264" ht="24" customHeight="1">
      <x:c r="A264" s="82" t="n">
        <x:v>260</x:v>
      </x:c>
      <x:c r="B264" s="82" t="str">
        <x:v>Alessandro Borgo</x:v>
      </x:c>
      <x:c r="C264" s="85" t="n">
        <x:v>0</x:v>
      </x:c>
      <x:c r="D264" s="85" t="n">
        <x:v>0</x:v>
      </x:c>
      <x:c r="E264" s="85" t="n">
        <x:v>0</x:v>
      </x:c>
      <x:c r="F264" s="85" t="n">
        <x:v>0</x:v>
      </x:c>
      <x:c r="G264" s="85" t="n">
        <x:v>0</x:v>
      </x:c>
      <x:c r="H264" s="85" t="n">
        <x:v>0</x:v>
      </x:c>
      <x:c r="I264" s="91" t="str"/>
      <x:c r="J264" s="91" t="str"/>
      <x:c r="K264" s="91" t="str"/>
      <x:c r="L264" s="91" t="str"/>
    </x:row>
    <x:row r="265" ht="24" customHeight="1">
      <x:c r="A265" s="82" t="n">
        <x:v>261</x:v>
      </x:c>
      <x:c r="B265" s="82" t="str">
        <x:v>Luke Plapp</x:v>
      </x:c>
      <x:c r="C265" s="85" t="n">
        <x:v>0</x:v>
      </x:c>
      <x:c r="D265" s="85" t="n">
        <x:v>0</x:v>
      </x:c>
      <x:c r="E265" s="85" t="n">
        <x:v>0</x:v>
      </x:c>
      <x:c r="F265" s="85" t="n">
        <x:v>0</x:v>
      </x:c>
      <x:c r="G265" s="85" t="n">
        <x:v>0</x:v>
      </x:c>
      <x:c r="H265" s="85" t="n">
        <x:v>0</x:v>
      </x:c>
      <x:c r="I265" s="91" t="str"/>
      <x:c r="J265" s="91" t="str"/>
      <x:c r="K265" s="91" t="str">
        <x:v>ロード 金0/銀0/銅0、ITT 金0/銀0/銅0</x:v>
      </x:c>
      <x:c r="L265" s="91" t="str"/>
    </x:row>
    <x:row r="266" ht="24" customHeight="1">
      <x:c r="A266" s="82" t="n">
        <x:v>262</x:v>
      </x:c>
      <x:c r="B266" s="82" t="str">
        <x:v>Adam Yates</x:v>
      </x:c>
      <x:c r="C266" s="85" t="n">
        <x:v>0</x:v>
      </x:c>
      <x:c r="D266" s="85" t="n">
        <x:v>0</x:v>
      </x:c>
      <x:c r="E266" s="85" t="n">
        <x:v>0</x:v>
      </x:c>
      <x:c r="F266" s="85" t="n">
        <x:v>0</x:v>
      </x:c>
      <x:c r="G266" s="85" t="n">
        <x:v>0</x:v>
      </x:c>
      <x:c r="H266" s="85" t="n">
        <x:v>0</x:v>
      </x:c>
      <x:c r="I266" s="91" t="str"/>
      <x:c r="J266" s="91" t="str"/>
      <x:c r="K266" s="91" t="str">
        <x:v>ロード 金0/銀0/銅0、ITT 金0/銀0/銅0</x:v>
      </x:c>
      <x:c r="L266" s="91" t="str"/>
    </x:row>
    <x:row r="267" ht="24" customHeight="1">
      <x:c r="A267" s="82" t="n">
        <x:v>263</x:v>
      </x:c>
      <x:c r="B267" s="82" t="str">
        <x:v>Anders Halland Johannessen</x:v>
      </x:c>
      <x:c r="C267" s="85" t="n">
        <x:v>0</x:v>
      </x:c>
      <x:c r="D267" s="85" t="n">
        <x:v>0</x:v>
      </x:c>
      <x:c r="E267" s="85" t="n">
        <x:v>0</x:v>
      </x:c>
      <x:c r="F267" s="85" t="n">
        <x:v>0</x:v>
      </x:c>
      <x:c r="G267" s="85" t="n">
        <x:v>0</x:v>
      </x:c>
      <x:c r="H267" s="85" t="n">
        <x:v>0</x:v>
      </x:c>
      <x:c r="I267" s="91" t="str"/>
      <x:c r="J267" s="91" t="str"/>
      <x:c r="K267" s="91" t="str"/>
      <x:c r="L267" s="91" t="str"/>
    </x:row>
    <x:row r="268" ht="24" customHeight="1">
      <x:c r="A268" s="82" t="n">
        <x:v>264</x:v>
      </x:c>
      <x:c r="B268" s="82" t="str">
        <x:v>Tobias Foss</x:v>
      </x:c>
      <x:c r="C268" s="85" t="n">
        <x:v>0</x:v>
      </x:c>
      <x:c r="D268" s="85" t="n">
        <x:v>0</x:v>
      </x:c>
      <x:c r="E268" s="85" t="n">
        <x:v>0</x:v>
      </x:c>
      <x:c r="F268" s="85" t="n">
        <x:v>1</x:v>
      </x:c>
      <x:c r="G268" s="85" t="n">
        <x:v>0</x:v>
      </x:c>
      <x:c r="H268" s="85" t="n">
        <x:v>0</x:v>
      </x:c>
      <x:c r="I268" s="91" t="str"/>
      <x:c r="J268" s="91" t="str"/>
      <x:c r="K268" s="91" t="str">
        <x:v>ロード 金0/銀0/銅0、ITT 金1/銀0/銅0</x:v>
      </x:c>
      <x:c r="L268" s="91" t="str">
        <x:v>https://www.uci.org/discipline/road/6TBjsDD8902tud440iv1Cu?discipline=ROA&amp;tab=results</x:v>
      </x:c>
    </x:row>
    <x:row r="269" ht="24" customHeight="1">
      <x:c r="A269" s="82" t="n">
        <x:v>265</x:v>
      </x:c>
      <x:c r="B269" s="82" t="str">
        <x:v>Damiano Caruso</x:v>
      </x:c>
      <x:c r="C269" s="85" t="n">
        <x:v>0</x:v>
      </x:c>
      <x:c r="D269" s="85" t="n">
        <x:v>0</x:v>
      </x:c>
      <x:c r="E269" s="85" t="n">
        <x:v>0</x:v>
      </x:c>
      <x:c r="F269" s="85" t="n">
        <x:v>0</x:v>
      </x:c>
      <x:c r="G269" s="85" t="n">
        <x:v>0</x:v>
      </x:c>
      <x:c r="H269" s="85" t="n">
        <x:v>0</x:v>
      </x:c>
      <x:c r="I269" s="91" t="str"/>
      <x:c r="J269" s="91" t="str"/>
      <x:c r="K269" s="91" t="str">
        <x:v>ロード 金0/銀0/銅0、ITT 金0/銀0/銅0</x:v>
      </x:c>
      <x:c r="L269" s="91" t="str"/>
    </x:row>
    <x:row r="270" ht="24" customHeight="1">
      <x:c r="A270" s="82" t="n">
        <x:v>266</x:v>
      </x:c>
      <x:c r="B270" s="82" t="str">
        <x:v>Carlos Verona</x:v>
      </x:c>
      <x:c r="C270" s="85" t="n">
        <x:v>0</x:v>
      </x:c>
      <x:c r="D270" s="85" t="n">
        <x:v>0</x:v>
      </x:c>
      <x:c r="E270" s="85" t="n">
        <x:v>0</x:v>
      </x:c>
      <x:c r="F270" s="85" t="n">
        <x:v>0</x:v>
      </x:c>
      <x:c r="G270" s="85" t="n">
        <x:v>0</x:v>
      </x:c>
      <x:c r="H270" s="85" t="n">
        <x:v>0</x:v>
      </x:c>
      <x:c r="I270" s="91" t="str"/>
      <x:c r="J270" s="91" t="str"/>
      <x:c r="K270" s="91" t="str">
        <x:v>ロード 金0/銀0/銅0、ITT 金0/銀0/銅0</x:v>
      </x:c>
      <x:c r="L270" s="91" t="str"/>
    </x:row>
    <x:row r="271" ht="24" customHeight="1">
      <x:c r="A271" s="82" t="n">
        <x:v>267</x:v>
      </x:c>
      <x:c r="B271" s="82" t="str">
        <x:v>Mike Teunissen</x:v>
      </x:c>
      <x:c r="C271" s="85" t="n">
        <x:v>0</x:v>
      </x:c>
      <x:c r="D271" s="85" t="n">
        <x:v>0</x:v>
      </x:c>
      <x:c r="E271" s="85" t="n">
        <x:v>0</x:v>
      </x:c>
      <x:c r="F271" s="85" t="n">
        <x:v>0</x:v>
      </x:c>
      <x:c r="G271" s="85" t="n">
        <x:v>0</x:v>
      </x:c>
      <x:c r="H271" s="85" t="n">
        <x:v>0</x:v>
      </x:c>
      <x:c r="I271" s="91" t="str"/>
      <x:c r="J271" s="91" t="str"/>
      <x:c r="K271" s="91" t="str">
        <x:v>ロード 金0/銀0/銅0、ITT 金0/銀0/銅0</x:v>
      </x:c>
      <x:c r="L271" s="91" t="str"/>
    </x:row>
    <x:row r="272" ht="24" customHeight="1">
      <x:c r="A272" s="82" t="n">
        <x:v>268</x:v>
      </x:c>
      <x:c r="B272" s="82" t="str">
        <x:v>Baptiste Veistroffer</x:v>
      </x:c>
      <x:c r="C272" s="85" t="n">
        <x:v>0</x:v>
      </x:c>
      <x:c r="D272" s="85" t="n">
        <x:v>0</x:v>
      </x:c>
      <x:c r="E272" s="85" t="n">
        <x:v>0</x:v>
      </x:c>
      <x:c r="F272" s="85" t="n">
        <x:v>0</x:v>
      </x:c>
      <x:c r="G272" s="85" t="n">
        <x:v>0</x:v>
      </x:c>
      <x:c r="H272" s="85" t="n">
        <x:v>0</x:v>
      </x:c>
      <x:c r="I272" s="91" t="str"/>
      <x:c r="J272" s="91" t="str"/>
      <x:c r="K272" s="91" t="str"/>
      <x:c r="L272" s="91" t="str"/>
    </x:row>
    <x:row r="273" ht="24" customHeight="1">
      <x:c r="A273" s="82" t="n">
        <x:v>269</x:v>
      </x:c>
      <x:c r="B273" s="82" t="str">
        <x:v>Bob Jungels</x:v>
      </x:c>
      <x:c r="C273" s="85" t="n">
        <x:v>0</x:v>
      </x:c>
      <x:c r="D273" s="85" t="n">
        <x:v>0</x:v>
      </x:c>
      <x:c r="E273" s="85" t="n">
        <x:v>0</x:v>
      </x:c>
      <x:c r="F273" s="85" t="n">
        <x:v>0</x:v>
      </x:c>
      <x:c r="G273" s="85" t="n">
        <x:v>0</x:v>
      </x:c>
      <x:c r="H273" s="85" t="n">
        <x:v>0</x:v>
      </x:c>
      <x:c r="I273" s="91" t="str"/>
      <x:c r="J273" s="91" t="str"/>
      <x:c r="K273" s="91" t="str">
        <x:v>ロード 金0/銀0/銅0、ITT 金0/銀0/銅0</x:v>
      </x:c>
      <x:c r="L273" s="91" t="str"/>
    </x:row>
    <x:row r="274" ht="24" customHeight="1">
      <x:c r="A274" s="82" t="n">
        <x:v>270</x:v>
      </x:c>
      <x:c r="B274" s="82" t="str">
        <x:v>Santiago Buitrago</x:v>
      </x:c>
      <x:c r="C274" s="85" t="n">
        <x:v>0</x:v>
      </x:c>
      <x:c r="D274" s="85" t="n">
        <x:v>0</x:v>
      </x:c>
      <x:c r="E274" s="85" t="n">
        <x:v>0</x:v>
      </x:c>
      <x:c r="F274" s="85" t="n">
        <x:v>0</x:v>
      </x:c>
      <x:c r="G274" s="85" t="n">
        <x:v>0</x:v>
      </x:c>
      <x:c r="H274" s="85" t="n">
        <x:v>0</x:v>
      </x:c>
      <x:c r="I274" s="91" t="str"/>
      <x:c r="J274" s="91" t="str"/>
      <x:c r="K274" s="91" t="str">
        <x:v>ロード 金0/銀0/銅0、ITT 金0/銀0/銅0</x:v>
      </x:c>
      <x:c r="L274" s="91" t="str"/>
    </x:row>
    <x:row r="275" ht="24" customHeight="1">
      <x:c r="A275" s="82" t="n">
        <x:v>271</x:v>
      </x:c>
      <x:c r="B275" s="82" t="str">
        <x:v>Wilco Kelderman</x:v>
      </x:c>
      <x:c r="C275" s="85" t="n">
        <x:v>0</x:v>
      </x:c>
      <x:c r="D275" s="85" t="n">
        <x:v>0</x:v>
      </x:c>
      <x:c r="E275" s="85" t="n">
        <x:v>0</x:v>
      </x:c>
      <x:c r="F275" s="85" t="n">
        <x:v>0</x:v>
      </x:c>
      <x:c r="G275" s="85" t="n">
        <x:v>0</x:v>
      </x:c>
      <x:c r="H275" s="85" t="n">
        <x:v>0</x:v>
      </x:c>
      <x:c r="I275" s="91" t="str"/>
      <x:c r="J275" s="91" t="str"/>
      <x:c r="K275" s="91" t="str">
        <x:v>ロード 金0/銀0/銅0、ITT 金0/銀0/銅0</x:v>
      </x:c>
      <x:c r="L275" s="91" t="str"/>
    </x:row>
    <x:row r="276" ht="24" customHeight="1">
      <x:c r="A276" s="82" t="n">
        <x:v>272</x:v>
      </x:c>
      <x:c r="B276" s="82" t="str">
        <x:v>Thymen Arensman</x:v>
      </x:c>
      <x:c r="C276" s="85" t="n">
        <x:v>0</x:v>
      </x:c>
      <x:c r="D276" s="85" t="n">
        <x:v>0</x:v>
      </x:c>
      <x:c r="E276" s="85" t="n">
        <x:v>0</x:v>
      </x:c>
      <x:c r="F276" s="85" t="n">
        <x:v>0</x:v>
      </x:c>
      <x:c r="G276" s="85" t="n">
        <x:v>0</x:v>
      </x:c>
      <x:c r="H276" s="85" t="n">
        <x:v>0</x:v>
      </x:c>
      <x:c r="I276" s="91" t="str"/>
      <x:c r="J276" s="91" t="str"/>
      <x:c r="K276" s="91" t="str">
        <x:v>ロード 金0/銀0/銅0、ITT 金0/銀0/銅0</x:v>
      </x:c>
      <x:c r="L276" s="91" t="str"/>
    </x:row>
    <x:row r="277" ht="24" customHeight="1">
      <x:c r="A277" s="82" t="n">
        <x:v>273</x:v>
      </x:c>
      <x:c r="B277" s="82" t="str">
        <x:v>Taco van der Hoorn</x:v>
      </x:c>
      <x:c r="C277" s="85" t="n">
        <x:v>0</x:v>
      </x:c>
      <x:c r="D277" s="85" t="n">
        <x:v>0</x:v>
      </x:c>
      <x:c r="E277" s="85" t="n">
        <x:v>0</x:v>
      </x:c>
      <x:c r="F277" s="85" t="n">
        <x:v>0</x:v>
      </x:c>
      <x:c r="G277" s="85" t="n">
        <x:v>0</x:v>
      </x:c>
      <x:c r="H277" s="85" t="n">
        <x:v>0</x:v>
      </x:c>
      <x:c r="I277" s="91" t="str"/>
      <x:c r="J277" s="91" t="str"/>
      <x:c r="K277" s="91" t="str">
        <x:v>ロード 金0/銀0/銅0、ITT 金0/銀0/銅0</x:v>
      </x:c>
      <x:c r="L277" s="91" t="str"/>
    </x:row>
    <x:row r="278" ht="24" customHeight="1">
      <x:c r="A278" s="82" t="n">
        <x:v>274</x:v>
      </x:c>
      <x:c r="B278" s="82" t="str">
        <x:v>Jordan Labrosse</x:v>
      </x:c>
      <x:c r="C278" s="85" t="n">
        <x:v>0</x:v>
      </x:c>
      <x:c r="D278" s="85" t="n">
        <x:v>0</x:v>
      </x:c>
      <x:c r="E278" s="85" t="n">
        <x:v>0</x:v>
      </x:c>
      <x:c r="F278" s="85" t="n">
        <x:v>0</x:v>
      </x:c>
      <x:c r="G278" s="85" t="n">
        <x:v>0</x:v>
      </x:c>
      <x:c r="H278" s="85" t="n">
        <x:v>0</x:v>
      </x:c>
      <x:c r="I278" s="91" t="str"/>
      <x:c r="J278" s="91" t="str"/>
      <x:c r="K278" s="91" t="str"/>
      <x:c r="L278" s="91" t="str"/>
    </x:row>
    <x:row r="279" ht="24" customHeight="1">
      <x:c r="A279" s="82" t="n">
        <x:v>275</x:v>
      </x:c>
      <x:c r="B279" s="82" t="str">
        <x:v>Tao Geoghegan Hart</x:v>
      </x:c>
      <x:c r="C279" s="85" t="n">
        <x:v>0</x:v>
      </x:c>
      <x:c r="D279" s="85" t="n">
        <x:v>0</x:v>
      </x:c>
      <x:c r="E279" s="85" t="n">
        <x:v>0</x:v>
      </x:c>
      <x:c r="F279" s="85" t="n">
        <x:v>0</x:v>
      </x:c>
      <x:c r="G279" s="85" t="n">
        <x:v>0</x:v>
      </x:c>
      <x:c r="H279" s="85" t="n">
        <x:v>0</x:v>
      </x:c>
      <x:c r="I279" s="91" t="str"/>
      <x:c r="J279" s="91" t="str"/>
      <x:c r="K279" s="91" t="str">
        <x:v>ロード 金0/銀0/銅0、ITT 金0/銀0/銅0</x:v>
      </x:c>
      <x:c r="L279" s="91" t="str"/>
    </x:row>
    <x:row r="280" ht="24" customHeight="1">
      <x:c r="A280" s="82" t="n">
        <x:v>276</x:v>
      </x:c>
      <x:c r="B280" s="82" t="str">
        <x:v>Remi Cavagna</x:v>
      </x:c>
      <x:c r="C280" s="85" t="n">
        <x:v>0</x:v>
      </x:c>
      <x:c r="D280" s="85" t="n">
        <x:v>0</x:v>
      </x:c>
      <x:c r="E280" s="85" t="n">
        <x:v>0</x:v>
      </x:c>
      <x:c r="F280" s="85" t="n">
        <x:v>0</x:v>
      </x:c>
      <x:c r="G280" s="85" t="n">
        <x:v>0</x:v>
      </x:c>
      <x:c r="H280" s="85" t="n">
        <x:v>0</x:v>
      </x:c>
      <x:c r="I280" s="91" t="str"/>
      <x:c r="J280" s="91" t="str"/>
      <x:c r="K280" s="91" t="str">
        <x:v>ロード 金0/銀0/銅0、ITT 金0/銀0/銅0</x:v>
      </x:c>
      <x:c r="L280" s="91" t="str"/>
    </x:row>
    <x:row r="281" ht="24" customHeight="1">
      <x:c r="A281" s="82" t="n">
        <x:v>277</x:v>
      </x:c>
      <x:c r="B281" s="82" t="str">
        <x:v>Brandon McNulty</x:v>
      </x:c>
      <x:c r="C281" s="85" t="n">
        <x:v>0</x:v>
      </x:c>
      <x:c r="D281" s="85" t="n">
        <x:v>0</x:v>
      </x:c>
      <x:c r="E281" s="85" t="n">
        <x:v>0</x:v>
      </x:c>
      <x:c r="F281" s="85" t="n">
        <x:v>0</x:v>
      </x:c>
      <x:c r="G281" s="85" t="n">
        <x:v>0</x:v>
      </x:c>
      <x:c r="H281" s="85" t="n">
        <x:v>0</x:v>
      </x:c>
      <x:c r="I281" s="91" t="str"/>
      <x:c r="J281" s="91" t="str"/>
      <x:c r="K281" s="91" t="str">
        <x:v>ロード 金0/銀0/銅0、ITT 金0/銀0/銅0</x:v>
      </x:c>
      <x:c r="L281" s="91" t="str"/>
    </x:row>
    <x:row r="282" ht="24" customHeight="1">
      <x:c r="A282" s="82" t="n">
        <x:v>278</x:v>
      </x:c>
      <x:c r="B282" s="82" t="str">
        <x:v>Luka Mezgec</x:v>
      </x:c>
      <x:c r="C282" s="85" t="n">
        <x:v>0</x:v>
      </x:c>
      <x:c r="D282" s="85" t="n">
        <x:v>0</x:v>
      </x:c>
      <x:c r="E282" s="85" t="n">
        <x:v>0</x:v>
      </x:c>
      <x:c r="F282" s="85" t="n">
        <x:v>0</x:v>
      </x:c>
      <x:c r="G282" s="85" t="n">
        <x:v>0</x:v>
      </x:c>
      <x:c r="H282" s="85" t="n">
        <x:v>0</x:v>
      </x:c>
      <x:c r="I282" s="91" t="str"/>
      <x:c r="J282" s="91" t="str"/>
      <x:c r="K282" s="91" t="str">
        <x:v>ロード 金0/銀0/銅0、ITT 金0/銀0/銅0</x:v>
      </x:c>
      <x:c r="L282" s="91" t="str"/>
    </x:row>
    <x:row r="283" ht="24" customHeight="1">
      <x:c r="A283" s="82" t="n">
        <x:v>279</x:v>
      </x:c>
      <x:c r="B283" s="82" t="str">
        <x:v>Pavel Sivakov</x:v>
      </x:c>
      <x:c r="C283" s="85" t="n">
        <x:v>0</x:v>
      </x:c>
      <x:c r="D283" s="85" t="n">
        <x:v>0</x:v>
      </x:c>
      <x:c r="E283" s="85" t="n">
        <x:v>0</x:v>
      </x:c>
      <x:c r="F283" s="85" t="n">
        <x:v>0</x:v>
      </x:c>
      <x:c r="G283" s="85" t="n">
        <x:v>0</x:v>
      </x:c>
      <x:c r="H283" s="85" t="n">
        <x:v>0</x:v>
      </x:c>
      <x:c r="I283" s="91" t="str"/>
      <x:c r="J283" s="91" t="str"/>
      <x:c r="K283" s="91" t="str">
        <x:v>ロード 金0/銀0/銅0、ITT 金0/銀0/銅0</x:v>
      </x:c>
      <x:c r="L283" s="91" t="str"/>
    </x:row>
    <x:row r="284" ht="24" customHeight="1">
      <x:c r="A284" s="82" t="n">
        <x:v>280</x:v>
      </x:c>
      <x:c r="B284" s="82" t="str">
        <x:v>Danny van Poppel</x:v>
      </x:c>
      <x:c r="C284" s="85" t="n">
        <x:v>0</x:v>
      </x:c>
      <x:c r="D284" s="85" t="n">
        <x:v>0</x:v>
      </x:c>
      <x:c r="E284" s="85" t="n">
        <x:v>0</x:v>
      </x:c>
      <x:c r="F284" s="85" t="n">
        <x:v>0</x:v>
      </x:c>
      <x:c r="G284" s="85" t="n">
        <x:v>0</x:v>
      </x:c>
      <x:c r="H284" s="85" t="n">
        <x:v>0</x:v>
      </x:c>
      <x:c r="I284" s="91" t="str"/>
      <x:c r="J284" s="91" t="str"/>
      <x:c r="K284" s="91" t="str">
        <x:v>ロード 金0/銀0/銅0、ITT 金0/銀0/銅0</x:v>
      </x:c>
      <x:c r="L284" s="91" t="str"/>
    </x:row>
    <x:row r="285" ht="24" customHeight="1">
      <x:c r="A285" s="82" t="n">
        <x:v>281</x:v>
      </x:c>
      <x:c r="B285" s="82" t="str">
        <x:v>Simone Consonni</x:v>
      </x:c>
      <x:c r="C285" s="85" t="n">
        <x:v>0</x:v>
      </x:c>
      <x:c r="D285" s="85" t="n">
        <x:v>0</x:v>
      </x:c>
      <x:c r="E285" s="85" t="n">
        <x:v>0</x:v>
      </x:c>
      <x:c r="F285" s="85" t="n">
        <x:v>0</x:v>
      </x:c>
      <x:c r="G285" s="85" t="n">
        <x:v>0</x:v>
      </x:c>
      <x:c r="H285" s="85" t="n">
        <x:v>0</x:v>
      </x:c>
      <x:c r="I285" s="91" t="str"/>
      <x:c r="J285" s="91" t="str"/>
      <x:c r="K285" s="91" t="str">
        <x:v>ロード 金0/銀0/銅0、ITT 金0/銀0/銅0</x:v>
      </x:c>
      <x:c r="L285" s="91" t="str"/>
    </x:row>
    <x:row r="286" ht="24" customHeight="1">
      <x:c r="A286" s="82" t="n">
        <x:v>282</x:v>
      </x:c>
      <x:c r="B286" s="82" t="str">
        <x:v>Davide Ballerini</x:v>
      </x:c>
      <x:c r="C286" s="85" t="n">
        <x:v>0</x:v>
      </x:c>
      <x:c r="D286" s="85" t="n">
        <x:v>0</x:v>
      </x:c>
      <x:c r="E286" s="85" t="n">
        <x:v>0</x:v>
      </x:c>
      <x:c r="F286" s="85" t="n">
        <x:v>0</x:v>
      </x:c>
      <x:c r="G286" s="85" t="n">
        <x:v>0</x:v>
      </x:c>
      <x:c r="H286" s="85" t="n">
        <x:v>0</x:v>
      </x:c>
      <x:c r="I286" s="91" t="str"/>
      <x:c r="J286" s="91" t="str"/>
      <x:c r="K286" s="91" t="str">
        <x:v>ロード 金0/銀0/銅0、ITT 金0/銀0/銅0</x:v>
      </x:c>
      <x:c r="L286" s="91" t="str"/>
    </x:row>
    <x:row r="287" ht="24" customHeight="1">
      <x:c r="A287" s="82" t="n">
        <x:v>283</x:v>
      </x:c>
      <x:c r="B287" s="82" t="str">
        <x:v>Florian Vermeersch</x:v>
      </x:c>
      <x:c r="C287" s="85" t="n">
        <x:v>0</x:v>
      </x:c>
      <x:c r="D287" s="85" t="n">
        <x:v>0</x:v>
      </x:c>
      <x:c r="E287" s="85" t="n">
        <x:v>0</x:v>
      </x:c>
      <x:c r="F287" s="85" t="n">
        <x:v>0</x:v>
      </x:c>
      <x:c r="G287" s="85" t="n">
        <x:v>0</x:v>
      </x:c>
      <x:c r="H287" s="85" t="n">
        <x:v>0</x:v>
      </x:c>
      <x:c r="I287" s="91" t="str"/>
      <x:c r="J287" s="91" t="str"/>
      <x:c r="K287" s="91" t="str">
        <x:v>ロード 金0/銀0/銅0、ITT 金0/銀0/銅0</x:v>
      </x:c>
      <x:c r="L287" s="91" t="str"/>
    </x:row>
    <x:row r="288" ht="24" customHeight="1">
      <x:c r="A288" s="82" t="n">
        <x:v>284</x:v>
      </x:c>
      <x:c r="B288" s="82" t="str">
        <x:v>Dylan van Baarle</x:v>
      </x:c>
      <x:c r="C288" s="85" t="n">
        <x:v>0</x:v>
      </x:c>
      <x:c r="D288" s="85" t="n">
        <x:v>1</x:v>
      </x:c>
      <x:c r="E288" s="85" t="n">
        <x:v>0</x:v>
      </x:c>
      <x:c r="F288" s="85" t="n">
        <x:v>0</x:v>
      </x:c>
      <x:c r="G288" s="85" t="n">
        <x:v>0</x:v>
      </x:c>
      <x:c r="H288" s="85" t="n">
        <x:v>0</x:v>
      </x:c>
      <x:c r="I288" s="91" t="str"/>
      <x:c r="J288" s="91" t="str"/>
      <x:c r="K288" s="91" t="str">
        <x:v>ロード 金0/銀1/銅0、ITT 金0/銀0/銅0</x:v>
      </x:c>
      <x:c r="L288" s="91" t="str">
        <x:v>https://www.uci.org/discipline/road/6TBjsDD8902tud440iv1Cu?discipline=ROA&amp;tab=results</x:v>
      </x:c>
    </x:row>
    <x:row r="289" ht="24" customHeight="1">
      <x:c r="A289" s="82" t="n">
        <x:v>285</x:v>
      </x:c>
      <x:c r="B289" s="82" t="str">
        <x:v>Edoardo Affini</x:v>
      </x:c>
      <x:c r="C289" s="85" t="n">
        <x:v>0</x:v>
      </x:c>
      <x:c r="D289" s="85" t="n">
        <x:v>0</x:v>
      </x:c>
      <x:c r="E289" s="85" t="n">
        <x:v>0</x:v>
      </x:c>
      <x:c r="F289" s="85" t="n">
        <x:v>0</x:v>
      </x:c>
      <x:c r="G289" s="85" t="n">
        <x:v>0</x:v>
      </x:c>
      <x:c r="H289" s="85" t="n">
        <x:v>1</x:v>
      </x:c>
      <x:c r="I289" s="91" t="str"/>
      <x:c r="J289" s="91" t="str"/>
      <x:c r="K289" s="91" t="str">
        <x:v>ロード 金0/銀0/銅0、ITT 金0/銀0/銅1</x:v>
      </x:c>
      <x:c r="L289" s="91" t="str">
        <x:v>https://www.uci.org/discipline/road/6TBjsDD8902tud440iv1Cu?discipline=ROA&amp;tab=results</x:v>
      </x:c>
    </x:row>
    <x:row r="290" ht="24" customHeight="1">
      <x:c r="A290" s="82" t="n">
        <x:v>286</x:v>
      </x:c>
      <x:c r="B290" s="82" t="str">
        <x:v>Nils Politt</x:v>
      </x:c>
      <x:c r="C290" s="85" t="n">
        <x:v>0</x:v>
      </x:c>
      <x:c r="D290" s="85" t="n">
        <x:v>0</x:v>
      </x:c>
      <x:c r="E290" s="85" t="n">
        <x:v>0</x:v>
      </x:c>
      <x:c r="F290" s="85" t="n">
        <x:v>0</x:v>
      </x:c>
      <x:c r="G290" s="85" t="n">
        <x:v>0</x:v>
      </x:c>
      <x:c r="H290" s="85" t="n">
        <x:v>0</x:v>
      </x:c>
      <x:c r="I290" s="91" t="str"/>
      <x:c r="J290" s="91" t="str"/>
      <x:c r="K290" s="91" t="str">
        <x:v>ロード 金0/銀0/銅0、ITT 金0/銀0/銅0</x:v>
      </x:c>
      <x:c r="L290" s="91" t="str"/>
    </x:row>
    <x:row r="291" ht="24" customHeight="1">
      <x:c r="A291" s="82" t="n">
        <x:v>287</x:v>
      </x:c>
      <x:c r="B291" s="82" t="str">
        <x:v>Magnus Sheffield</x:v>
      </x:c>
      <x:c r="C291" s="85" t="n">
        <x:v>0</x:v>
      </x:c>
      <x:c r="D291" s="85" t="n">
        <x:v>0</x:v>
      </x:c>
      <x:c r="E291" s="85" t="n">
        <x:v>0</x:v>
      </x:c>
      <x:c r="F291" s="85" t="n">
        <x:v>0</x:v>
      </x:c>
      <x:c r="G291" s="85" t="n">
        <x:v>0</x:v>
      </x:c>
      <x:c r="H291" s="85" t="n">
        <x:v>0</x:v>
      </x:c>
      <x:c r="I291" s="91" t="str"/>
      <x:c r="J291" s="91" t="str"/>
      <x:c r="K291" s="91" t="str">
        <x:v>ロード 金0/銀0/銅0、ITT 金0/銀0/銅0</x:v>
      </x:c>
      <x:c r="L291" s="91" t="str"/>
    </x:row>
    <x:row r="292" ht="24" customHeight="1">
      <x:c r="A292" s="82" t="n">
        <x:v>288</x:v>
      </x:c>
      <x:c r="B292" s="82" t="str">
        <x:v>Christophe Laporte</x:v>
      </x:c>
      <x:c r="C292" s="85" t="n">
        <x:v>0</x:v>
      </x:c>
      <x:c r="D292" s="85" t="n">
        <x:v>1</x:v>
      </x:c>
      <x:c r="E292" s="85" t="n">
        <x:v>0</x:v>
      </x:c>
      <x:c r="F292" s="85" t="n">
        <x:v>0</x:v>
      </x:c>
      <x:c r="G292" s="85" t="n">
        <x:v>0</x:v>
      </x:c>
      <x:c r="H292" s="85" t="n">
        <x:v>0</x:v>
      </x:c>
      <x:c r="I292" s="91" t="str"/>
      <x:c r="J292" s="91" t="str"/>
      <x:c r="K292" s="91" t="str">
        <x:v>ロード 金0/銀1/銅0、ITT 金0/銀0/銅0</x:v>
      </x:c>
      <x:c r="L292" s="91" t="str">
        <x:v>https://www.uci.org/discipline/road/6TBjsDD8902tud440iv1Cu?discipline=ROA&amp;tab=results</x:v>
      </x:c>
    </x:row>
    <x:row r="293" ht="24" customHeight="1">
      <x:c r="A293" s="82" t="n">
        <x:v>289</x:v>
      </x:c>
      <x:c r="B293" s="82" t="str">
        <x:v>Marc Soler</x:v>
      </x:c>
      <x:c r="C293" s="85" t="n">
        <x:v>0</x:v>
      </x:c>
      <x:c r="D293" s="85" t="n">
        <x:v>0</x:v>
      </x:c>
      <x:c r="E293" s="85" t="n">
        <x:v>0</x:v>
      </x:c>
      <x:c r="F293" s="85" t="n">
        <x:v>0</x:v>
      </x:c>
      <x:c r="G293" s="85" t="n">
        <x:v>0</x:v>
      </x:c>
      <x:c r="H293" s="85" t="n">
        <x:v>0</x:v>
      </x:c>
      <x:c r="I293" s="91" t="str"/>
      <x:c r="J293" s="91" t="str"/>
      <x:c r="K293" s="91" t="str">
        <x:v>ロード 金0/銀0/銅0、ITT 金0/銀0/銅0</x:v>
      </x:c>
      <x:c r="L293" s="91" t="str"/>
    </x:row>
    <x:row r="294" ht="24" customHeight="1">
      <x:c r="A294" s="82" t="n">
        <x:v>290</x:v>
      </x:c>
      <x:c r="B294" s="82" t="str">
        <x:v>Edward Theuns</x:v>
      </x:c>
      <x:c r="C294" s="85" t="n">
        <x:v>0</x:v>
      </x:c>
      <x:c r="D294" s="85" t="n">
        <x:v>0</x:v>
      </x:c>
      <x:c r="E294" s="85" t="n">
        <x:v>0</x:v>
      </x:c>
      <x:c r="F294" s="85" t="n">
        <x:v>0</x:v>
      </x:c>
      <x:c r="G294" s="85" t="n">
        <x:v>0</x:v>
      </x:c>
      <x:c r="H294" s="85" t="n">
        <x:v>0</x:v>
      </x:c>
      <x:c r="I294" s="91" t="str"/>
      <x:c r="J294" s="91" t="str"/>
      <x:c r="K294" s="91" t="str">
        <x:v>ロード 金0/銀0/銅0、ITT 金0/銀0/銅0</x:v>
      </x:c>
      <x:c r="L294" s="91" t="str"/>
    </x:row>
    <x:row r="295" ht="24" customHeight="1">
      <x:c r="A295" s="82" t="n">
        <x:v>291</x:v>
      </x:c>
      <x:c r="B295" s="82" t="str">
        <x:v>Bert Van Lerberghe</x:v>
      </x:c>
      <x:c r="C295" s="85" t="n">
        <x:v>0</x:v>
      </x:c>
      <x:c r="D295" s="85" t="n">
        <x:v>0</x:v>
      </x:c>
      <x:c r="E295" s="85" t="n">
        <x:v>0</x:v>
      </x:c>
      <x:c r="F295" s="85" t="n">
        <x:v>0</x:v>
      </x:c>
      <x:c r="G295" s="85" t="n">
        <x:v>0</x:v>
      </x:c>
      <x:c r="H295" s="85" t="n">
        <x:v>0</x:v>
      </x:c>
      <x:c r="I295" s="91" t="str"/>
      <x:c r="J295" s="91" t="str"/>
      <x:c r="K295" s="91" t="str">
        <x:v>ロード 金0/銀0/銅0、ITT 金0/銀0/銅0</x:v>
      </x:c>
      <x:c r="L295" s="91" t="str"/>
    </x:row>
    <x:row r="296" ht="24" customHeight="1">
      <x:c r="A296" s="82" t="n">
        <x:v>292</x:v>
      </x:c>
      <x:c r="B296" s="82" t="str">
        <x:v>Nikias Arndt</x:v>
      </x:c>
      <x:c r="C296" s="85" t="n">
        <x:v>0</x:v>
      </x:c>
      <x:c r="D296" s="85" t="n">
        <x:v>0</x:v>
      </x:c>
      <x:c r="E296" s="85" t="n">
        <x:v>0</x:v>
      </x:c>
      <x:c r="F296" s="85" t="n">
        <x:v>0</x:v>
      </x:c>
      <x:c r="G296" s="85" t="n">
        <x:v>0</x:v>
      </x:c>
      <x:c r="H296" s="85" t="n">
        <x:v>0</x:v>
      </x:c>
      <x:c r="I296" s="91" t="str"/>
      <x:c r="J296" s="91" t="str"/>
      <x:c r="K296" s="91" t="str">
        <x:v>ロード 金0/銀0/銅0、ITT 金0/銀0/銅0</x:v>
      </x:c>
      <x:c r="L296" s="91" t="str"/>
    </x:row>
    <x:row r="297" ht="24" customHeight="1">
      <x:c r="A297" s="82" t="n">
        <x:v>293</x:v>
      </x:c>
      <x:c r="B297" s="82" t="str">
        <x:v>Yves Lampaert</x:v>
      </x:c>
      <x:c r="C297" s="85" t="n">
        <x:v>0</x:v>
      </x:c>
      <x:c r="D297" s="85" t="n">
        <x:v>0</x:v>
      </x:c>
      <x:c r="E297" s="85" t="n">
        <x:v>0</x:v>
      </x:c>
      <x:c r="F297" s="85" t="n">
        <x:v>0</x:v>
      </x:c>
      <x:c r="G297" s="85" t="n">
        <x:v>0</x:v>
      </x:c>
      <x:c r="H297" s="85" t="n">
        <x:v>0</x:v>
      </x:c>
      <x:c r="I297" s="91" t="str"/>
      <x:c r="J297" s="91" t="str"/>
      <x:c r="K297" s="91" t="str">
        <x:v>ロード 金0/銀0/銅0、ITT 金0/銀0/銅0</x:v>
      </x:c>
      <x:c r="L297" s="91" t="str"/>
    </x:row>
    <x:row r="298" ht="24" customHeight="1">
      <x:c r="A298" s="82" t="n">
        <x:v>294</x:v>
      </x:c>
      <x:c r="B298" s="82" t="str">
        <x:v>Jan Tratnik</x:v>
      </x:c>
      <x:c r="C298" s="85" t="n">
        <x:v>0</x:v>
      </x:c>
      <x:c r="D298" s="85" t="n">
        <x:v>0</x:v>
      </x:c>
      <x:c r="E298" s="85" t="n">
        <x:v>0</x:v>
      </x:c>
      <x:c r="F298" s="85" t="n">
        <x:v>0</x:v>
      </x:c>
      <x:c r="G298" s="85" t="n">
        <x:v>0</x:v>
      </x:c>
      <x:c r="H298" s="85" t="n">
        <x:v>0</x:v>
      </x:c>
      <x:c r="I298" s="91" t="str"/>
      <x:c r="J298" s="91" t="str"/>
      <x:c r="K298" s="91" t="str">
        <x:v>ロード 金0/銀0/銅0、ITT 金0/銀0/銅0</x:v>
      </x:c>
      <x:c r="L298" s="91" t="str"/>
    </x:row>
    <x:row r="299" ht="24" customHeight="1">
      <x:c r="A299" s="82" t="n">
        <x:v>295</x:v>
      </x:c>
      <x:c r="B299" s="82" t="str">
        <x:v>Mikel Landa</x:v>
      </x:c>
      <x:c r="C299" s="85" t="n">
        <x:v>0</x:v>
      </x:c>
      <x:c r="D299" s="85" t="n">
        <x:v>0</x:v>
      </x:c>
      <x:c r="E299" s="85" t="n">
        <x:v>0</x:v>
      </x:c>
      <x:c r="F299" s="85" t="n">
        <x:v>0</x:v>
      </x:c>
      <x:c r="G299" s="85" t="n">
        <x:v>0</x:v>
      </x:c>
      <x:c r="H299" s="85" t="n">
        <x:v>0</x:v>
      </x:c>
      <x:c r="I299" s="91" t="str"/>
      <x:c r="J299" s="91" t="str"/>
      <x:c r="K299" s="91" t="str">
        <x:v>ロード 金0/銀0/銅0、ITT 金0/銀0/銅0</x:v>
      </x:c>
      <x:c r="L299" s="91" t="str"/>
    </x:row>
    <x:row r="300" ht="24" customHeight="1">
      <x:c r="A300" s="82" t="n">
        <x:v>296</x:v>
      </x:c>
      <x:c r="B300" s="82" t="str">
        <x:v>Jasper De Buyst</x:v>
      </x:c>
      <x:c r="C300" s="85" t="n">
        <x:v>0</x:v>
      </x:c>
      <x:c r="D300" s="85" t="n">
        <x:v>0</x:v>
      </x:c>
      <x:c r="E300" s="85" t="n">
        <x:v>0</x:v>
      </x:c>
      <x:c r="F300" s="85" t="n">
        <x:v>0</x:v>
      </x:c>
      <x:c r="G300" s="85" t="n">
        <x:v>0</x:v>
      </x:c>
      <x:c r="H300" s="85" t="n">
        <x:v>0</x:v>
      </x:c>
      <x:c r="I300" s="91" t="str"/>
      <x:c r="J300" s="91" t="str"/>
      <x:c r="K300" s="91" t="str">
        <x:v>ロード 金0/銀0/銅0、ITT 金0/銀0/銅0</x:v>
      </x:c>
      <x:c r="L300" s="91" t="str"/>
    </x:row>
    <x:row r="301" ht="24" customHeight="1">
      <x:c r="A301" s="82" t="n">
        <x:v>297</x:v>
      </x:c>
      <x:c r="B301" s="82" t="str">
        <x:v>Mikkel Bjerg</x:v>
      </x:c>
      <x:c r="C301" s="85" t="n">
        <x:v>0</x:v>
      </x:c>
      <x:c r="D301" s="85" t="n">
        <x:v>0</x:v>
      </x:c>
      <x:c r="E301" s="85" t="n">
        <x:v>0</x:v>
      </x:c>
      <x:c r="F301" s="85" t="n">
        <x:v>0</x:v>
      </x:c>
      <x:c r="G301" s="85" t="n">
        <x:v>0</x:v>
      </x:c>
      <x:c r="H301" s="85" t="n">
        <x:v>0</x:v>
      </x:c>
      <x:c r="I301" s="91" t="str"/>
      <x:c r="J301" s="91" t="str"/>
      <x:c r="K301" s="91" t="str">
        <x:v>ロード 金0/銀0/銅0、ITT 金0/銀0/銅0</x:v>
      </x:c>
      <x:c r="L301" s="91" t="str"/>
    </x:row>
    <x:row r="302" ht="24" customHeight="1">
      <x:c r="A302" s="82" t="n">
        <x:v>298</x:v>
      </x:c>
      <x:c r="B302" s="82" t="str">
        <x:v>Luke Durbridge</x:v>
      </x:c>
      <x:c r="C302" s="85" t="n">
        <x:v>0</x:v>
      </x:c>
      <x:c r="D302" s="85" t="n">
        <x:v>0</x:v>
      </x:c>
      <x:c r="E302" s="85" t="n">
        <x:v>0</x:v>
      </x:c>
      <x:c r="F302" s="85" t="n">
        <x:v>0</x:v>
      </x:c>
      <x:c r="G302" s="85" t="n">
        <x:v>0</x:v>
      </x:c>
      <x:c r="H302" s="85" t="n">
        <x:v>0</x:v>
      </x:c>
      <x:c r="I302" s="91" t="str"/>
      <x:c r="J302" s="91" t="str"/>
      <x:c r="K302" s="91" t="str">
        <x:v>ロード 金0/銀0/銅0、ITT 金0/銀0/銅0</x:v>
      </x:c>
      <x:c r="L302" s="91" t="str"/>
    </x:row>
    <x:row r="303" ht="24" customHeight="1">
      <x:c r="A303" s="82" t="n">
        <x:v>299</x:v>
      </x:c>
      <x:c r="B303" s="82" t="str">
        <x:v>Vegard Stake Laengen</x:v>
      </x:c>
      <x:c r="C303" s="85" t="n">
        <x:v>0</x:v>
      </x:c>
      <x:c r="D303" s="85" t="n">
        <x:v>0</x:v>
      </x:c>
      <x:c r="E303" s="85" t="n">
        <x:v>0</x:v>
      </x:c>
      <x:c r="F303" s="85" t="n">
        <x:v>0</x:v>
      </x:c>
      <x:c r="G303" s="85" t="n">
        <x:v>0</x:v>
      </x:c>
      <x:c r="H303" s="85" t="n">
        <x:v>0</x:v>
      </x:c>
      <x:c r="I303" s="91" t="str"/>
      <x:c r="J303" s="91" t="str"/>
      <x:c r="K303" s="91" t="str">
        <x:v>ロード 金0/銀0/銅0、ITT 金0/銀0/銅0</x:v>
      </x:c>
      <x:c r="L303" s="91" t="str"/>
    </x:row>
    <x:row r="304" ht="24" customHeight="1">
      <x:c r="A304" s="83" t="n">
        <x:v>300</x:v>
      </x:c>
      <x:c r="B304" s="83" t="str">
        <x:v>Kasper Asgreen</x:v>
      </x:c>
      <x:c r="C304" s="86" t="n">
        <x:v>0</x:v>
      </x:c>
      <x:c r="D304" s="86" t="n">
        <x:v>0</x:v>
      </x:c>
      <x:c r="E304" s="86" t="n">
        <x:v>0</x:v>
      </x:c>
      <x:c r="F304" s="86" t="n">
        <x:v>0</x:v>
      </x:c>
      <x:c r="G304" s="86" t="n">
        <x:v>0</x:v>
      </x:c>
      <x:c r="H304" s="86" t="n">
        <x:v>0</x:v>
      </x:c>
      <x:c r="I304" s="92" t="str"/>
      <x:c r="J304" s="92" t="str"/>
      <x:c r="K304" s="92" t="str">
        <x:v>ロード 金0/銀0/銅0、ITT 金0/銀0/銅0</x:v>
      </x:c>
      <x:c r="L304" s="92" t="str"/>
    </x:row>
  </x:sheetData>
  <x:mergeCells>
    <x:mergeCell ref="A1:L1"/>
    <x:mergeCell ref="A2:L2"/>
  </x:mergeCells>
  <x:conditionalFormatting sqref="C5:H304">
    <x:cfRule type="colorScale" priority="1">
      <x:colorScale>
        <x:cfvo type="min"/>
        <x:cfvo type="percentile" val="50"/>
        <x:cfvo type="max"/>
        <x:color rgb="FFFFFFFF"/>
        <x:color rgb="FFDCE8EF"/>
        <x:color rgb="FFF7D77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6f5075341e84f2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5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40" hidden="0" customWidth="1"/>
    <x:col min="13" max="13" width="13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48" hidden="0" customWidth="1"/>
    <x:col min="30" max="30" width="58" hidden="0" customWidth="1"/>
    <x:col min="31" max="31" width="20" hidden="0" customWidth="1"/>
    <x:col min="32" max="32" width="52" hidden="0" customWidth="1"/>
  </x:cols>
  <x:sheetData>
    <x:row r="1" ht="34" customHeight="1">
      <x:c r="A1" s="106" t="str">
        <x:v>現役選手300名 — 役割・全15能力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  <x:c r="AA1" s="106"/>
      <x:c r="AB1" s="106"/>
      <x:c r="AC1" s="106"/>
      <x:c r="AD1" s="106"/>
      <x:c r="AE1" s="106"/>
      <x:c r="AF1" s="106"/>
    </x:row>
    <x:row r="2" ht="34" customHeight="1">
      <x:c r="A2" s="109" t="str">
        <x:v>役割・戦術特性は統合済み。エース適性順のNo.で管理します。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  <x:c r="AA2" s="109"/>
      <x:c r="AB2" s="109"/>
      <x:c r="AC2" s="109"/>
      <x:c r="AD2" s="109"/>
      <x:c r="AE2" s="109"/>
      <x:c r="AF2" s="109"/>
    </x:row>
    <x:row r="3" ht="26" customHeight="1"/>
    <x:row r="4" ht="42" customHeight="1">
      <x:c r="A4" s="116" t="str">
        <x:v>No.</x:v>
      </x:c>
      <x:c r="B4" s="120" t="str">
        <x:v>実在選手名</x:v>
      </x:c>
      <x:c r="C4" s="120" t="str">
        <x:v>二つ名</x:v>
      </x:c>
      <x:c r="D4" s="120" t="str">
        <x:v>国・地域</x:v>
      </x:c>
      <x:c r="E4" s="120" t="str">
        <x:v>現所属</x:v>
      </x:c>
      <x:c r="F4" s="120" t="str">
        <x:v>生年月日</x:v>
      </x:c>
      <x:c r="G4" s="120" t="str">
        <x:v>区分</x:v>
      </x:c>
      <x:c r="H4" s="120" t="str">
        <x:v>主脚質</x:v>
      </x:c>
      <x:c r="I4" s="120" t="str">
        <x:v>副脚質</x:v>
      </x:c>
      <x:c r="J4" s="120" t="str">
        <x:v>エース適性</x:v>
      </x:c>
      <x:c r="K4" s="120" t="str">
        <x:v>アシスト適性</x:v>
      </x:c>
      <x:c r="L4" s="120" t="str">
        <x:v>役割・戦術特性</x:v>
      </x:c>
      <x:c r="M4" s="120" t="str">
        <x:v>Credit</x:v>
      </x:c>
      <x:c r="N4" s="120" t="str">
        <x:v>スプリント</x:v>
      </x:c>
      <x:c r="O4" s="120" t="str">
        <x:v>加速力</x:v>
      </x:c>
      <x:c r="P4" s="120" t="str">
        <x:v>パンチ力</x:v>
      </x:c>
      <x:c r="Q4" s="120" t="str">
        <x:v>巡航力</x:v>
      </x:c>
      <x:c r="R4" s="120" t="str">
        <x:v>登坂力</x:v>
      </x:c>
      <x:c r="S4" s="120" t="str">
        <x:v>持久力</x:v>
      </x:c>
      <x:c r="T4" s="120" t="str">
        <x:v>耐性</x:v>
      </x:c>
      <x:c r="U4" s="120" t="str">
        <x:v>技術</x:v>
      </x:c>
      <x:c r="V4" s="120" t="str">
        <x:v>バイクコントロール</x:v>
      </x:c>
      <x:c r="W4" s="120" t="str">
        <x:v>パヴェ</x:v>
      </x:c>
      <x:c r="X4" s="120" t="str">
        <x:v>回復力</x:v>
      </x:c>
      <x:c r="Y4" s="120" t="str">
        <x:v>日間回復力</x:v>
      </x:c>
      <x:c r="Z4" s="120" t="str">
        <x:v>チームワーク</x:v>
      </x:c>
      <x:c r="AA4" s="120" t="str">
        <x:v>エゴ</x:v>
      </x:c>
      <x:c r="AB4" s="120" t="str">
        <x:v>負けん気</x:v>
      </x:c>
      <x:c r="AC4" s="120" t="str">
        <x:v>選定根拠</x:v>
      </x:c>
      <x:c r="AD4" s="120" t="str">
        <x:v>現役確認URL</x:v>
      </x:c>
      <x:c r="AE4" s="120" t="str">
        <x:v>評価状態</x:v>
      </x:c>
      <x:c r="AF4" s="117" t="str">
        <x:v>人物URL</x:v>
      </x:c>
    </x:row>
    <x:row r="5" ht="26" customHeight="1">
      <x:c r="A5" s="81" t="n">
        <x:v>1</x:v>
      </x:c>
      <x:c r="B5" s="81" t="str">
        <x:v>Tadej Pogacar</x:v>
      </x:c>
      <x:c r="C5" s="142" t="str">
        <x:v>新時代の皇帝</x:v>
      </x:c>
      <x:c r="D5" s="81" t="str">
        <x:v>スロベニア</x:v>
      </x:c>
      <x:c r="E5" s="81" t="str">
        <x:v>UAE Team Emirates XRG</x:v>
      </x:c>
      <x:c r="F5" s="81" t="str">
        <x:v>1998-09-21</x:v>
      </x:c>
      <x:c r="G5" s="81" t="str">
        <x:v>現役確認済</x:v>
      </x:c>
      <x:c r="H5" s="81" t="str">
        <x:v>総合型</x:v>
      </x:c>
      <x:c r="I5" s="81" t="str">
        <x:v>パンチャー</x:v>
      </x:c>
      <x:c r="J5" s="84" t="n">
        <x:v>100</x:v>
      </x:c>
      <x:c r="K5" s="84" t="n">
        <x:v>83</x:v>
      </x:c>
      <x:c r="L5" s="90" t="str">
        <x:v>エース / 山岳賞ハンター / 超ロングスパート / サテライトライダー / 無賃乗車 / カウンターアタッカー</x:v>
      </x:c>
      <x:c r="M5" s="87" t="n">
        <x:v>20000</x:v>
      </x:c>
      <x:c r="N5" s="84" t="n">
        <x:v>66</x:v>
      </x:c>
      <x:c r="O5" s="84" t="n">
        <x:v>80</x:v>
      </x:c>
      <x:c r="P5" s="84" t="n">
        <x:v>85</x:v>
      </x:c>
      <x:c r="Q5" s="84" t="n">
        <x:v>82</x:v>
      </x:c>
      <x:c r="R5" s="84" t="n">
        <x:v>88</x:v>
      </x:c>
      <x:c r="S5" s="84" t="n">
        <x:v>88</x:v>
      </x:c>
      <x:c r="T5" s="84" t="n">
        <x:v>86</x:v>
      </x:c>
      <x:c r="U5" s="84" t="n">
        <x:v>84</x:v>
      </x:c>
      <x:c r="V5" s="84" t="n">
        <x:v>83</x:v>
      </x:c>
      <x:c r="W5" s="84" t="n">
        <x:v>82</x:v>
      </x:c>
      <x:c r="X5" s="84" t="n">
        <x:v>88</x:v>
      </x:c>
      <x:c r="Y5" s="84" t="n">
        <x:v>88</x:v>
      </x:c>
      <x:c r="Z5" s="84" t="n">
        <x:v>75</x:v>
      </x:c>
      <x:c r="AA5" s="84" t="n">
        <x:v>79</x:v>
      </x:c>
      <x:c r="AB5" s="84" t="n">
        <x:v>87</x:v>
      </x:c>
      <x:c r="AC5" s="90" t="str">
        <x:v>2026 UCI WorldTeam名簿掲載</x:v>
      </x:c>
      <x:c r="AD5" s="90" t="str">
        <x:v>https://en.wikipedia.org/wiki/List_of_2026_UCI_WorldTeams_and_riders</x:v>
      </x:c>
      <x:c r="AE5" s="90" t="str">
        <x:v>能力・適性・Credit整合済</x:v>
      </x:c>
      <x:c r="AF5" s="90" t="str">
        <x:v>https://en.wikipedia.org/wiki/Special:Search?search=Tadej%20Pogacar%20cyclist</x:v>
      </x:c>
    </x:row>
    <x:row r="6" ht="26" customHeight="1">
      <x:c r="A6" s="82" t="n">
        <x:v>2</x:v>
      </x:c>
      <x:c r="B6" s="82" t="str">
        <x:v>Mathieu van der Poel</x:v>
      </x:c>
      <x:c r="C6" s="143" t="str">
        <x:v>虹色の暴君</x:v>
      </x:c>
      <x:c r="D6" s="82" t="str">
        <x:v>オランダ</x:v>
      </x:c>
      <x:c r="E6" s="82" t="str">
        <x:v>Alpecin–Premier Tech</x:v>
      </x:c>
      <x:c r="F6" s="82" t="str">
        <x:v>1995-01-19</x:v>
      </x:c>
      <x:c r="G6" s="82" t="str">
        <x:v>現役確認済</x:v>
      </x:c>
      <x:c r="H6" s="82" t="str">
        <x:v>クラシック型</x:v>
      </x:c>
      <x:c r="I6" s="82" t="str">
        <x:v>パンチャー</x:v>
      </x:c>
      <x:c r="J6" s="85" t="n">
        <x:v>97</x:v>
      </x:c>
      <x:c r="K6" s="85" t="n">
        <x:v>76</x:v>
      </x:c>
      <x:c r="L6" s="91" t="str">
        <x:v>エース / リードアウト / 最終発射台 / 石畳護衛 / 横風要員 / 超ロングスパート / 無賃乗車</x:v>
      </x:c>
      <x:c r="M6" s="88" t="n">
        <x:v>13000</x:v>
      </x:c>
      <x:c r="N6" s="85" t="n">
        <x:v>79</x:v>
      </x:c>
      <x:c r="O6" s="85" t="n">
        <x:v>79</x:v>
      </x:c>
      <x:c r="P6" s="85" t="n">
        <x:v>79</x:v>
      </x:c>
      <x:c r="Q6" s="85" t="n">
        <x:v>79</x:v>
      </x:c>
      <x:c r="R6" s="85" t="n">
        <x:v>68</x:v>
      </x:c>
      <x:c r="S6" s="85" t="n">
        <x:v>83</x:v>
      </x:c>
      <x:c r="T6" s="85" t="n">
        <x:v>85</x:v>
      </x:c>
      <x:c r="U6" s="85" t="n">
        <x:v>85</x:v>
      </x:c>
      <x:c r="V6" s="85" t="n">
        <x:v>85</x:v>
      </x:c>
      <x:c r="W6" s="85" t="n">
        <x:v>85</x:v>
      </x:c>
      <x:c r="X6" s="85" t="n">
        <x:v>75</x:v>
      </x:c>
      <x:c r="Y6" s="85" t="n">
        <x:v>75</x:v>
      </x:c>
      <x:c r="Z6" s="85" t="n">
        <x:v>74</x:v>
      </x:c>
      <x:c r="AA6" s="85" t="n">
        <x:v>76</x:v>
      </x:c>
      <x:c r="AB6" s="85" t="n">
        <x:v>85</x:v>
      </x:c>
      <x:c r="AC6" s="91" t="str">
        <x:v>2026 UCI WorldTeam名簿掲載</x:v>
      </x:c>
      <x:c r="AD6" s="91" t="str">
        <x:v>https://en.wikipedia.org/wiki/List_of_2026_UCI_WorldTeams_and_riders</x:v>
      </x:c>
      <x:c r="AE6" s="91" t="str">
        <x:v>能力・適性・Credit整合済</x:v>
      </x:c>
      <x:c r="AF6" s="91" t="str">
        <x:v>https://en.wikipedia.org/wiki/Special:Search?search=Mathieu%20van%20der%20Poel%20cyclist</x:v>
      </x:c>
    </x:row>
    <x:row r="7" ht="26" customHeight="1">
      <x:c r="A7" s="82" t="n">
        <x:v>3</x:v>
      </x:c>
      <x:c r="B7" s="82" t="str">
        <x:v>Paul Seixas</x:v>
      </x:c>
      <x:c r="C7" s="143" t="str"/>
      <x:c r="D7" s="82" t="str">
        <x:v>フランス</x:v>
      </x:c>
      <x:c r="E7" s="82" t="str">
        <x:v>Decathlon–CMA CGM</x:v>
      </x:c>
      <x:c r="F7" s="82" t="str">
        <x:v>2006-09-24</x:v>
      </x:c>
      <x:c r="G7" s="82" t="str">
        <x:v>現役確認済</x:v>
      </x:c>
      <x:c r="H7" s="82" t="str">
        <x:v>総合型</x:v>
      </x:c>
      <x:c r="I7" s="82" t="str">
        <x:v>パンチャー</x:v>
      </x:c>
      <x:c r="J7" s="85" t="n">
        <x:v>94</x:v>
      </x:c>
      <x:c r="K7" s="85" t="n">
        <x:v>74</x:v>
      </x:c>
      <x:c r="L7" s="91" t="str">
        <x:v>エース / 集団コントローラー</x:v>
      </x:c>
      <x:c r="M7" s="88" t="n">
        <x:v>9300</x:v>
      </x:c>
      <x:c r="N7" s="85" t="n">
        <x:v>62</x:v>
      </x:c>
      <x:c r="O7" s="85" t="n">
        <x:v>71</x:v>
      </x:c>
      <x:c r="P7" s="85" t="n">
        <x:v>75</x:v>
      </x:c>
      <x:c r="Q7" s="85" t="n">
        <x:v>71</x:v>
      </x:c>
      <x:c r="R7" s="85" t="n">
        <x:v>77</x:v>
      </x:c>
      <x:c r="S7" s="85" t="n">
        <x:v>74</x:v>
      </x:c>
      <x:c r="T7" s="85" t="n">
        <x:v>74</x:v>
      </x:c>
      <x:c r="U7" s="85" t="n">
        <x:v>69</x:v>
      </x:c>
      <x:c r="V7" s="85" t="n">
        <x:v>70</x:v>
      </x:c>
      <x:c r="W7" s="85" t="n">
        <x:v>50</x:v>
      </x:c>
      <x:c r="X7" s="85" t="n">
        <x:v>81</x:v>
      </x:c>
      <x:c r="Y7" s="85" t="n">
        <x:v>81</x:v>
      </x:c>
      <x:c r="Z7" s="85" t="n">
        <x:v>70</x:v>
      </x:c>
      <x:c r="AA7" s="85" t="n">
        <x:v>78</x:v>
      </x:c>
      <x:c r="AB7" s="85" t="n">
        <x:v>69</x:v>
      </x:c>
      <x:c r="AC7" s="91" t="str">
        <x:v>2026 UCI WorldTeam名簿掲載</x:v>
      </x:c>
      <x:c r="AD7" s="91" t="str">
        <x:v>https://en.wikipedia.org/wiki/List_of_2026_UCI_WorldTeams_and_riders</x:v>
      </x:c>
      <x:c r="AE7" s="91" t="str">
        <x:v>能力・適性・Credit整合済</x:v>
      </x:c>
      <x:c r="AF7" s="91" t="str">
        <x:v>https://en.wikipedia.org/wiki/Special:Search?search=Paul%20Seixas%20cyclist</x:v>
      </x:c>
    </x:row>
    <x:row r="8" ht="26" customHeight="1">
      <x:c r="A8" s="82" t="n">
        <x:v>4</x:v>
      </x:c>
      <x:c r="B8" s="82" t="str">
        <x:v>Isaac del Toro</x:v>
      </x:c>
      <x:c r="C8" s="143" t="str"/>
      <x:c r="D8" s="82" t="str">
        <x:v>メキシコ</x:v>
      </x:c>
      <x:c r="E8" s="82" t="str">
        <x:v>UAE Team Emirates XRG</x:v>
      </x:c>
      <x:c r="F8" s="82" t="str">
        <x:v>2003-11-27</x:v>
      </x:c>
      <x:c r="G8" s="82" t="str">
        <x:v>現役確認済</x:v>
      </x:c>
      <x:c r="H8" s="82" t="str">
        <x:v>総合型</x:v>
      </x:c>
      <x:c r="I8" s="82" t="str">
        <x:v>パンチャー</x:v>
      </x:c>
      <x:c r="J8" s="85" t="n">
        <x:v>93</x:v>
      </x:c>
      <x:c r="K8" s="85" t="n">
        <x:v>75</x:v>
      </x:c>
      <x:c r="L8" s="91" t="str">
        <x:v>エース / 山岳番手</x:v>
      </x:c>
      <x:c r="M8" s="88" t="n">
        <x:v>9200</x:v>
      </x:c>
      <x:c r="N8" s="85" t="n">
        <x:v>62</x:v>
      </x:c>
      <x:c r="O8" s="85" t="n">
        <x:v>70</x:v>
      </x:c>
      <x:c r="P8" s="85" t="n">
        <x:v>75</x:v>
      </x:c>
      <x:c r="Q8" s="85" t="n">
        <x:v>71</x:v>
      </x:c>
      <x:c r="R8" s="85" t="n">
        <x:v>76</x:v>
      </x:c>
      <x:c r="S8" s="85" t="n">
        <x:v>73</x:v>
      </x:c>
      <x:c r="T8" s="85" t="n">
        <x:v>74</x:v>
      </x:c>
      <x:c r="U8" s="85" t="n">
        <x:v>69</x:v>
      </x:c>
      <x:c r="V8" s="85" t="n">
        <x:v>70</x:v>
      </x:c>
      <x:c r="W8" s="85" t="n">
        <x:v>50</x:v>
      </x:c>
      <x:c r="X8" s="85" t="n">
        <x:v>81</x:v>
      </x:c>
      <x:c r="Y8" s="85" t="n">
        <x:v>81</x:v>
      </x:c>
      <x:c r="Z8" s="85" t="n">
        <x:v>70</x:v>
      </x:c>
      <x:c r="AA8" s="85" t="n">
        <x:v>78</x:v>
      </x:c>
      <x:c r="AB8" s="85" t="n">
        <x:v>68</x:v>
      </x:c>
      <x:c r="AC8" s="91" t="str">
        <x:v>2026 UCI WorldTeam名簿掲載</x:v>
      </x:c>
      <x:c r="AD8" s="91" t="str">
        <x:v>https://en.wikipedia.org/wiki/List_of_2026_UCI_WorldTeams_and_riders</x:v>
      </x:c>
      <x:c r="AE8" s="91" t="str">
        <x:v>能力・適性・Credit整合済</x:v>
      </x:c>
      <x:c r="AF8" s="91" t="str">
        <x:v>https://en.wikipedia.org/wiki/Special:Search?search=Isaac%20del%20Toro%20cyclist</x:v>
      </x:c>
    </x:row>
    <x:row r="9" ht="26" customHeight="1">
      <x:c r="A9" s="82" t="n">
        <x:v>5</x:v>
      </x:c>
      <x:c r="B9" s="82" t="str">
        <x:v>Jonas Vingegaard</x:v>
      </x:c>
      <x:c r="C9" s="143" t="str">
        <x:v>北海の山岳王</x:v>
      </x:c>
      <x:c r="D9" s="82" t="str">
        <x:v>デンマーク</x:v>
      </x:c>
      <x:c r="E9" s="82" t="str">
        <x:v>Visma–Lease a Bike</x:v>
      </x:c>
      <x:c r="F9" s="82" t="str">
        <x:v>1996-12-10</x:v>
      </x:c>
      <x:c r="G9" s="82" t="str">
        <x:v>現役確認済</x:v>
      </x:c>
      <x:c r="H9" s="82" t="str">
        <x:v>総合型</x:v>
      </x:c>
      <x:c r="I9" s="82" t="str">
        <x:v>クライマー</x:v>
      </x:c>
      <x:c r="J9" s="85" t="n">
        <x:v>92</x:v>
      </x:c>
      <x:c r="K9" s="85" t="n">
        <x:v>74</x:v>
      </x:c>
      <x:c r="L9" s="91" t="str">
        <x:v>エース / 山岳賞ハンター / 山岳番手</x:v>
      </x:c>
      <x:c r="M9" s="88" t="n">
        <x:v>13000</x:v>
      </x:c>
      <x:c r="N9" s="85" t="n">
        <x:v>58</x:v>
      </x:c>
      <x:c r="O9" s="85" t="n">
        <x:v>71</x:v>
      </x:c>
      <x:c r="P9" s="85" t="n">
        <x:v>75</x:v>
      </x:c>
      <x:c r="Q9" s="85" t="n">
        <x:v>73</x:v>
      </x:c>
      <x:c r="R9" s="85" t="n">
        <x:v>85</x:v>
      </x:c>
      <x:c r="S9" s="85" t="n">
        <x:v>80</x:v>
      </x:c>
      <x:c r="T9" s="85" t="n">
        <x:v>76</x:v>
      </x:c>
      <x:c r="U9" s="85" t="n">
        <x:v>71</x:v>
      </x:c>
      <x:c r="V9" s="85" t="n">
        <x:v>71</x:v>
      </x:c>
      <x:c r="W9" s="85" t="n">
        <x:v>50</x:v>
      </x:c>
      <x:c r="X9" s="85" t="n">
        <x:v>85</x:v>
      </x:c>
      <x:c r="Y9" s="85" t="n">
        <x:v>85</x:v>
      </x:c>
      <x:c r="Z9" s="85" t="n">
        <x:v>70</x:v>
      </x:c>
      <x:c r="AA9" s="85" t="n">
        <x:v>80</x:v>
      </x:c>
      <x:c r="AB9" s="85" t="n">
        <x:v>72</x:v>
      </x:c>
      <x:c r="AC9" s="91" t="str">
        <x:v>2026 UCI WorldTeam名簿掲載</x:v>
      </x:c>
      <x:c r="AD9" s="91" t="str">
        <x:v>https://en.wikipedia.org/wiki/List_of_2026_UCI_WorldTeams_and_riders</x:v>
      </x:c>
      <x:c r="AE9" s="91" t="str">
        <x:v>能力・適性・Credit整合済</x:v>
      </x:c>
      <x:c r="AF9" s="91" t="str">
        <x:v>https://en.wikipedia.org/wiki/Special:Search?search=Jonas%20Vingegaard%20cyclist</x:v>
      </x:c>
    </x:row>
    <x:row r="10" ht="26" customHeight="1">
      <x:c r="A10" s="82" t="n">
        <x:v>6</x:v>
      </x:c>
      <x:c r="B10" s="82" t="str">
        <x:v>Wout van Aert</x:v>
      </x:c>
      <x:c r="C10" s="143" t="str">
        <x:v>万能の銀弾</x:v>
      </x:c>
      <x:c r="D10" s="82" t="str">
        <x:v>ベルギー</x:v>
      </x:c>
      <x:c r="E10" s="82" t="str">
        <x:v>Visma–Lease a Bike</x:v>
      </x:c>
      <x:c r="F10" s="82" t="str">
        <x:v>1994-09-15</x:v>
      </x:c>
      <x:c r="G10" s="82" t="str">
        <x:v>現役確認済</x:v>
      </x:c>
      <x:c r="H10" s="82" t="str">
        <x:v>クラシック型</x:v>
      </x:c>
      <x:c r="I10" s="82" t="str">
        <x:v>パンチャー</x:v>
      </x:c>
      <x:c r="J10" s="85" t="n">
        <x:v>92</x:v>
      </x:c>
      <x:c r="K10" s="85" t="n">
        <x:v>90</x:v>
      </x:c>
      <x:c r="L10" s="91" t="str">
        <x:v>エース / TTスペシャリスト / 石畳護衛 / 横風要員 / 逃げ屋 / 超ロングスパート</x:v>
      </x:c>
      <x:c r="M10" s="88" t="n">
        <x:v>12500</x:v>
      </x:c>
      <x:c r="N10" s="85" t="n">
        <x:v>77</x:v>
      </x:c>
      <x:c r="O10" s="85" t="n">
        <x:v>77</x:v>
      </x:c>
      <x:c r="P10" s="85" t="n">
        <x:v>78</x:v>
      </x:c>
      <x:c r="Q10" s="85" t="n">
        <x:v>84</x:v>
      </x:c>
      <x:c r="R10" s="85" t="n">
        <x:v>69</x:v>
      </x:c>
      <x:c r="S10" s="85" t="n">
        <x:v>81</x:v>
      </x:c>
      <x:c r="T10" s="85" t="n">
        <x:v>83</x:v>
      </x:c>
      <x:c r="U10" s="85" t="n">
        <x:v>85</x:v>
      </x:c>
      <x:c r="V10" s="85" t="n">
        <x:v>82</x:v>
      </x:c>
      <x:c r="W10" s="85" t="n">
        <x:v>82</x:v>
      </x:c>
      <x:c r="X10" s="85" t="n">
        <x:v>74</x:v>
      </x:c>
      <x:c r="Y10" s="85" t="n">
        <x:v>73</x:v>
      </x:c>
      <x:c r="Z10" s="85" t="n">
        <x:v>79</x:v>
      </x:c>
      <x:c r="AA10" s="85" t="n">
        <x:v>72</x:v>
      </x:c>
      <x:c r="AB10" s="85" t="n">
        <x:v>85</x:v>
      </x:c>
      <x:c r="AC10" s="91" t="str">
        <x:v>2026 UCI WorldTeam名簿掲載</x:v>
      </x:c>
      <x:c r="AD10" s="91" t="str">
        <x:v>https://en.wikipedia.org/wiki/List_of_2026_UCI_WorldTeams_and_riders</x:v>
      </x:c>
      <x:c r="AE10" s="91" t="str">
        <x:v>能力・適性・Credit整合済</x:v>
      </x:c>
      <x:c r="AF10" s="91" t="str">
        <x:v>https://en.wikipedia.org/wiki/Special:Search?search=Wout%20van%20Aert%20cyclist</x:v>
      </x:c>
    </x:row>
    <x:row r="11" ht="26" customHeight="1">
      <x:c r="A11" s="82" t="n">
        <x:v>7</x:v>
      </x:c>
      <x:c r="B11" s="82" t="str">
        <x:v>Remco Evenepoel</x:v>
      </x:c>
      <x:c r="C11" s="143" t="str">
        <x:v>弾丸の天才</x:v>
      </x:c>
      <x:c r="D11" s="82" t="str">
        <x:v>ベルギー</x:v>
      </x:c>
      <x:c r="E11" s="82" t="str">
        <x:v>Red Bull–Bora–Hansgrohe</x:v>
      </x:c>
      <x:c r="F11" s="82" t="str">
        <x:v>2000-01-25</x:v>
      </x:c>
      <x:c r="G11" s="82" t="str">
        <x:v>現役確認済</x:v>
      </x:c>
      <x:c r="H11" s="82" t="str">
        <x:v>総合型</x:v>
      </x:c>
      <x:c r="I11" s="82" t="str">
        <x:v>TT・ルーラー型</x:v>
      </x:c>
      <x:c r="J11" s="85" t="n">
        <x:v>92</x:v>
      </x:c>
      <x:c r="K11" s="85" t="n">
        <x:v>76</x:v>
      </x:c>
      <x:c r="L11" s="91" t="str">
        <x:v>エース / TTスペシャリスト / 山岳番手 / 超ロングスパート</x:v>
      </x:c>
      <x:c r="M11" s="88" t="n">
        <x:v>12500</x:v>
      </x:c>
      <x:c r="N11" s="85" t="n">
        <x:v>61</x:v>
      </x:c>
      <x:c r="O11" s="85" t="n">
        <x:v>70</x:v>
      </x:c>
      <x:c r="P11" s="85" t="n">
        <x:v>74</x:v>
      </x:c>
      <x:c r="Q11" s="85" t="n">
        <x:v>85</x:v>
      </x:c>
      <x:c r="R11" s="85" t="n">
        <x:v>82</x:v>
      </x:c>
      <x:c r="S11" s="85" t="n">
        <x:v>85</x:v>
      </x:c>
      <x:c r="T11" s="85" t="n">
        <x:v>83</x:v>
      </x:c>
      <x:c r="U11" s="85" t="n">
        <x:v>76</x:v>
      </x:c>
      <x:c r="V11" s="85" t="n">
        <x:v>72</x:v>
      </x:c>
      <x:c r="W11" s="85" t="n">
        <x:v>50</x:v>
      </x:c>
      <x:c r="X11" s="85" t="n">
        <x:v>82</x:v>
      </x:c>
      <x:c r="Y11" s="85" t="n">
        <x:v>82</x:v>
      </x:c>
      <x:c r="Z11" s="85" t="n">
        <x:v>70</x:v>
      </x:c>
      <x:c r="AA11" s="85" t="n">
        <x:v>78</x:v>
      </x:c>
      <x:c r="AB11" s="85" t="n">
        <x:v>73</x:v>
      </x:c>
      <x:c r="AC11" s="91" t="str">
        <x:v>2026 UCI WorldTeam名簿掲載</x:v>
      </x:c>
      <x:c r="AD11" s="91" t="str">
        <x:v>https://en.wikipedia.org/wiki/List_of_2026_UCI_WorldTeams_and_riders</x:v>
      </x:c>
      <x:c r="AE11" s="91" t="str">
        <x:v>能力・適性・Credit整合済</x:v>
      </x:c>
      <x:c r="AF11" s="91" t="str">
        <x:v>https://en.wikipedia.org/wiki/Special:Search?search=Remco%20Evenepoel%20cyclist</x:v>
      </x:c>
    </x:row>
    <x:row r="12" ht="26" customHeight="1">
      <x:c r="A12" s="82" t="n">
        <x:v>8</x:v>
      </x:c>
      <x:c r="B12" s="82" t="str">
        <x:v>Primoz Roglic</x:v>
      </x:c>
      <x:c r="C12" s="143" t="str">
        <x:v>不屈の跳躍者</x:v>
      </x:c>
      <x:c r="D12" s="82" t="str">
        <x:v>スロベニア</x:v>
      </x:c>
      <x:c r="E12" s="82" t="str">
        <x:v>Red Bull–Bora–Hansgrohe</x:v>
      </x:c>
      <x:c r="F12" s="82" t="str">
        <x:v>1989-10-29</x:v>
      </x:c>
      <x:c r="G12" s="82" t="str">
        <x:v>現役確認済</x:v>
      </x:c>
      <x:c r="H12" s="82" t="str">
        <x:v>総合型</x:v>
      </x:c>
      <x:c r="I12" s="82" t="str">
        <x:v>パンチャー</x:v>
      </x:c>
      <x:c r="J12" s="85" t="n">
        <x:v>92</x:v>
      </x:c>
      <x:c r="K12" s="85" t="n">
        <x:v>74</x:v>
      </x:c>
      <x:c r="L12" s="91" t="str">
        <x:v>エース / 逃げ屋</x:v>
      </x:c>
      <x:c r="M12" s="88" t="n">
        <x:v>10550</x:v>
      </x:c>
      <x:c r="N12" s="85" t="n">
        <x:v>64</x:v>
      </x:c>
      <x:c r="O12" s="85" t="n">
        <x:v>72</x:v>
      </x:c>
      <x:c r="P12" s="85" t="n">
        <x:v>75</x:v>
      </x:c>
      <x:c r="Q12" s="85" t="n">
        <x:v>73</x:v>
      </x:c>
      <x:c r="R12" s="85" t="n">
        <x:v>84</x:v>
      </x:c>
      <x:c r="S12" s="85" t="n">
        <x:v>85</x:v>
      </x:c>
      <x:c r="T12" s="85" t="n">
        <x:v>82</x:v>
      </x:c>
      <x:c r="U12" s="85" t="n">
        <x:v>72</x:v>
      </x:c>
      <x:c r="V12" s="85" t="n">
        <x:v>72</x:v>
      </x:c>
      <x:c r="W12" s="85" t="n">
        <x:v>50</x:v>
      </x:c>
      <x:c r="X12" s="85" t="n">
        <x:v>85</x:v>
      </x:c>
      <x:c r="Y12" s="85" t="n">
        <x:v>85</x:v>
      </x:c>
      <x:c r="Z12" s="85" t="n">
        <x:v>68</x:v>
      </x:c>
      <x:c r="AA12" s="85" t="n">
        <x:v>85</x:v>
      </x:c>
      <x:c r="AB12" s="85" t="n">
        <x:v>71</x:v>
      </x:c>
      <x:c r="AC12" s="91" t="str">
        <x:v>2026 UCI WorldTeam名簿掲載</x:v>
      </x:c>
      <x:c r="AD12" s="91" t="str">
        <x:v>https://en.wikipedia.org/wiki/List_of_2026_UCI_WorldTeams_and_riders</x:v>
      </x:c>
      <x:c r="AE12" s="91" t="str">
        <x:v>能力・適性・Credit整合済</x:v>
      </x:c>
      <x:c r="AF12" s="91" t="str">
        <x:v>https://en.wikipedia.org/wiki/Special:Search?search=Primoz%20Roglic%20cyclist</x:v>
      </x:c>
    </x:row>
    <x:row r="13" ht="26" customHeight="1">
      <x:c r="A13" s="82" t="n">
        <x:v>9</x:v>
      </x:c>
      <x:c r="B13" s="82" t="str">
        <x:v>Julian Alaphilippe</x:v>
      </x:c>
      <x:c r="C13" s="143" t="str">
        <x:v>虹色の踊り子</x:v>
      </x:c>
      <x:c r="D13" s="82" t="str">
        <x:v>フランス</x:v>
      </x:c>
      <x:c r="E13" s="82" t="str">
        <x:v>Tudor Pro Cycling Team</x:v>
      </x:c>
      <x:c r="F13" s="82" t="str"/>
      <x:c r="G13" s="82" t="str">
        <x:v>現役確認済</x:v>
      </x:c>
      <x:c r="H13" s="82" t="str">
        <x:v>パンチャー</x:v>
      </x:c>
      <x:c r="I13" s="82" t="str">
        <x:v>クライマー</x:v>
      </x:c>
      <x:c r="J13" s="85" t="n">
        <x:v>91</x:v>
      </x:c>
      <x:c r="K13" s="85" t="n">
        <x:v>67</x:v>
      </x:c>
      <x:c r="L13" s="91" t="str">
        <x:v>エース / ステージハンター / 山岳賞ハンター / 下り牽引 / 逃げ屋 / 超ロングスパート</x:v>
      </x:c>
      <x:c r="M13" s="88" t="n">
        <x:v>10000</x:v>
      </x:c>
      <x:c r="N13" s="85" t="n">
        <x:v>69</x:v>
      </x:c>
      <x:c r="O13" s="85" t="n">
        <x:v>79</x:v>
      </x:c>
      <x:c r="P13" s="85" t="n">
        <x:v>82</x:v>
      </x:c>
      <x:c r="Q13" s="85" t="n">
        <x:v>69</x:v>
      </x:c>
      <x:c r="R13" s="85" t="n">
        <x:v>73</x:v>
      </x:c>
      <x:c r="S13" s="85" t="n">
        <x:v>69</x:v>
      </x:c>
      <x:c r="T13" s="85" t="n">
        <x:v>70</x:v>
      </x:c>
      <x:c r="U13" s="85" t="n">
        <x:v>74</x:v>
      </x:c>
      <x:c r="V13" s="85" t="n">
        <x:v>76</x:v>
      </x:c>
      <x:c r="W13" s="85" t="n">
        <x:v>50</x:v>
      </x:c>
      <x:c r="X13" s="85" t="n">
        <x:v>72</x:v>
      </x:c>
      <x:c r="Y13" s="85" t="n">
        <x:v>72</x:v>
      </x:c>
      <x:c r="Z13" s="85" t="n">
        <x:v>62</x:v>
      </x:c>
      <x:c r="AA13" s="85" t="n">
        <x:v>82</x:v>
      </x:c>
      <x:c r="AB13" s="85" t="n">
        <x:v>81</x:v>
      </x:c>
      <x:c r="AC13" s="91" t="str">
        <x:v>2026ツール・ド・フランス公式出場者一覧で現役確認</x:v>
      </x:c>
      <x:c r="AD13" s="91" t="str">
        <x:v>https://www.letour.fr/en/riders</x:v>
      </x:c>
      <x:c r="AE13" s="91" t="str">
        <x:v>能力・適性・Credit整合済</x:v>
      </x:c>
      <x:c r="AF13" s="91" t="str">
        <x:v>https://en.wikipedia.org/wiki/Special:Search?search=Julian%20Alaphilippe%20cyclist</x:v>
      </x:c>
    </x:row>
    <x:row r="14" ht="26" customHeight="1">
      <x:c r="A14" s="82" t="n">
        <x:v>10</x:v>
      </x:c>
      <x:c r="B14" s="82" t="str">
        <x:v>Jasper Philipsen</x:v>
      </x:c>
      <x:c r="C14" s="143" t="str"/>
      <x:c r="D14" s="82" t="str">
        <x:v>ベルギー</x:v>
      </x:c>
      <x:c r="E14" s="82" t="str">
        <x:v>Alpecin–Premier Tech</x:v>
      </x:c>
      <x:c r="F14" s="82" t="str">
        <x:v>1998-03-02</x:v>
      </x:c>
      <x:c r="G14" s="82" t="str">
        <x:v>現役確認済</x:v>
      </x:c>
      <x:c r="H14" s="82" t="str">
        <x:v>スプリンター</x:v>
      </x:c>
      <x:c r="I14" s="82" t="str">
        <x:v>クラシック型</x:v>
      </x:c>
      <x:c r="J14" s="85" t="n">
        <x:v>90</x:v>
      </x:c>
      <x:c r="K14" s="85" t="n">
        <x:v>69</x:v>
      </x:c>
      <x:c r="L14" s="91" t="str">
        <x:v>エース / ステージハンター / リードアウト / 最終発射台 / 無賃乗車</x:v>
      </x:c>
      <x:c r="M14" s="88" t="n">
        <x:v>9150</x:v>
      </x:c>
      <x:c r="N14" s="85" t="n">
        <x:v>85</x:v>
      </x:c>
      <x:c r="O14" s="85" t="n">
        <x:v>85</x:v>
      </x:c>
      <x:c r="P14" s="85" t="n">
        <x:v>70</x:v>
      </x:c>
      <x:c r="Q14" s="85" t="n">
        <x:v>74</x:v>
      </x:c>
      <x:c r="R14" s="85" t="n">
        <x:v>58</x:v>
      </x:c>
      <x:c r="S14" s="85" t="n">
        <x:v>68</x:v>
      </x:c>
      <x:c r="T14" s="85" t="n">
        <x:v>68</x:v>
      </x:c>
      <x:c r="U14" s="85" t="n">
        <x:v>74</x:v>
      </x:c>
      <x:c r="V14" s="85" t="n">
        <x:v>74</x:v>
      </x:c>
      <x:c r="W14" s="85" t="n">
        <x:v>50</x:v>
      </x:c>
      <x:c r="X14" s="85" t="n">
        <x:v>71</x:v>
      </x:c>
      <x:c r="Y14" s="85" t="n">
        <x:v>71</x:v>
      </x:c>
      <x:c r="Z14" s="85" t="n">
        <x:v>66</x:v>
      </x:c>
      <x:c r="AA14" s="85" t="n">
        <x:v>85</x:v>
      </x:c>
      <x:c r="AB14" s="85" t="n">
        <x:v>69</x:v>
      </x:c>
      <x:c r="AC14" s="91" t="str">
        <x:v>2026 UCI WorldTeam名簿掲載</x:v>
      </x:c>
      <x:c r="AD14" s="91" t="str">
        <x:v>https://en.wikipedia.org/wiki/List_of_2026_UCI_WorldTeams_and_riders</x:v>
      </x:c>
      <x:c r="AE14" s="91" t="str">
        <x:v>能力・適性・Credit整合済</x:v>
      </x:c>
      <x:c r="AF14" s="91" t="str">
        <x:v>https://en.wikipedia.org/wiki/Special:Search?search=Jasper%20Philipsen%20cyclist</x:v>
      </x:c>
    </x:row>
    <x:row r="15" ht="26" customHeight="1">
      <x:c r="A15" s="82" t="n">
        <x:v>11</x:v>
      </x:c>
      <x:c r="B15" s="82" t="str">
        <x:v>Filippo Ganna</x:v>
      </x:c>
      <x:c r="C15" s="143" t="str">
        <x:v>蒼きトップギア</x:v>
      </x:c>
      <x:c r="D15" s="82" t="str">
        <x:v>イタリア</x:v>
      </x:c>
      <x:c r="E15" s="82" t="str">
        <x:v>Netcompany INEOS Cycling Team</x:v>
      </x:c>
      <x:c r="F15" s="82" t="str">
        <x:v>1996-07-25</x:v>
      </x:c>
      <x:c r="G15" s="82" t="str">
        <x:v>現役確認済</x:v>
      </x:c>
      <x:c r="H15" s="82" t="str">
        <x:v>TT・ルーラー型</x:v>
      </x:c>
      <x:c r="I15" s="82" t="str">
        <x:v>クラシック型</x:v>
      </x:c>
      <x:c r="J15" s="85" t="n">
        <x:v>88</x:v>
      </x:c>
      <x:c r="K15" s="85" t="n">
        <x:v>78</x:v>
      </x:c>
      <x:c r="L15" s="91" t="str">
        <x:v>エース / TTスペシャリスト / ブレイクアウェイキラー / ポジションキーパー</x:v>
      </x:c>
      <x:c r="M15" s="88" t="n">
        <x:v>10650</x:v>
      </x:c>
      <x:c r="N15" s="85" t="n">
        <x:v>69</x:v>
      </x:c>
      <x:c r="O15" s="85" t="n">
        <x:v>69</x:v>
      </x:c>
      <x:c r="P15" s="85" t="n">
        <x:v>68</x:v>
      </x:c>
      <x:c r="Q15" s="85" t="n">
        <x:v>85</x:v>
      </x:c>
      <x:c r="R15" s="85" t="n">
        <x:v>69</x:v>
      </x:c>
      <x:c r="S15" s="85" t="n">
        <x:v>79</x:v>
      </x:c>
      <x:c r="T15" s="85" t="n">
        <x:v>78</x:v>
      </x:c>
      <x:c r="U15" s="85" t="n">
        <x:v>82</x:v>
      </x:c>
      <x:c r="V15" s="85" t="n">
        <x:v>72</x:v>
      </x:c>
      <x:c r="W15" s="85" t="n">
        <x:v>69</x:v>
      </x:c>
      <x:c r="X15" s="85" t="n">
        <x:v>71</x:v>
      </x:c>
      <x:c r="Y15" s="85" t="n">
        <x:v>71</x:v>
      </x:c>
      <x:c r="Z15" s="85" t="n">
        <x:v>80</x:v>
      </x:c>
      <x:c r="AA15" s="85" t="n">
        <x:v>70</x:v>
      </x:c>
      <x:c r="AB15" s="85" t="n">
        <x:v>69</x:v>
      </x:c>
      <x:c r="AC15" s="91" t="str">
        <x:v>2026 UCI WorldTeam名簿掲載</x:v>
      </x:c>
      <x:c r="AD15" s="91" t="str">
        <x:v>https://en.wikipedia.org/wiki/List_of_2026_UCI_WorldTeams_and_riders</x:v>
      </x:c>
      <x:c r="AE15" s="91" t="str">
        <x:v>能力・適性・Credit整合済</x:v>
      </x:c>
      <x:c r="AF15" s="91" t="str">
        <x:v>https://en.wikipedia.org/wiki/Special:Search?search=Filippo%20Ganna%20cyclist</x:v>
      </x:c>
    </x:row>
    <x:row r="16" ht="26" customHeight="1">
      <x:c r="A16" s="82" t="n">
        <x:v>12</x:v>
      </x:c>
      <x:c r="B16" s="82" t="str">
        <x:v>Egan Bernal</x:v>
      </x:c>
      <x:c r="C16" s="143" t="str">
        <x:v>アンデスの若き王</x:v>
      </x:c>
      <x:c r="D16" s="82" t="str">
        <x:v>コロンビア</x:v>
      </x:c>
      <x:c r="E16" s="82" t="str">
        <x:v>Netcompany INEOS Cycling Team</x:v>
      </x:c>
      <x:c r="F16" s="82" t="str">
        <x:v>1997-01-13</x:v>
      </x:c>
      <x:c r="G16" s="82" t="str">
        <x:v>現役確認済</x:v>
      </x:c>
      <x:c r="H16" s="82" t="str">
        <x:v>総合型</x:v>
      </x:c>
      <x:c r="I16" s="82" t="str">
        <x:v>クライマー</x:v>
      </x:c>
      <x:c r="J16" s="85" t="n">
        <x:v>88</x:v>
      </x:c>
      <x:c r="K16" s="85" t="n">
        <x:v>71</x:v>
      </x:c>
      <x:c r="L16" s="91" t="str">
        <x:v>エース / 山岳賞ハンター / 山岳アシスト</x:v>
      </x:c>
      <x:c r="M16" s="88" t="n">
        <x:v>9350</x:v>
      </x:c>
      <x:c r="N16" s="85" t="n">
        <x:v>58</x:v>
      </x:c>
      <x:c r="O16" s="85" t="n">
        <x:v>70</x:v>
      </x:c>
      <x:c r="P16" s="85" t="n">
        <x:v>74</x:v>
      </x:c>
      <x:c r="Q16" s="85" t="n">
        <x:v>71</x:v>
      </x:c>
      <x:c r="R16" s="85" t="n">
        <x:v>83</x:v>
      </x:c>
      <x:c r="S16" s="85" t="n">
        <x:v>80</x:v>
      </x:c>
      <x:c r="T16" s="85" t="n">
        <x:v>74</x:v>
      </x:c>
      <x:c r="U16" s="85" t="n">
        <x:v>70</x:v>
      </x:c>
      <x:c r="V16" s="85" t="n">
        <x:v>70</x:v>
      </x:c>
      <x:c r="W16" s="85" t="n">
        <x:v>50</x:v>
      </x:c>
      <x:c r="X16" s="85" t="n">
        <x:v>83</x:v>
      </x:c>
      <x:c r="Y16" s="85" t="n">
        <x:v>83</x:v>
      </x:c>
      <x:c r="Z16" s="85" t="n">
        <x:v>66</x:v>
      </x:c>
      <x:c r="AA16" s="85" t="n">
        <x:v>80</x:v>
      </x:c>
      <x:c r="AB16" s="85" t="n">
        <x:v>69</x:v>
      </x:c>
      <x:c r="AC16" s="91" t="str">
        <x:v>2026 UCI WorldTeam名簿掲載</x:v>
      </x:c>
      <x:c r="AD16" s="91" t="str">
        <x:v>https://en.wikipedia.org/wiki/List_of_2026_UCI_WorldTeams_and_riders</x:v>
      </x:c>
      <x:c r="AE16" s="91" t="str">
        <x:v>能力・適性・Credit整合済</x:v>
      </x:c>
      <x:c r="AF16" s="91" t="str">
        <x:v>https://en.wikipedia.org/wiki/Special:Search?search=Egan%20Bernal%20cyclist</x:v>
      </x:c>
    </x:row>
    <x:row r="17" ht="26" customHeight="1">
      <x:c r="A17" s="82" t="n">
        <x:v>13</x:v>
      </x:c>
      <x:c r="B17" s="82" t="str">
        <x:v>Jonathan Milan</x:v>
      </x:c>
      <x:c r="C17" s="143" t="str"/>
      <x:c r="D17" s="82" t="str">
        <x:v>イタリア</x:v>
      </x:c>
      <x:c r="E17" s="82" t="str">
        <x:v>Lidl–Trek</x:v>
      </x:c>
      <x:c r="F17" s="82" t="str">
        <x:v>2000-10-01</x:v>
      </x:c>
      <x:c r="G17" s="82" t="str">
        <x:v>現役確認済</x:v>
      </x:c>
      <x:c r="H17" s="82" t="str">
        <x:v>スプリンター</x:v>
      </x:c>
      <x:c r="I17" s="82" t="str">
        <x:v>TT・ルーラー型</x:v>
      </x:c>
      <x:c r="J17" s="85" t="n">
        <x:v>88</x:v>
      </x:c>
      <x:c r="K17" s="85" t="n">
        <x:v>73</x:v>
      </x:c>
      <x:c r="L17" s="91" t="str">
        <x:v>エース / リードアウト / 最終発射台 / 無賃乗車</x:v>
      </x:c>
      <x:c r="M17" s="88" t="n">
        <x:v>8500</x:v>
      </x:c>
      <x:c r="N17" s="85" t="n">
        <x:v>82</x:v>
      </x:c>
      <x:c r="O17" s="85" t="n">
        <x:v>81</x:v>
      </x:c>
      <x:c r="P17" s="85" t="n">
        <x:v>69</x:v>
      </x:c>
      <x:c r="Q17" s="85" t="n">
        <x:v>74</x:v>
      </x:c>
      <x:c r="R17" s="85" t="n">
        <x:v>59</x:v>
      </x:c>
      <x:c r="S17" s="85" t="n">
        <x:v>67</x:v>
      </x:c>
      <x:c r="T17" s="85" t="n">
        <x:v>67</x:v>
      </x:c>
      <x:c r="U17" s="85" t="n">
        <x:v>73</x:v>
      </x:c>
      <x:c r="V17" s="85" t="n">
        <x:v>73</x:v>
      </x:c>
      <x:c r="W17" s="85" t="n">
        <x:v>64</x:v>
      </x:c>
      <x:c r="X17" s="85" t="n">
        <x:v>70</x:v>
      </x:c>
      <x:c r="Y17" s="85" t="n">
        <x:v>70</x:v>
      </x:c>
      <x:c r="Z17" s="85" t="n">
        <x:v>71</x:v>
      </x:c>
      <x:c r="AA17" s="85" t="n">
        <x:v>81</x:v>
      </x:c>
      <x:c r="AB17" s="85" t="n">
        <x:v>67</x:v>
      </x:c>
      <x:c r="AC17" s="91" t="str">
        <x:v>2026 UCI WorldTeam名簿掲載</x:v>
      </x:c>
      <x:c r="AD17" s="91" t="str">
        <x:v>https://en.wikipedia.org/wiki/List_of_2026_UCI_WorldTeams_and_riders</x:v>
      </x:c>
      <x:c r="AE17" s="91" t="str">
        <x:v>能力・適性・Credit整合済</x:v>
      </x:c>
      <x:c r="AF17" s="91" t="str">
        <x:v>https://en.wikipedia.org/wiki/Special:Search?search=Jonathan%20Milan%20cyclist</x:v>
      </x:c>
    </x:row>
    <x:row r="18" ht="26" customHeight="1">
      <x:c r="A18" s="82" t="n">
        <x:v>14</x:v>
      </x:c>
      <x:c r="B18" s="82" t="str">
        <x:v>Biniam Girmay</x:v>
      </x:c>
      <x:c r="C18" s="143" t="str"/>
      <x:c r="D18" s="82" t="str">
        <x:v>エリトリア</x:v>
      </x:c>
      <x:c r="E18" s="82" t="str">
        <x:v>NSN Cycling Team</x:v>
      </x:c>
      <x:c r="F18" s="82" t="str">
        <x:v>2000-04-02</x:v>
      </x:c>
      <x:c r="G18" s="82" t="str">
        <x:v>現役確認済</x:v>
      </x:c>
      <x:c r="H18" s="82" t="str">
        <x:v>スプリンター</x:v>
      </x:c>
      <x:c r="I18" s="82" t="str">
        <x:v>パンチャー</x:v>
      </x:c>
      <x:c r="J18" s="85" t="n">
        <x:v>88</x:v>
      </x:c>
      <x:c r="K18" s="85" t="n">
        <x:v>72</x:v>
      </x:c>
      <x:c r="L18" s="91" t="str">
        <x:v>エース / ステージハンター / リードアウト / 最終発射台</x:v>
      </x:c>
      <x:c r="M18" s="88" t="n">
        <x:v>8350</x:v>
      </x:c>
      <x:c r="N18" s="85" t="n">
        <x:v>80</x:v>
      </x:c>
      <x:c r="O18" s="85" t="n">
        <x:v>85</x:v>
      </x:c>
      <x:c r="P18" s="85" t="n">
        <x:v>71</x:v>
      </x:c>
      <x:c r="Q18" s="85" t="n">
        <x:v>73</x:v>
      </x:c>
      <x:c r="R18" s="85" t="n">
        <x:v>61</x:v>
      </x:c>
      <x:c r="S18" s="85" t="n">
        <x:v>67</x:v>
      </x:c>
      <x:c r="T18" s="85" t="n">
        <x:v>67</x:v>
      </x:c>
      <x:c r="U18" s="85" t="n">
        <x:v>70</x:v>
      </x:c>
      <x:c r="V18" s="85" t="n">
        <x:v>72</x:v>
      </x:c>
      <x:c r="W18" s="85" t="n">
        <x:v>50</x:v>
      </x:c>
      <x:c r="X18" s="85" t="n">
        <x:v>70</x:v>
      </x:c>
      <x:c r="Y18" s="85" t="n">
        <x:v>70</x:v>
      </x:c>
      <x:c r="Z18" s="85" t="n">
        <x:v>67</x:v>
      </x:c>
      <x:c r="AA18" s="85" t="n">
        <x:v>82</x:v>
      </x:c>
      <x:c r="AB18" s="85" t="n">
        <x:v>67</x:v>
      </x:c>
      <x:c r="AC18" s="91" t="str">
        <x:v>2026 UCI WorldTeam名簿掲載</x:v>
      </x:c>
      <x:c r="AD18" s="91" t="str">
        <x:v>https://en.wikipedia.org/wiki/List_of_2026_UCI_WorldTeams_and_riders</x:v>
      </x:c>
      <x:c r="AE18" s="91" t="str">
        <x:v>能力・適性・Credit整合済</x:v>
      </x:c>
      <x:c r="AF18" s="91" t="str">
        <x:v>https://en.wikipedia.org/wiki/Special:Search?search=Biniam%20Girmay%20cyclist</x:v>
      </x:c>
    </x:row>
    <x:row r="19" ht="26" customHeight="1">
      <x:c r="A19" s="82" t="n">
        <x:v>15</x:v>
      </x:c>
      <x:c r="B19" s="82" t="str">
        <x:v>Arnaud De Lie</x:v>
      </x:c>
      <x:c r="C19" s="143" t="str"/>
      <x:c r="D19" s="82" t="str">
        <x:v>ベルギー</x:v>
      </x:c>
      <x:c r="E19" s="82" t="str">
        <x:v>Lotto–Intermarché</x:v>
      </x:c>
      <x:c r="F19" s="82" t="str">
        <x:v>2002-03-16</x:v>
      </x:c>
      <x:c r="G19" s="82" t="str">
        <x:v>現役確認済</x:v>
      </x:c>
      <x:c r="H19" s="82" t="str">
        <x:v>パンチャー</x:v>
      </x:c>
      <x:c r="I19" s="82" t="str">
        <x:v>スプリンター</x:v>
      </x:c>
      <x:c r="J19" s="85" t="n">
        <x:v>87</x:v>
      </x:c>
      <x:c r="K19" s="85" t="n">
        <x:v>72</x:v>
      </x:c>
      <x:c r="L19" s="91" t="str">
        <x:v>エース / ステージハンター / スプリントトレイン / 下り牽引</x:v>
      </x:c>
      <x:c r="M19" s="88" t="n">
        <x:v>8350</x:v>
      </x:c>
      <x:c r="N19" s="85" t="n">
        <x:v>76</x:v>
      </x:c>
      <x:c r="O19" s="85" t="n">
        <x:v>84</x:v>
      </x:c>
      <x:c r="P19" s="85" t="n">
        <x:v>82</x:v>
      </x:c>
      <x:c r="Q19" s="85" t="n">
        <x:v>70</x:v>
      </x:c>
      <x:c r="R19" s="85" t="n">
        <x:v>72</x:v>
      </x:c>
      <x:c r="S19" s="85" t="n">
        <x:v>67</x:v>
      </x:c>
      <x:c r="T19" s="85" t="n">
        <x:v>67</x:v>
      </x:c>
      <x:c r="U19" s="85" t="n">
        <x:v>75</x:v>
      </x:c>
      <x:c r="V19" s="85" t="n">
        <x:v>78</x:v>
      </x:c>
      <x:c r="W19" s="85" t="n">
        <x:v>50</x:v>
      </x:c>
      <x:c r="X19" s="85" t="n">
        <x:v>71</x:v>
      </x:c>
      <x:c r="Y19" s="85" t="n">
        <x:v>71</x:v>
      </x:c>
      <x:c r="Z19" s="85" t="n">
        <x:v>67</x:v>
      </x:c>
      <x:c r="AA19" s="85" t="n">
        <x:v>80</x:v>
      </x:c>
      <x:c r="AB19" s="85" t="n">
        <x:v>75</x:v>
      </x:c>
      <x:c r="AC19" s="91" t="str">
        <x:v>2026 UCI WorldTeam名簿掲載</x:v>
      </x:c>
      <x:c r="AD19" s="91" t="str">
        <x:v>https://en.wikipedia.org/wiki/List_of_2026_UCI_WorldTeams_and_riders</x:v>
      </x:c>
      <x:c r="AE19" s="91" t="str">
        <x:v>能力・適性・Credit整合済</x:v>
      </x:c>
      <x:c r="AF19" s="91" t="str">
        <x:v>https://en.wikipedia.org/wiki/Special:Search?search=Arnaud%20De%20Lie%20cyclist</x:v>
      </x:c>
    </x:row>
    <x:row r="20" ht="26" customHeight="1">
      <x:c r="A20" s="82" t="n">
        <x:v>16</x:v>
      </x:c>
      <x:c r="B20" s="82" t="str">
        <x:v>Juan Ayuso</x:v>
      </x:c>
      <x:c r="C20" s="143" t="str"/>
      <x:c r="D20" s="82" t="str">
        <x:v>スペイン</x:v>
      </x:c>
      <x:c r="E20" s="82" t="str">
        <x:v>Lidl–Trek</x:v>
      </x:c>
      <x:c r="F20" s="82" t="str">
        <x:v>2002-09-16</x:v>
      </x:c>
      <x:c r="G20" s="82" t="str">
        <x:v>現役確認済</x:v>
      </x:c>
      <x:c r="H20" s="82" t="str">
        <x:v>総合型</x:v>
      </x:c>
      <x:c r="I20" s="82" t="str">
        <x:v>パンチャー</x:v>
      </x:c>
      <x:c r="J20" s="85" t="n">
        <x:v>87</x:v>
      </x:c>
      <x:c r="K20" s="85" t="n">
        <x:v>73</x:v>
      </x:c>
      <x:c r="L20" s="91" t="str">
        <x:v>エース / 山岳番手</x:v>
      </x:c>
      <x:c r="M20" s="88" t="n">
        <x:v>8150</x:v>
      </x:c>
      <x:c r="N20" s="85" t="n">
        <x:v>62</x:v>
      </x:c>
      <x:c r="O20" s="85" t="n">
        <x:v>71</x:v>
      </x:c>
      <x:c r="P20" s="85" t="n">
        <x:v>75</x:v>
      </x:c>
      <x:c r="Q20" s="85" t="n">
        <x:v>71</x:v>
      </x:c>
      <x:c r="R20" s="85" t="n">
        <x:v>77</x:v>
      </x:c>
      <x:c r="S20" s="85" t="n">
        <x:v>74</x:v>
      </x:c>
      <x:c r="T20" s="85" t="n">
        <x:v>74</x:v>
      </x:c>
      <x:c r="U20" s="85" t="n">
        <x:v>69</x:v>
      </x:c>
      <x:c r="V20" s="85" t="n">
        <x:v>70</x:v>
      </x:c>
      <x:c r="W20" s="85" t="n">
        <x:v>50</x:v>
      </x:c>
      <x:c r="X20" s="85" t="n">
        <x:v>81</x:v>
      </x:c>
      <x:c r="Y20" s="85" t="n">
        <x:v>81</x:v>
      </x:c>
      <x:c r="Z20" s="85" t="n">
        <x:v>68</x:v>
      </x:c>
      <x:c r="AA20" s="85" t="n">
        <x:v>79</x:v>
      </x:c>
      <x:c r="AB20" s="85" t="n">
        <x:v>70</x:v>
      </x:c>
      <x:c r="AC20" s="91" t="str">
        <x:v>2026 UCI WorldTeam名簿掲載</x:v>
      </x:c>
      <x:c r="AD20" s="91" t="str">
        <x:v>https://en.wikipedia.org/wiki/List_of_2026_UCI_WorldTeams_and_riders</x:v>
      </x:c>
      <x:c r="AE20" s="91" t="str">
        <x:v>能力・適性・Credit整合済</x:v>
      </x:c>
      <x:c r="AF20" s="91" t="str">
        <x:v>https://en.wikipedia.org/wiki/Special:Search?search=Juan%20Ayuso%20cyclist</x:v>
      </x:c>
    </x:row>
    <x:row r="21" ht="26" customHeight="1">
      <x:c r="A21" s="82" t="n">
        <x:v>17</x:v>
      </x:c>
      <x:c r="B21" s="82" t="str">
        <x:v>Olav Kooij</x:v>
      </x:c>
      <x:c r="C21" s="143" t="str"/>
      <x:c r="D21" s="82" t="str">
        <x:v>オランダ</x:v>
      </x:c>
      <x:c r="E21" s="82" t="str">
        <x:v>Decathlon–CMA CGM</x:v>
      </x:c>
      <x:c r="F21" s="82" t="str">
        <x:v>2001-10-17</x:v>
      </x:c>
      <x:c r="G21" s="82" t="str">
        <x:v>現役確認済</x:v>
      </x:c>
      <x:c r="H21" s="82" t="str">
        <x:v>スプリンター</x:v>
      </x:c>
      <x:c r="I21" s="82" t="str">
        <x:v>TT・ルーラー型</x:v>
      </x:c>
      <x:c r="J21" s="85" t="n">
        <x:v>87</x:v>
      </x:c>
      <x:c r="K21" s="85" t="n">
        <x:v>72</x:v>
      </x:c>
      <x:c r="L21" s="91" t="str">
        <x:v>エース / リードアウト / 最終発射台 / 下り牽引 / 無賃乗車</x:v>
      </x:c>
      <x:c r="M21" s="88" t="n">
        <x:v>7950</x:v>
      </x:c>
      <x:c r="N21" s="85" t="n">
        <x:v>82</x:v>
      </x:c>
      <x:c r="O21" s="85" t="n">
        <x:v>81</x:v>
      </x:c>
      <x:c r="P21" s="85" t="n">
        <x:v>69</x:v>
      </x:c>
      <x:c r="Q21" s="85" t="n">
        <x:v>73</x:v>
      </x:c>
      <x:c r="R21" s="85" t="n">
        <x:v>59</x:v>
      </x:c>
      <x:c r="S21" s="85" t="n">
        <x:v>67</x:v>
      </x:c>
      <x:c r="T21" s="85" t="n">
        <x:v>67</x:v>
      </x:c>
      <x:c r="U21" s="85" t="n">
        <x:v>74</x:v>
      </x:c>
      <x:c r="V21" s="85" t="n">
        <x:v>73</x:v>
      </x:c>
      <x:c r="W21" s="85" t="n">
        <x:v>50</x:v>
      </x:c>
      <x:c r="X21" s="85" t="n">
        <x:v>70</x:v>
      </x:c>
      <x:c r="Y21" s="85" t="n">
        <x:v>70</x:v>
      </x:c>
      <x:c r="Z21" s="85" t="n">
        <x:v>68</x:v>
      </x:c>
      <x:c r="AA21" s="85" t="n">
        <x:v>81</x:v>
      </x:c>
      <x:c r="AB21" s="85" t="n">
        <x:v>67</x:v>
      </x:c>
      <x:c r="AC21" s="91" t="str">
        <x:v>2026 UCI WorldTeam名簿掲載</x:v>
      </x:c>
      <x:c r="AD21" s="91" t="str">
        <x:v>https://en.wikipedia.org/wiki/List_of_2026_UCI_WorldTeams_and_riders</x:v>
      </x:c>
      <x:c r="AE21" s="91" t="str">
        <x:v>能力・適性・Credit整合済</x:v>
      </x:c>
      <x:c r="AF21" s="91" t="str">
        <x:v>https://en.wikipedia.org/wiki/Special:Search?search=Olav%20Kooij%20cyclist</x:v>
      </x:c>
    </x:row>
    <x:row r="22" ht="26" customHeight="1">
      <x:c r="A22" s="82" t="n">
        <x:v>18</x:v>
      </x:c>
      <x:c r="B22" s="82" t="str">
        <x:v>Alberto Bettiol</x:v>
      </x:c>
      <x:c r="C22" s="143" t="str"/>
      <x:c r="D22" s="82" t="str">
        <x:v>イタリア</x:v>
      </x:c>
      <x:c r="E22" s="82" t="str">
        <x:v>XDS Astana Team</x:v>
      </x:c>
      <x:c r="F22" s="82" t="str">
        <x:v>1993-10-29</x:v>
      </x:c>
      <x:c r="G22" s="82" t="str">
        <x:v>現役確認済</x:v>
      </x:c>
      <x:c r="H22" s="82" t="str">
        <x:v>クラシック型</x:v>
      </x:c>
      <x:c r="I22" s="82" t="str">
        <x:v>パンチャー</x:v>
      </x:c>
      <x:c r="J22" s="85" t="n">
        <x:v>86</x:v>
      </x:c>
      <x:c r="K22" s="85" t="n">
        <x:v>77</x:v>
      </x:c>
      <x:c r="L22" s="91" t="str">
        <x:v>エース / 石畳護衛 / ブリッジャー / カウンターアタッカー / 横風分断</x:v>
      </x:c>
      <x:c r="M22" s="88" t="n">
        <x:v>9000</x:v>
      </x:c>
      <x:c r="N22" s="85" t="n">
        <x:v>75</x:v>
      </x:c>
      <x:c r="O22" s="85" t="n">
        <x:v>76</x:v>
      </x:c>
      <x:c r="P22" s="85" t="n">
        <x:v>77</x:v>
      </x:c>
      <x:c r="Q22" s="85" t="n">
        <x:v>77</x:v>
      </x:c>
      <x:c r="R22" s="85" t="n">
        <x:v>68</x:v>
      </x:c>
      <x:c r="S22" s="85" t="n">
        <x:v>74</x:v>
      </x:c>
      <x:c r="T22" s="85" t="n">
        <x:v>79</x:v>
      </x:c>
      <x:c r="U22" s="85" t="n">
        <x:v>79</x:v>
      </x:c>
      <x:c r="V22" s="85" t="n">
        <x:v>81</x:v>
      </x:c>
      <x:c r="W22" s="85" t="n">
        <x:v>76</x:v>
      </x:c>
      <x:c r="X22" s="85" t="n">
        <x:v>72</x:v>
      </x:c>
      <x:c r="Y22" s="85" t="n">
        <x:v>72</x:v>
      </x:c>
      <x:c r="Z22" s="85" t="n">
        <x:v>75</x:v>
      </x:c>
      <x:c r="AA22" s="85" t="n">
        <x:v>73</x:v>
      </x:c>
      <x:c r="AB22" s="85" t="n">
        <x:v>82</x:v>
      </x:c>
      <x:c r="AC22" s="91" t="str">
        <x:v>2026 UCI WorldTeam名簿掲載</x:v>
      </x:c>
      <x:c r="AD22" s="91" t="str">
        <x:v>https://en.wikipedia.org/wiki/List_of_2026_UCI_WorldTeams_and_riders</x:v>
      </x:c>
      <x:c r="AE22" s="91" t="str">
        <x:v>能力・適性・Credit整合済</x:v>
      </x:c>
      <x:c r="AF22" s="91" t="str">
        <x:v>https://en.wikipedia.org/wiki/Special:Search?search=Alberto%20Bettiol%20cyclist</x:v>
      </x:c>
    </x:row>
    <x:row r="23" ht="26" customHeight="1">
      <x:c r="A23" s="82" t="n">
        <x:v>19</x:v>
      </x:c>
      <x:c r="B23" s="82" t="str">
        <x:v>Tim Wellens</x:v>
      </x:c>
      <x:c r="C23" s="143" t="str"/>
      <x:c r="D23" s="82" t="str">
        <x:v>ベルギー</x:v>
      </x:c>
      <x:c r="E23" s="82" t="str">
        <x:v>UAE Team Emirates XRG</x:v>
      </x:c>
      <x:c r="F23" s="82" t="str">
        <x:v>1991-05-10</x:v>
      </x:c>
      <x:c r="G23" s="82" t="str">
        <x:v>現役確認済</x:v>
      </x:c>
      <x:c r="H23" s="82" t="str">
        <x:v>パンチャー</x:v>
      </x:c>
      <x:c r="I23" s="82" t="str">
        <x:v>クラシック型</x:v>
      </x:c>
      <x:c r="J23" s="85" t="n">
        <x:v>86</x:v>
      </x:c>
      <x:c r="K23" s="85" t="n">
        <x:v>71</x:v>
      </x:c>
      <x:c r="L23" s="91" t="str">
        <x:v>エース / ステージハンター / カウンターアタッカー</x:v>
      </x:c>
      <x:c r="M23" s="88" t="n">
        <x:v>8500</x:v>
      </x:c>
      <x:c r="N23" s="85" t="n">
        <x:v>74</x:v>
      </x:c>
      <x:c r="O23" s="85" t="n">
        <x:v>81</x:v>
      </x:c>
      <x:c r="P23" s="85" t="n">
        <x:v>85</x:v>
      </x:c>
      <x:c r="Q23" s="85" t="n">
        <x:v>71</x:v>
      </x:c>
      <x:c r="R23" s="85" t="n">
        <x:v>73</x:v>
      </x:c>
      <x:c r="S23" s="85" t="n">
        <x:v>67</x:v>
      </x:c>
      <x:c r="T23" s="85" t="n">
        <x:v>68</x:v>
      </x:c>
      <x:c r="U23" s="85" t="n">
        <x:v>76</x:v>
      </x:c>
      <x:c r="V23" s="85" t="n">
        <x:v>78</x:v>
      </x:c>
      <x:c r="W23" s="85" t="n">
        <x:v>50</x:v>
      </x:c>
      <x:c r="X23" s="85" t="n">
        <x:v>72</x:v>
      </x:c>
      <x:c r="Y23" s="85" t="n">
        <x:v>72</x:v>
      </x:c>
      <x:c r="Z23" s="85" t="n">
        <x:v>65</x:v>
      </x:c>
      <x:c r="AA23" s="85" t="n">
        <x:v>80</x:v>
      </x:c>
      <x:c r="AB23" s="85" t="n">
        <x:v>79</x:v>
      </x:c>
      <x:c r="AC23" s="91" t="str">
        <x:v>2026 UCI WorldTeam名簿掲載</x:v>
      </x:c>
      <x:c r="AD23" s="91" t="str">
        <x:v>https://en.wikipedia.org/wiki/List_of_2026_UCI_WorldTeams_and_riders</x:v>
      </x:c>
      <x:c r="AE23" s="91" t="str">
        <x:v>能力・適性・Credit整合済</x:v>
      </x:c>
      <x:c r="AF23" s="91" t="str">
        <x:v>https://en.wikipedia.org/wiki/Special:Search?search=Tim%20Wellens%20cyclist</x:v>
      </x:c>
    </x:row>
    <x:row r="24" ht="26" customHeight="1">
      <x:c r="A24" s="82" t="n">
        <x:v>20</x:v>
      </x:c>
      <x:c r="B24" s="82" t="str">
        <x:v>Mattias Skjelmose</x:v>
      </x:c>
      <x:c r="C24" s="143" t="str"/>
      <x:c r="D24" s="82" t="str">
        <x:v>デンマーク</x:v>
      </x:c>
      <x:c r="E24" s="82" t="str">
        <x:v>Lidl–Trek</x:v>
      </x:c>
      <x:c r="F24" s="82" t="str">
        <x:v>2000-09-26</x:v>
      </x:c>
      <x:c r="G24" s="82" t="str">
        <x:v>現役確認済</x:v>
      </x:c>
      <x:c r="H24" s="82" t="str">
        <x:v>パンチャー</x:v>
      </x:c>
      <x:c r="I24" s="82" t="str">
        <x:v>総合型</x:v>
      </x:c>
      <x:c r="J24" s="85" t="n">
        <x:v>86</x:v>
      </x:c>
      <x:c r="K24" s="85" t="n">
        <x:v>71</x:v>
      </x:c>
      <x:c r="L24" s="91" t="str">
        <x:v>エース / ステージハンター / 集団コントローラー / カウンターアタッカー</x:v>
      </x:c>
      <x:c r="M24" s="88" t="n">
        <x:v>8000</x:v>
      </x:c>
      <x:c r="N24" s="85" t="n">
        <x:v>70</x:v>
      </x:c>
      <x:c r="O24" s="85" t="n">
        <x:v>80</x:v>
      </x:c>
      <x:c r="P24" s="85" t="n">
        <x:v>83</x:v>
      </x:c>
      <x:c r="Q24" s="85" t="n">
        <x:v>71</x:v>
      </x:c>
      <x:c r="R24" s="85" t="n">
        <x:v>73</x:v>
      </x:c>
      <x:c r="S24" s="85" t="n">
        <x:v>67</x:v>
      </x:c>
      <x:c r="T24" s="85" t="n">
        <x:v>67</x:v>
      </x:c>
      <x:c r="U24" s="85" t="n">
        <x:v>76</x:v>
      </x:c>
      <x:c r="V24" s="85" t="n">
        <x:v>77</x:v>
      </x:c>
      <x:c r="W24" s="85" t="n">
        <x:v>50</x:v>
      </x:c>
      <x:c r="X24" s="85" t="n">
        <x:v>73</x:v>
      </x:c>
      <x:c r="Y24" s="85" t="n">
        <x:v>73</x:v>
      </x:c>
      <x:c r="Z24" s="85" t="n">
        <x:v>66</x:v>
      </x:c>
      <x:c r="AA24" s="85" t="n">
        <x:v>78</x:v>
      </x:c>
      <x:c r="AB24" s="85" t="n">
        <x:v>77</x:v>
      </x:c>
      <x:c r="AC24" s="91" t="str">
        <x:v>2026 UCI WorldTeam名簿掲載</x:v>
      </x:c>
      <x:c r="AD24" s="91" t="str">
        <x:v>https://en.wikipedia.org/wiki/List_of_2026_UCI_WorldTeams_and_riders</x:v>
      </x:c>
      <x:c r="AE24" s="91" t="str">
        <x:v>能力・適性・Credit整合済</x:v>
      </x:c>
      <x:c r="AF24" s="91" t="str">
        <x:v>https://en.wikipedia.org/wiki/Special:Search?search=Mattias%20Skjelmose%20cyclist</x:v>
      </x:c>
    </x:row>
    <x:row r="25" ht="26" customHeight="1">
      <x:c r="A25" s="82" t="n">
        <x:v>21</x:v>
      </x:c>
      <x:c r="B25" s="82" t="str">
        <x:v>Kaden Groves</x:v>
      </x:c>
      <x:c r="C25" s="143" t="str"/>
      <x:c r="D25" s="82" t="str">
        <x:v>オーストラリア</x:v>
      </x:c>
      <x:c r="E25" s="82" t="str">
        <x:v>Alpecin–Premier Tech</x:v>
      </x:c>
      <x:c r="F25" s="82" t="str">
        <x:v>1998-12-23</x:v>
      </x:c>
      <x:c r="G25" s="82" t="str">
        <x:v>現役確認済</x:v>
      </x:c>
      <x:c r="H25" s="82" t="str">
        <x:v>スプリンター</x:v>
      </x:c>
      <x:c r="I25" s="82" t="str">
        <x:v>クラシック型</x:v>
      </x:c>
      <x:c r="J25" s="85" t="n">
        <x:v>86</x:v>
      </x:c>
      <x:c r="K25" s="85" t="n">
        <x:v>70</x:v>
      </x:c>
      <x:c r="L25" s="91" t="str">
        <x:v>エース / リードアウト / 最終発射台 / 下り牽引</x:v>
      </x:c>
      <x:c r="M25" s="88" t="n">
        <x:v>7950</x:v>
      </x:c>
      <x:c r="N25" s="85" t="n">
        <x:v>85</x:v>
      </x:c>
      <x:c r="O25" s="85" t="n">
        <x:v>82</x:v>
      </x:c>
      <x:c r="P25" s="85" t="n">
        <x:v>70</x:v>
      </x:c>
      <x:c r="Q25" s="85" t="n">
        <x:v>73</x:v>
      </x:c>
      <x:c r="R25" s="85" t="n">
        <x:v>58</x:v>
      </x:c>
      <x:c r="S25" s="85" t="n">
        <x:v>67</x:v>
      </x:c>
      <x:c r="T25" s="85" t="n">
        <x:v>67</x:v>
      </x:c>
      <x:c r="U25" s="85" t="n">
        <x:v>70</x:v>
      </x:c>
      <x:c r="V25" s="85" t="n">
        <x:v>74</x:v>
      </x:c>
      <x:c r="W25" s="85" t="n">
        <x:v>50</x:v>
      </x:c>
      <x:c r="X25" s="85" t="n">
        <x:v>71</x:v>
      </x:c>
      <x:c r="Y25" s="85" t="n">
        <x:v>70</x:v>
      </x:c>
      <x:c r="Z25" s="85" t="n">
        <x:v>66</x:v>
      </x:c>
      <x:c r="AA25" s="85" t="n">
        <x:v>82</x:v>
      </x:c>
      <x:c r="AB25" s="85" t="n">
        <x:v>68</x:v>
      </x:c>
      <x:c r="AC25" s="91" t="str">
        <x:v>2026 UCI WorldTeam名簿掲載</x:v>
      </x:c>
      <x:c r="AD25" s="91" t="str">
        <x:v>https://en.wikipedia.org/wiki/List_of_2026_UCI_WorldTeams_and_riders</x:v>
      </x:c>
      <x:c r="AE25" s="91" t="str">
        <x:v>能力・適性・Credit整合済</x:v>
      </x:c>
      <x:c r="AF25" s="91" t="str">
        <x:v>https://en.wikipedia.org/wiki/Special:Search?search=Kaden%20Groves%20cyclist</x:v>
      </x:c>
    </x:row>
    <x:row r="26" ht="26" customHeight="1">
      <x:c r="A26" s="82" t="n">
        <x:v>22</x:v>
      </x:c>
      <x:c r="B26" s="82" t="str">
        <x:v>Fabio Jakobsen</x:v>
      </x:c>
      <x:c r="C26" s="143" t="str"/>
      <x:c r="D26" s="82" t="str">
        <x:v>オランダ</x:v>
      </x:c>
      <x:c r="E26" s="82" t="str">
        <x:v>Team Picnic–PostNL</x:v>
      </x:c>
      <x:c r="F26" s="82" t="str">
        <x:v>1996-08-31</x:v>
      </x:c>
      <x:c r="G26" s="82" t="str">
        <x:v>現役確認済</x:v>
      </x:c>
      <x:c r="H26" s="82" t="str">
        <x:v>スプリンター</x:v>
      </x:c>
      <x:c r="I26" s="82" t="str">
        <x:v>クラシック型</x:v>
      </x:c>
      <x:c r="J26" s="85" t="n">
        <x:v>86</x:v>
      </x:c>
      <x:c r="K26" s="85" t="n">
        <x:v>70</x:v>
      </x:c>
      <x:c r="L26" s="91" t="str">
        <x:v>エース / リードアウト / 最終発射台 / スプリントトレイン</x:v>
      </x:c>
      <x:c r="M26" s="88" t="n">
        <x:v>7450</x:v>
      </x:c>
      <x:c r="N26" s="85" t="n">
        <x:v>82</x:v>
      </x:c>
      <x:c r="O26" s="85" t="n">
        <x:v>82</x:v>
      </x:c>
      <x:c r="P26" s="85" t="n">
        <x:v>70</x:v>
      </x:c>
      <x:c r="Q26" s="85" t="n">
        <x:v>73</x:v>
      </x:c>
      <x:c r="R26" s="85" t="n">
        <x:v>58</x:v>
      </x:c>
      <x:c r="S26" s="85" t="n">
        <x:v>66</x:v>
      </x:c>
      <x:c r="T26" s="85" t="n">
        <x:v>66</x:v>
      </x:c>
      <x:c r="U26" s="85" t="n">
        <x:v>71</x:v>
      </x:c>
      <x:c r="V26" s="85" t="n">
        <x:v>73</x:v>
      </x:c>
      <x:c r="W26" s="85" t="n">
        <x:v>50</x:v>
      </x:c>
      <x:c r="X26" s="85" t="n">
        <x:v>70</x:v>
      </x:c>
      <x:c r="Y26" s="85" t="n">
        <x:v>69</x:v>
      </x:c>
      <x:c r="Z26" s="85" t="n">
        <x:v>65</x:v>
      </x:c>
      <x:c r="AA26" s="85" t="n">
        <x:v>82</x:v>
      </x:c>
      <x:c r="AB26" s="85" t="n">
        <x:v>67</x:v>
      </x:c>
      <x:c r="AC26" s="91" t="str">
        <x:v>2026 UCI WorldTeam名簿掲載</x:v>
      </x:c>
      <x:c r="AD26" s="91" t="str">
        <x:v>https://en.wikipedia.org/wiki/List_of_2026_UCI_WorldTeams_and_riders</x:v>
      </x:c>
      <x:c r="AE26" s="91" t="str">
        <x:v>能力・適性・Credit整合済</x:v>
      </x:c>
      <x:c r="AF26" s="91" t="str">
        <x:v>https://en.wikipedia.org/wiki/Special:Search?search=Fabio%20Jakobsen%20cyclist</x:v>
      </x:c>
    </x:row>
    <x:row r="27" ht="26" customHeight="1">
      <x:c r="A27" s="82" t="n">
        <x:v>23</x:v>
      </x:c>
      <x:c r="B27" s="82" t="str">
        <x:v>Tom Pidcock</x:v>
      </x:c>
      <x:c r="C27" s="143" t="str"/>
      <x:c r="D27" s="82" t="str">
        <x:v>イギリス</x:v>
      </x:c>
      <x:c r="E27" s="82" t="str">
        <x:v>Pinarello–Q36.5 Pro Cycling Team</x:v>
      </x:c>
      <x:c r="F27" s="82" t="str"/>
      <x:c r="G27" s="82" t="str">
        <x:v>現役確認済</x:v>
      </x:c>
      <x:c r="H27" s="82" t="str">
        <x:v>クラシック型</x:v>
      </x:c>
      <x:c r="I27" s="82" t="str">
        <x:v>パンチャー</x:v>
      </x:c>
      <x:c r="J27" s="85" t="n">
        <x:v>86</x:v>
      </x:c>
      <x:c r="K27" s="85" t="n">
        <x:v>77</x:v>
      </x:c>
      <x:c r="L27" s="91" t="str">
        <x:v>エース / 石畳護衛 / 逃げ屋 / カウンターアタッカー / 横風分断 / 無賃乗車</x:v>
      </x:c>
      <x:c r="M27" s="88" t="n">
        <x:v>7350</x:v>
      </x:c>
      <x:c r="N27" s="85" t="n">
        <x:v>75</x:v>
      </x:c>
      <x:c r="O27" s="85" t="n">
        <x:v>76</x:v>
      </x:c>
      <x:c r="P27" s="85" t="n">
        <x:v>77</x:v>
      </x:c>
      <x:c r="Q27" s="85" t="n">
        <x:v>77</x:v>
      </x:c>
      <x:c r="R27" s="85" t="n">
        <x:v>68</x:v>
      </x:c>
      <x:c r="S27" s="85" t="n">
        <x:v>74</x:v>
      </x:c>
      <x:c r="T27" s="85" t="n">
        <x:v>79</x:v>
      </x:c>
      <x:c r="U27" s="85" t="n">
        <x:v>81</x:v>
      </x:c>
      <x:c r="V27" s="85" t="n">
        <x:v>83</x:v>
      </x:c>
      <x:c r="W27" s="85" t="n">
        <x:v>50</x:v>
      </x:c>
      <x:c r="X27" s="85" t="n">
        <x:v>72</x:v>
      </x:c>
      <x:c r="Y27" s="85" t="n">
        <x:v>72</x:v>
      </x:c>
      <x:c r="Z27" s="85" t="n">
        <x:v>76</x:v>
      </x:c>
      <x:c r="AA27" s="85" t="n">
        <x:v>74</x:v>
      </x:c>
      <x:c r="AB27" s="85" t="n">
        <x:v>81</x:v>
      </x:c>
      <x:c r="AC27" s="91" t="str">
        <x:v>2026ツール・ド・フランス公式出場者一覧で現役確認</x:v>
      </x:c>
      <x:c r="AD27" s="91" t="str">
        <x:v>https://www.letour.fr/en/riders</x:v>
      </x:c>
      <x:c r="AE27" s="91" t="str">
        <x:v>能力・適性・Credit整合済</x:v>
      </x:c>
      <x:c r="AF27" s="91" t="str">
        <x:v>https://en.wikipedia.org/wiki/Special:Search?search=Tom%20Pidcock%20cyclist</x:v>
      </x:c>
    </x:row>
    <x:row r="28" ht="26" customHeight="1">
      <x:c r="A28" s="82" t="n">
        <x:v>24</x:v>
      </x:c>
      <x:c r="B28" s="82" t="str">
        <x:v>Jasper Stuyven</x:v>
      </x:c>
      <x:c r="C28" s="143" t="str"/>
      <x:c r="D28" s="82" t="str">
        <x:v>ベルギー</x:v>
      </x:c>
      <x:c r="E28" s="82" t="str">
        <x:v>Soudal–Quick-Step</x:v>
      </x:c>
      <x:c r="F28" s="82" t="str">
        <x:v>1992-04-17</x:v>
      </x:c>
      <x:c r="G28" s="82" t="str">
        <x:v>現役確認済</x:v>
      </x:c>
      <x:c r="H28" s="82" t="str">
        <x:v>クラシック型</x:v>
      </x:c>
      <x:c r="I28" s="82" t="str">
        <x:v>スプリンター</x:v>
      </x:c>
      <x:c r="J28" s="85" t="n">
        <x:v>85</x:v>
      </x:c>
      <x:c r="K28" s="85" t="n">
        <x:v>77</x:v>
      </x:c>
      <x:c r="L28" s="91" t="str">
        <x:v>エース / スプリントトレイン / 石畳護衛 / 横風要員</x:v>
      </x:c>
      <x:c r="M28" s="88" t="n">
        <x:v>8850</x:v>
      </x:c>
      <x:c r="N28" s="85" t="n">
        <x:v>77</x:v>
      </x:c>
      <x:c r="O28" s="85" t="n">
        <x:v>74</x:v>
      </x:c>
      <x:c r="P28" s="85" t="n">
        <x:v>75</x:v>
      </x:c>
      <x:c r="Q28" s="85" t="n">
        <x:v>76</x:v>
      </x:c>
      <x:c r="R28" s="85" t="n">
        <x:v>64</x:v>
      </x:c>
      <x:c r="S28" s="85" t="n">
        <x:v>72</x:v>
      </x:c>
      <x:c r="T28" s="85" t="n">
        <x:v>75</x:v>
      </x:c>
      <x:c r="U28" s="85" t="n">
        <x:v>80</x:v>
      </x:c>
      <x:c r="V28" s="85" t="n">
        <x:v>80</x:v>
      </x:c>
      <x:c r="W28" s="85" t="n">
        <x:v>82</x:v>
      </x:c>
      <x:c r="X28" s="85" t="n">
        <x:v>71</x:v>
      </x:c>
      <x:c r="Y28" s="85" t="n">
        <x:v>71</x:v>
      </x:c>
      <x:c r="Z28" s="85" t="n">
        <x:v>76</x:v>
      </x:c>
      <x:c r="AA28" s="85" t="n">
        <x:v>72</x:v>
      </x:c>
      <x:c r="AB28" s="85" t="n">
        <x:v>79</x:v>
      </x:c>
      <x:c r="AC28" s="91" t="str">
        <x:v>2026 UCI WorldTeam名簿掲載</x:v>
      </x:c>
      <x:c r="AD28" s="91" t="str">
        <x:v>https://en.wikipedia.org/wiki/List_of_2026_UCI_WorldTeams_and_riders</x:v>
      </x:c>
      <x:c r="AE28" s="91" t="str">
        <x:v>能力・適性・Credit整合済</x:v>
      </x:c>
      <x:c r="AF28" s="91" t="str">
        <x:v>https://en.wikipedia.org/wiki/Special:Search?search=Jasper%20Stuyven%20cyclist</x:v>
      </x:c>
    </x:row>
    <x:row r="29" ht="26" customHeight="1">
      <x:c r="A29" s="82" t="n">
        <x:v>25</x:v>
      </x:c>
      <x:c r="B29" s="82" t="str">
        <x:v>Warren Barguil</x:v>
      </x:c>
      <x:c r="C29" s="143" t="str"/>
      <x:c r="D29" s="82" t="str">
        <x:v>フランス</x:v>
      </x:c>
      <x:c r="E29" s="82" t="str">
        <x:v>Team Picnic–PostNL</x:v>
      </x:c>
      <x:c r="F29" s="82" t="str">
        <x:v>1991-10-28</x:v>
      </x:c>
      <x:c r="G29" s="82" t="str">
        <x:v>現役確認済</x:v>
      </x:c>
      <x:c r="H29" s="82" t="str">
        <x:v>クライマー</x:v>
      </x:c>
      <x:c r="I29" s="82" t="str">
        <x:v>パンチャー</x:v>
      </x:c>
      <x:c r="J29" s="85" t="n">
        <x:v>85</x:v>
      </x:c>
      <x:c r="K29" s="85" t="n">
        <x:v>73</x:v>
      </x:c>
      <x:c r="L29" s="91" t="str">
        <x:v>エース / 山岳アシスト / 山岳番手</x:v>
      </x:c>
      <x:c r="M29" s="88" t="n">
        <x:v>7650</x:v>
      </x:c>
      <x:c r="N29" s="85" t="n">
        <x:v>60</x:v>
      </x:c>
      <x:c r="O29" s="85" t="n">
        <x:v>71</x:v>
      </x:c>
      <x:c r="P29" s="85" t="n">
        <x:v>72</x:v>
      </x:c>
      <x:c r="Q29" s="85" t="n">
        <x:v>68</x:v>
      </x:c>
      <x:c r="R29" s="85" t="n">
        <x:v>80</x:v>
      </x:c>
      <x:c r="S29" s="85" t="n">
        <x:v>73</x:v>
      </x:c>
      <x:c r="T29" s="85" t="n">
        <x:v>72</x:v>
      </x:c>
      <x:c r="U29" s="85" t="n">
        <x:v>68</x:v>
      </x:c>
      <x:c r="V29" s="85" t="n">
        <x:v>69</x:v>
      </x:c>
      <x:c r="W29" s="85" t="n">
        <x:v>50</x:v>
      </x:c>
      <x:c r="X29" s="85" t="n">
        <x:v>77</x:v>
      </x:c>
      <x:c r="Y29" s="85" t="n">
        <x:v>77</x:v>
      </x:c>
      <x:c r="Z29" s="85" t="n">
        <x:v>72</x:v>
      </x:c>
      <x:c r="AA29" s="85" t="n">
        <x:v>71</x:v>
      </x:c>
      <x:c r="AB29" s="85" t="n">
        <x:v>76</x:v>
      </x:c>
      <x:c r="AC29" s="91" t="str">
        <x:v>2026 UCI WorldTeam名簿掲載</x:v>
      </x:c>
      <x:c r="AD29" s="91" t="str">
        <x:v>https://en.wikipedia.org/wiki/List_of_2026_UCI_WorldTeams_and_riders</x:v>
      </x:c>
      <x:c r="AE29" s="91" t="str">
        <x:v>能力・適性・Credit整合済</x:v>
      </x:c>
      <x:c r="AF29" s="91" t="str">
        <x:v>https://en.wikipedia.org/wiki/Special:Search?search=Warren%20Barguil%20cyclist</x:v>
      </x:c>
    </x:row>
    <x:row r="30" ht="26" customHeight="1">
      <x:c r="A30" s="82" t="n">
        <x:v>26</x:v>
      </x:c>
      <x:c r="B30" s="82" t="str">
        <x:v>Maxim Van Gils</x:v>
      </x:c>
      <x:c r="C30" s="143" t="str"/>
      <x:c r="D30" s="82" t="str">
        <x:v>ベルギー</x:v>
      </x:c>
      <x:c r="E30" s="82" t="str">
        <x:v>Red Bull–Bora–Hansgrohe</x:v>
      </x:c>
      <x:c r="F30" s="82" t="str">
        <x:v>1999-11-25</x:v>
      </x:c>
      <x:c r="G30" s="82" t="str">
        <x:v>現役確認済</x:v>
      </x:c>
      <x:c r="H30" s="82" t="str">
        <x:v>パンチャー</x:v>
      </x:c>
      <x:c r="I30" s="82" t="str">
        <x:v>クライマー</x:v>
      </x:c>
      <x:c r="J30" s="85" t="n">
        <x:v>85</x:v>
      </x:c>
      <x:c r="K30" s="85" t="n">
        <x:v>71</x:v>
      </x:c>
      <x:c r="L30" s="91" t="str">
        <x:v>エース / ステージハンター / 山岳賞ハンター</x:v>
      </x:c>
      <x:c r="M30" s="88" t="n">
        <x:v>7400</x:v>
      </x:c>
      <x:c r="N30" s="85" t="n">
        <x:v>69</x:v>
      </x:c>
      <x:c r="O30" s="85" t="n">
        <x:v>79</x:v>
      </x:c>
      <x:c r="P30" s="85" t="n">
        <x:v>83</x:v>
      </x:c>
      <x:c r="Q30" s="85" t="n">
        <x:v>69</x:v>
      </x:c>
      <x:c r="R30" s="85" t="n">
        <x:v>73</x:v>
      </x:c>
      <x:c r="S30" s="85" t="n">
        <x:v>67</x:v>
      </x:c>
      <x:c r="T30" s="85" t="n">
        <x:v>67</x:v>
      </x:c>
      <x:c r="U30" s="85" t="n">
        <x:v>74</x:v>
      </x:c>
      <x:c r="V30" s="85" t="n">
        <x:v>76</x:v>
      </x:c>
      <x:c r="W30" s="85" t="n">
        <x:v>50</x:v>
      </x:c>
      <x:c r="X30" s="85" t="n">
        <x:v>72</x:v>
      </x:c>
      <x:c r="Y30" s="85" t="n">
        <x:v>72</x:v>
      </x:c>
      <x:c r="Z30" s="85" t="n">
        <x:v>64</x:v>
      </x:c>
      <x:c r="AA30" s="85" t="n">
        <x:v>78</x:v>
      </x:c>
      <x:c r="AB30" s="85" t="n">
        <x:v>76</x:v>
      </x:c>
      <x:c r="AC30" s="91" t="str">
        <x:v>2026 UCI WorldTeam名簿掲載</x:v>
      </x:c>
      <x:c r="AD30" s="91" t="str">
        <x:v>https://en.wikipedia.org/wiki/List_of_2026_UCI_WorldTeams_and_riders</x:v>
      </x:c>
      <x:c r="AE30" s="91" t="str">
        <x:v>能力・適性・Credit整合済</x:v>
      </x:c>
      <x:c r="AF30" s="91" t="str">
        <x:v>https://en.wikipedia.org/wiki/Special:Search?search=Maxim%20Van%20Gils%20cyclist</x:v>
      </x:c>
    </x:row>
    <x:row r="31" ht="26" customHeight="1">
      <x:c r="A31" s="82" t="n">
        <x:v>27</x:v>
      </x:c>
      <x:c r="B31" s="82" t="str">
        <x:v>Pascal Ackermann</x:v>
      </x:c>
      <x:c r="C31" s="143" t="str"/>
      <x:c r="D31" s="82" t="str">
        <x:v>ドイツ</x:v>
      </x:c>
      <x:c r="E31" s="82" t="str">
        <x:v>Team Jayco–AlUla</x:v>
      </x:c>
      <x:c r="F31" s="82" t="str">
        <x:v>1994-01-17</x:v>
      </x:c>
      <x:c r="G31" s="82" t="str">
        <x:v>現役確認済</x:v>
      </x:c>
      <x:c r="H31" s="82" t="str">
        <x:v>スプリンター</x:v>
      </x:c>
      <x:c r="I31" s="82" t="str">
        <x:v>TT・ルーラー型</x:v>
      </x:c>
      <x:c r="J31" s="85" t="n">
        <x:v>85</x:v>
      </x:c>
      <x:c r="K31" s="85" t="n">
        <x:v>70</x:v>
      </x:c>
      <x:c r="L31" s="91" t="str">
        <x:v>エース / リードアウト / 最終発射台</x:v>
      </x:c>
      <x:c r="M31" s="88" t="n">
        <x:v>7050</x:v>
      </x:c>
      <x:c r="N31" s="85" t="n">
        <x:v>82</x:v>
      </x:c>
      <x:c r="O31" s="85" t="n">
        <x:v>81</x:v>
      </x:c>
      <x:c r="P31" s="85" t="n">
        <x:v>68</x:v>
      </x:c>
      <x:c r="Q31" s="85" t="n">
        <x:v>74</x:v>
      </x:c>
      <x:c r="R31" s="85" t="n">
        <x:v>59</x:v>
      </x:c>
      <x:c r="S31" s="85" t="n">
        <x:v>66</x:v>
      </x:c>
      <x:c r="T31" s="85" t="n">
        <x:v>66</x:v>
      </x:c>
      <x:c r="U31" s="85" t="n">
        <x:v>69</x:v>
      </x:c>
      <x:c r="V31" s="85" t="n">
        <x:v>72</x:v>
      </x:c>
      <x:c r="W31" s="85" t="n">
        <x:v>50</x:v>
      </x:c>
      <x:c r="X31" s="85" t="n">
        <x:v>69</x:v>
      </x:c>
      <x:c r="Y31" s="85" t="n">
        <x:v>69</x:v>
      </x:c>
      <x:c r="Z31" s="85" t="n">
        <x:v>67</x:v>
      </x:c>
      <x:c r="AA31" s="85" t="n">
        <x:v>80</x:v>
      </x:c>
      <x:c r="AB31" s="85" t="n">
        <x:v>66</x:v>
      </x:c>
      <x:c r="AC31" s="91" t="str">
        <x:v>2026 UCI WorldTeam名簿掲載</x:v>
      </x:c>
      <x:c r="AD31" s="91" t="str">
        <x:v>https://en.wikipedia.org/wiki/List_of_2026_UCI_WorldTeams_and_riders</x:v>
      </x:c>
      <x:c r="AE31" s="91" t="str">
        <x:v>能力・適性・Credit整合済</x:v>
      </x:c>
      <x:c r="AF31" s="91" t="str">
        <x:v>https://en.wikipedia.org/wiki/Special:Search?search=Pascal%20Ackermann%20cyclist</x:v>
      </x:c>
    </x:row>
    <x:row r="32" ht="26" customHeight="1">
      <x:c r="A32" s="82" t="n">
        <x:v>28</x:v>
      </x:c>
      <x:c r="B32" s="82" t="str">
        <x:v>Giulio Ciccone</x:v>
      </x:c>
      <x:c r="C32" s="143" t="str"/>
      <x:c r="D32" s="82" t="str">
        <x:v>イタリア</x:v>
      </x:c>
      <x:c r="E32" s="82" t="str">
        <x:v>Lidl–Trek</x:v>
      </x:c>
      <x:c r="F32" s="82" t="str">
        <x:v>1994-12-20</x:v>
      </x:c>
      <x:c r="G32" s="82" t="str">
        <x:v>現役確認済</x:v>
      </x:c>
      <x:c r="H32" s="82" t="str">
        <x:v>クライマー</x:v>
      </x:c>
      <x:c r="I32" s="82" t="str">
        <x:v>パンチャー</x:v>
      </x:c>
      <x:c r="J32" s="85" t="n">
        <x:v>84</x:v>
      </x:c>
      <x:c r="K32" s="85" t="n">
        <x:v>75</x:v>
      </x:c>
      <x:c r="L32" s="91" t="str">
        <x:v>エース / 山岳アシスト / 山岳ペースメーカー</x:v>
      </x:c>
      <x:c r="M32" s="88" t="n">
        <x:v>8200</x:v>
      </x:c>
      <x:c r="N32" s="85" t="n">
        <x:v>60</x:v>
      </x:c>
      <x:c r="O32" s="85" t="n">
        <x:v>72</x:v>
      </x:c>
      <x:c r="P32" s="85" t="n">
        <x:v>73</x:v>
      </x:c>
      <x:c r="Q32" s="85" t="n">
        <x:v>68</x:v>
      </x:c>
      <x:c r="R32" s="85" t="n">
        <x:v>82</x:v>
      </x:c>
      <x:c r="S32" s="85" t="n">
        <x:v>75</x:v>
      </x:c>
      <x:c r="T32" s="85" t="n">
        <x:v>74</x:v>
      </x:c>
      <x:c r="U32" s="85" t="n">
        <x:v>68</x:v>
      </x:c>
      <x:c r="V32" s="85" t="n">
        <x:v>69</x:v>
      </x:c>
      <x:c r="W32" s="85" t="n">
        <x:v>50</x:v>
      </x:c>
      <x:c r="X32" s="85" t="n">
        <x:v>78</x:v>
      </x:c>
      <x:c r="Y32" s="85" t="n">
        <x:v>78</x:v>
      </x:c>
      <x:c r="Z32" s="85" t="n">
        <x:v>73</x:v>
      </x:c>
      <x:c r="AA32" s="85" t="n">
        <x:v>71</x:v>
      </x:c>
      <x:c r="AB32" s="85" t="n">
        <x:v>77</x:v>
      </x:c>
      <x:c r="AC32" s="91" t="str">
        <x:v>2026 UCI WorldTeam名簿掲載</x:v>
      </x:c>
      <x:c r="AD32" s="91" t="str">
        <x:v>https://en.wikipedia.org/wiki/List_of_2026_UCI_WorldTeams_and_riders</x:v>
      </x:c>
      <x:c r="AE32" s="91" t="str">
        <x:v>能力・適性・Credit整合済</x:v>
      </x:c>
      <x:c r="AF32" s="91" t="str">
        <x:v>https://en.wikipedia.org/wiki/Special:Search?search=Giulio%20Ciccone%20cyclist</x:v>
      </x:c>
    </x:row>
    <x:row r="33" ht="26" customHeight="1">
      <x:c r="A33" s="82" t="n">
        <x:v>29</x:v>
      </x:c>
      <x:c r="B33" s="82" t="str">
        <x:v>Jai Hindley</x:v>
      </x:c>
      <x:c r="C33" s="143" t="str"/>
      <x:c r="D33" s="82" t="str">
        <x:v>オーストラリア</x:v>
      </x:c>
      <x:c r="E33" s="82" t="str">
        <x:v>Red Bull–Bora–Hansgrohe</x:v>
      </x:c>
      <x:c r="F33" s="82" t="str">
        <x:v>1996-05-05</x:v>
      </x:c>
      <x:c r="G33" s="82" t="str">
        <x:v>現役確認済</x:v>
      </x:c>
      <x:c r="H33" s="82" t="str">
        <x:v>総合型</x:v>
      </x:c>
      <x:c r="I33" s="82" t="str">
        <x:v>クライマー</x:v>
      </x:c>
      <x:c r="J33" s="85" t="n">
        <x:v>84</x:v>
      </x:c>
      <x:c r="K33" s="85" t="n">
        <x:v>75</x:v>
      </x:c>
      <x:c r="L33" s="91" t="str">
        <x:v>エース / 山岳賞ハンター / 山岳アシスト / 山岳番手</x:v>
      </x:c>
      <x:c r="M33" s="88" t="n">
        <x:v>7750</x:v>
      </x:c>
      <x:c r="N33" s="85" t="n">
        <x:v>58</x:v>
      </x:c>
      <x:c r="O33" s="85" t="n">
        <x:v>70</x:v>
      </x:c>
      <x:c r="P33" s="85" t="n">
        <x:v>73</x:v>
      </x:c>
      <x:c r="Q33" s="85" t="n">
        <x:v>71</x:v>
      </x:c>
      <x:c r="R33" s="85" t="n">
        <x:v>79</x:v>
      </x:c>
      <x:c r="S33" s="85" t="n">
        <x:v>76</x:v>
      </x:c>
      <x:c r="T33" s="85" t="n">
        <x:v>75</x:v>
      </x:c>
      <x:c r="U33" s="85" t="n">
        <x:v>69</x:v>
      </x:c>
      <x:c r="V33" s="85" t="n">
        <x:v>69</x:v>
      </x:c>
      <x:c r="W33" s="85" t="n">
        <x:v>50</x:v>
      </x:c>
      <x:c r="X33" s="85" t="n">
        <x:v>83</x:v>
      </x:c>
      <x:c r="Y33" s="85" t="n">
        <x:v>81</x:v>
      </x:c>
      <x:c r="Z33" s="85" t="n">
        <x:v>70</x:v>
      </x:c>
      <x:c r="AA33" s="85" t="n">
        <x:v>76</x:v>
      </x:c>
      <x:c r="AB33" s="85" t="n">
        <x:v>69</x:v>
      </x:c>
      <x:c r="AC33" s="91" t="str">
        <x:v>2026 UCI WorldTeam名簿掲載</x:v>
      </x:c>
      <x:c r="AD33" s="91" t="str">
        <x:v>https://en.wikipedia.org/wiki/List_of_2026_UCI_WorldTeams_and_riders</x:v>
      </x:c>
      <x:c r="AE33" s="91" t="str">
        <x:v>能力・適性・Credit整合済</x:v>
      </x:c>
      <x:c r="AF33" s="91" t="str">
        <x:v>https://en.wikipedia.org/wiki/Special:Search?search=Jai%20Hindley%20cyclist</x:v>
      </x:c>
    </x:row>
    <x:row r="34" ht="26" customHeight="1">
      <x:c r="A34" s="82" t="n">
        <x:v>30</x:v>
      </x:c>
      <x:c r="B34" s="82" t="str">
        <x:v>Matej Mohoric</x:v>
      </x:c>
      <x:c r="C34" s="143" t="str"/>
      <x:c r="D34" s="82" t="str">
        <x:v>スロベニア</x:v>
      </x:c>
      <x:c r="E34" s="82" t="str">
        <x:v>Team Bahrain Victorious</x:v>
      </x:c>
      <x:c r="F34" s="82" t="str">
        <x:v>1994-10-19</x:v>
      </x:c>
      <x:c r="G34" s="82" t="str">
        <x:v>現役確認済</x:v>
      </x:c>
      <x:c r="H34" s="82" t="str">
        <x:v>クラシック型</x:v>
      </x:c>
      <x:c r="I34" s="82" t="str">
        <x:v>パンチャー</x:v>
      </x:c>
      <x:c r="J34" s="85" t="n">
        <x:v>84</x:v>
      </x:c>
      <x:c r="K34" s="85" t="n">
        <x:v>78</x:v>
      </x:c>
      <x:c r="L34" s="91" t="str">
        <x:v>エース / 石畳護衛 / 下り牽引 / 超ロングスパート / ブリッジャー</x:v>
      </x:c>
      <x:c r="M34" s="88" t="n">
        <x:v>7650</x:v>
      </x:c>
      <x:c r="N34" s="85" t="n">
        <x:v>76</x:v>
      </x:c>
      <x:c r="O34" s="85" t="n">
        <x:v>74</x:v>
      </x:c>
      <x:c r="P34" s="85" t="n">
        <x:v>76</x:v>
      </x:c>
      <x:c r="Q34" s="85" t="n">
        <x:v>76</x:v>
      </x:c>
      <x:c r="R34" s="85" t="n">
        <x:v>68</x:v>
      </x:c>
      <x:c r="S34" s="85" t="n">
        <x:v>73</x:v>
      </x:c>
      <x:c r="T34" s="85" t="n">
        <x:v>78</x:v>
      </x:c>
      <x:c r="U34" s="85" t="n">
        <x:v>81</x:v>
      </x:c>
      <x:c r="V34" s="85" t="n">
        <x:v>82</x:v>
      </x:c>
      <x:c r="W34" s="85" t="n">
        <x:v>64</x:v>
      </x:c>
      <x:c r="X34" s="85" t="n">
        <x:v>71</x:v>
      </x:c>
      <x:c r="Y34" s="85" t="n">
        <x:v>71</x:v>
      </x:c>
      <x:c r="Z34" s="85" t="n">
        <x:v>76</x:v>
      </x:c>
      <x:c r="AA34" s="85" t="n">
        <x:v>71</x:v>
      </x:c>
      <x:c r="AB34" s="85" t="n">
        <x:v>80</x:v>
      </x:c>
      <x:c r="AC34" s="91" t="str">
        <x:v>2026 UCI WorldTeam名簿掲載</x:v>
      </x:c>
      <x:c r="AD34" s="91" t="str">
        <x:v>https://en.wikipedia.org/wiki/List_of_2026_UCI_WorldTeams_and_riders</x:v>
      </x:c>
      <x:c r="AE34" s="91" t="str">
        <x:v>能力・適性・Credit整合済</x:v>
      </x:c>
      <x:c r="AF34" s="91" t="str">
        <x:v>https://en.wikipedia.org/wiki/Special:Search?search=Matej%20Mohoric%20cyclist</x:v>
      </x:c>
    </x:row>
    <x:row r="35" ht="26" customHeight="1">
      <x:c r="A35" s="82" t="n">
        <x:v>31</x:v>
      </x:c>
      <x:c r="B35" s="82" t="str">
        <x:v>David Gaudu</x:v>
      </x:c>
      <x:c r="C35" s="143" t="str"/>
      <x:c r="D35" s="82" t="str">
        <x:v>フランス</x:v>
      </x:c>
      <x:c r="E35" s="82" t="str">
        <x:v>Groupama–FDJ United</x:v>
      </x:c>
      <x:c r="F35" s="82" t="str">
        <x:v>1996-10-10</x:v>
      </x:c>
      <x:c r="G35" s="82" t="str">
        <x:v>現役確認済</x:v>
      </x:c>
      <x:c r="H35" s="82" t="str">
        <x:v>クライマー</x:v>
      </x:c>
      <x:c r="I35" s="82" t="str">
        <x:v>総合型</x:v>
      </x:c>
      <x:c r="J35" s="85" t="n">
        <x:v>84</x:v>
      </x:c>
      <x:c r="K35" s="85" t="n">
        <x:v>74</x:v>
      </x:c>
      <x:c r="L35" s="91" t="str">
        <x:v>エース / 山岳賞ハンター / 山岳アシスト / 集団コントローラー</x:v>
      </x:c>
      <x:c r="M35" s="88" t="n">
        <x:v>7650</x:v>
      </x:c>
      <x:c r="N35" s="85" t="n">
        <x:v>57</x:v>
      </x:c>
      <x:c r="O35" s="85" t="n">
        <x:v>70</x:v>
      </x:c>
      <x:c r="P35" s="85" t="n">
        <x:v>71</x:v>
      </x:c>
      <x:c r="Q35" s="85" t="n">
        <x:v>67</x:v>
      </x:c>
      <x:c r="R35" s="85" t="n">
        <x:v>79</x:v>
      </x:c>
      <x:c r="S35" s="85" t="n">
        <x:v>76</x:v>
      </x:c>
      <x:c r="T35" s="85" t="n">
        <x:v>75</x:v>
      </x:c>
      <x:c r="U35" s="85" t="n">
        <x:v>68</x:v>
      </x:c>
      <x:c r="V35" s="85" t="n">
        <x:v>68</x:v>
      </x:c>
      <x:c r="W35" s="85" t="n">
        <x:v>50</x:v>
      </x:c>
      <x:c r="X35" s="85" t="n">
        <x:v>78</x:v>
      </x:c>
      <x:c r="Y35" s="85" t="n">
        <x:v>78</x:v>
      </x:c>
      <x:c r="Z35" s="85" t="n">
        <x:v>72</x:v>
      </x:c>
      <x:c r="AA35" s="85" t="n">
        <x:v>71</x:v>
      </x:c>
      <x:c r="AB35" s="85" t="n">
        <x:v>74</x:v>
      </x:c>
      <x:c r="AC35" s="91" t="str">
        <x:v>2026 UCI WorldTeam名簿掲載</x:v>
      </x:c>
      <x:c r="AD35" s="91" t="str">
        <x:v>https://en.wikipedia.org/wiki/List_of_2026_UCI_WorldTeams_and_riders</x:v>
      </x:c>
      <x:c r="AE35" s="91" t="str">
        <x:v>能力・適性・Credit整合済</x:v>
      </x:c>
      <x:c r="AF35" s="91" t="str">
        <x:v>https://en.wikipedia.org/wiki/Special:Search?search=David%20Gaudu%20cyclist</x:v>
      </x:c>
    </x:row>
    <x:row r="36" ht="26" customHeight="1">
      <x:c r="A36" s="82" t="n">
        <x:v>32</x:v>
      </x:c>
      <x:c r="B36" s="82" t="str">
        <x:v>Tiesj Benoot</x:v>
      </x:c>
      <x:c r="C36" s="143" t="str"/>
      <x:c r="D36" s="82" t="str">
        <x:v>ベルギー</x:v>
      </x:c>
      <x:c r="E36" s="82" t="str">
        <x:v>Decathlon–CMA CGM</x:v>
      </x:c>
      <x:c r="F36" s="82" t="str">
        <x:v>1994-03-11</x:v>
      </x:c>
      <x:c r="G36" s="82" t="str">
        <x:v>現役確認済</x:v>
      </x:c>
      <x:c r="H36" s="82" t="str">
        <x:v>クラシック型</x:v>
      </x:c>
      <x:c r="I36" s="82" t="str">
        <x:v>パンチャー</x:v>
      </x:c>
      <x:c r="J36" s="85" t="n">
        <x:v>84</x:v>
      </x:c>
      <x:c r="K36" s="85" t="n">
        <x:v>78</x:v>
      </x:c>
      <x:c r="L36" s="91" t="str">
        <x:v>エース / 石畳護衛 / カウンターアタッカー</x:v>
      </x:c>
      <x:c r="M36" s="88" t="n">
        <x:v>7500</x:v>
      </x:c>
      <x:c r="N36" s="85" t="n">
        <x:v>75</x:v>
      </x:c>
      <x:c r="O36" s="85" t="n">
        <x:v>75</x:v>
      </x:c>
      <x:c r="P36" s="85" t="n">
        <x:v>76</x:v>
      </x:c>
      <x:c r="Q36" s="85" t="n">
        <x:v>76</x:v>
      </x:c>
      <x:c r="R36" s="85" t="n">
        <x:v>68</x:v>
      </x:c>
      <x:c r="S36" s="85" t="n">
        <x:v>72</x:v>
      </x:c>
      <x:c r="T36" s="85" t="n">
        <x:v>77</x:v>
      </x:c>
      <x:c r="U36" s="85" t="n">
        <x:v>79</x:v>
      </x:c>
      <x:c r="V36" s="85" t="n">
        <x:v>80</x:v>
      </x:c>
      <x:c r="W36" s="85" t="n">
        <x:v>64</x:v>
      </x:c>
      <x:c r="X36" s="85" t="n">
        <x:v>71</x:v>
      </x:c>
      <x:c r="Y36" s="85" t="n">
        <x:v>71</x:v>
      </x:c>
      <x:c r="Z36" s="85" t="n">
        <x:v>76</x:v>
      </x:c>
      <x:c r="AA36" s="85" t="n">
        <x:v>72</x:v>
      </x:c>
      <x:c r="AB36" s="85" t="n">
        <x:v>83</x:v>
      </x:c>
      <x:c r="AC36" s="91" t="str">
        <x:v>2026 UCI WorldTeam名簿掲載</x:v>
      </x:c>
      <x:c r="AD36" s="91" t="str">
        <x:v>https://en.wikipedia.org/wiki/List_of_2026_UCI_WorldTeams_and_riders</x:v>
      </x:c>
      <x:c r="AE36" s="91" t="str">
        <x:v>能力・適性・Credit整合済</x:v>
      </x:c>
      <x:c r="AF36" s="91" t="str">
        <x:v>https://en.wikipedia.org/wiki/Special:Search?search=Tiesj%20Benoot%20cyclist</x:v>
      </x:c>
    </x:row>
    <x:row r="37" ht="26" customHeight="1">
      <x:c r="A37" s="82" t="n">
        <x:v>33</x:v>
      </x:c>
      <x:c r="B37" s="82" t="str">
        <x:v>Valentin Madouas</x:v>
      </x:c>
      <x:c r="C37" s="143" t="str"/>
      <x:c r="D37" s="82" t="str">
        <x:v>フランス</x:v>
      </x:c>
      <x:c r="E37" s="82" t="str">
        <x:v>Groupama–FDJ United</x:v>
      </x:c>
      <x:c r="F37" s="82" t="str">
        <x:v>1996-07-12</x:v>
      </x:c>
      <x:c r="G37" s="82" t="str">
        <x:v>現役確認済</x:v>
      </x:c>
      <x:c r="H37" s="82" t="str">
        <x:v>パンチャー</x:v>
      </x:c>
      <x:c r="I37" s="82" t="str">
        <x:v>クラシック型</x:v>
      </x:c>
      <x:c r="J37" s="85" t="n">
        <x:v>84</x:v>
      </x:c>
      <x:c r="K37" s="85" t="n">
        <x:v>72</x:v>
      </x:c>
      <x:c r="L37" s="91" t="str">
        <x:v>エース / ステージハンター / 下り牽引 / カウンターアタッカー</x:v>
      </x:c>
      <x:c r="M37" s="88" t="n">
        <x:v>7250</x:v>
      </x:c>
      <x:c r="N37" s="85" t="n">
        <x:v>74</x:v>
      </x:c>
      <x:c r="O37" s="85" t="n">
        <x:v>79</x:v>
      </x:c>
      <x:c r="P37" s="85" t="n">
        <x:v>84</x:v>
      </x:c>
      <x:c r="Q37" s="85" t="n">
        <x:v>70</x:v>
      </x:c>
      <x:c r="R37" s="85" t="n">
        <x:v>72</x:v>
      </x:c>
      <x:c r="S37" s="85" t="n">
        <x:v>66</x:v>
      </x:c>
      <x:c r="T37" s="85" t="n">
        <x:v>66</x:v>
      </x:c>
      <x:c r="U37" s="85" t="n">
        <x:v>75</x:v>
      </x:c>
      <x:c r="V37" s="85" t="n">
        <x:v>77</x:v>
      </x:c>
      <x:c r="W37" s="85" t="n">
        <x:v>50</x:v>
      </x:c>
      <x:c r="X37" s="85" t="n">
        <x:v>71</x:v>
      </x:c>
      <x:c r="Y37" s="85" t="n">
        <x:v>71</x:v>
      </x:c>
      <x:c r="Z37" s="85" t="n">
        <x:v>67</x:v>
      </x:c>
      <x:c r="AA37" s="85" t="n">
        <x:v>77</x:v>
      </x:c>
      <x:c r="AB37" s="85" t="n">
        <x:v>76</x:v>
      </x:c>
      <x:c r="AC37" s="91" t="str">
        <x:v>2026 UCI WorldTeam名簿掲載</x:v>
      </x:c>
      <x:c r="AD37" s="91" t="str">
        <x:v>https://en.wikipedia.org/wiki/List_of_2026_UCI_WorldTeams_and_riders</x:v>
      </x:c>
      <x:c r="AE37" s="91" t="str">
        <x:v>能力・適性・Credit整合済</x:v>
      </x:c>
      <x:c r="AF37" s="91" t="str">
        <x:v>https://en.wikipedia.org/wiki/Special:Search?search=Valentin%20Madouas%20cyclist</x:v>
      </x:c>
    </x:row>
    <x:row r="38" ht="26" customHeight="1">
      <x:c r="A38" s="82" t="n">
        <x:v>34</x:v>
      </x:c>
      <x:c r="B38" s="82" t="str">
        <x:v>Florian Lipowitz</x:v>
      </x:c>
      <x:c r="C38" s="143" t="str"/>
      <x:c r="D38" s="82" t="str">
        <x:v>ドイツ</x:v>
      </x:c>
      <x:c r="E38" s="82" t="str">
        <x:v>Red Bull–Bora–Hansgrohe</x:v>
      </x:c>
      <x:c r="F38" s="82" t="str">
        <x:v>2000-09-21</x:v>
      </x:c>
      <x:c r="G38" s="82" t="str">
        <x:v>現役確認済</x:v>
      </x:c>
      <x:c r="H38" s="82" t="str">
        <x:v>総合型</x:v>
      </x:c>
      <x:c r="I38" s="82" t="str">
        <x:v>クライマー</x:v>
      </x:c>
      <x:c r="J38" s="85" t="n">
        <x:v>84</x:v>
      </x:c>
      <x:c r="K38" s="85" t="n">
        <x:v>75</x:v>
      </x:c>
      <x:c r="L38" s="91" t="str">
        <x:v>エース / ロードキャプテン / 山岳アシスト</x:v>
      </x:c>
      <x:c r="M38" s="88" t="n">
        <x:v>7250</x:v>
      </x:c>
      <x:c r="N38" s="85" t="n">
        <x:v>58</x:v>
      </x:c>
      <x:c r="O38" s="85" t="n">
        <x:v>69</x:v>
      </x:c>
      <x:c r="P38" s="85" t="n">
        <x:v>73</x:v>
      </x:c>
      <x:c r="Q38" s="85" t="n">
        <x:v>70</x:v>
      </x:c>
      <x:c r="R38" s="85" t="n">
        <x:v>77</x:v>
      </x:c>
      <x:c r="S38" s="85" t="n">
        <x:v>74</x:v>
      </x:c>
      <x:c r="T38" s="85" t="n">
        <x:v>73</x:v>
      </x:c>
      <x:c r="U38" s="85" t="n">
        <x:v>69</x:v>
      </x:c>
      <x:c r="V38" s="85" t="n">
        <x:v>69</x:v>
      </x:c>
      <x:c r="W38" s="85" t="n">
        <x:v>50</x:v>
      </x:c>
      <x:c r="X38" s="85" t="n">
        <x:v>81</x:v>
      </x:c>
      <x:c r="Y38" s="85" t="n">
        <x:v>81</x:v>
      </x:c>
      <x:c r="Z38" s="85" t="n">
        <x:v>70</x:v>
      </x:c>
      <x:c r="AA38" s="85" t="n">
        <x:v>75</x:v>
      </x:c>
      <x:c r="AB38" s="85" t="n">
        <x:v>67</x:v>
      </x:c>
      <x:c r="AC38" s="91" t="str">
        <x:v>2026 UCI WorldTeam名簿掲載</x:v>
      </x:c>
      <x:c r="AD38" s="91" t="str">
        <x:v>https://en.wikipedia.org/wiki/List_of_2026_UCI_WorldTeams_and_riders</x:v>
      </x:c>
      <x:c r="AE38" s="91" t="str">
        <x:v>能力・適性・Credit整合済</x:v>
      </x:c>
      <x:c r="AF38" s="91" t="str">
        <x:v>https://en.wikipedia.org/wiki/Special:Search?search=Florian%20Lipowitz%20cyclist</x:v>
      </x:c>
    </x:row>
    <x:row r="39" ht="26" customHeight="1">
      <x:c r="A39" s="82" t="n">
        <x:v>35</x:v>
      </x:c>
      <x:c r="B39" s="82" t="str">
        <x:v>Pello Bilbao</x:v>
      </x:c>
      <x:c r="C39" s="143" t="str"/>
      <x:c r="D39" s="82" t="str">
        <x:v>スペイン</x:v>
      </x:c>
      <x:c r="E39" s="82" t="str">
        <x:v>Team Bahrain Victorious</x:v>
      </x:c>
      <x:c r="F39" s="82" t="str">
        <x:v>1990-02-25</x:v>
      </x:c>
      <x:c r="G39" s="82" t="str">
        <x:v>現役確認済</x:v>
      </x:c>
      <x:c r="H39" s="82" t="str">
        <x:v>パンチャー</x:v>
      </x:c>
      <x:c r="I39" s="82" t="str">
        <x:v>総合型</x:v>
      </x:c>
      <x:c r="J39" s="85" t="n">
        <x:v>84</x:v>
      </x:c>
      <x:c r="K39" s="85" t="n">
        <x:v>72</x:v>
      </x:c>
      <x:c r="L39" s="91" t="str">
        <x:v>エース / ステージハンター / 下り牽引 / 集団コントローラー / カウンターアタッカー</x:v>
      </x:c>
      <x:c r="M39" s="88" t="n">
        <x:v>7150</x:v>
      </x:c>
      <x:c r="N39" s="85" t="n">
        <x:v>70</x:v>
      </x:c>
      <x:c r="O39" s="85" t="n">
        <x:v>79</x:v>
      </x:c>
      <x:c r="P39" s="85" t="n">
        <x:v>81</x:v>
      </x:c>
      <x:c r="Q39" s="85" t="n">
        <x:v>70</x:v>
      </x:c>
      <x:c r="R39" s="85" t="n">
        <x:v>73</x:v>
      </x:c>
      <x:c r="S39" s="85" t="n">
        <x:v>66</x:v>
      </x:c>
      <x:c r="T39" s="85" t="n">
        <x:v>66</x:v>
      </x:c>
      <x:c r="U39" s="85" t="n">
        <x:v>75</x:v>
      </x:c>
      <x:c r="V39" s="85" t="n">
        <x:v>77</x:v>
      </x:c>
      <x:c r="W39" s="85" t="n">
        <x:v>50</x:v>
      </x:c>
      <x:c r="X39" s="85" t="n">
        <x:v>73</x:v>
      </x:c>
      <x:c r="Y39" s="85" t="n">
        <x:v>72</x:v>
      </x:c>
      <x:c r="Z39" s="85" t="n">
        <x:v>67</x:v>
      </x:c>
      <x:c r="AA39" s="85" t="n">
        <x:v>76</x:v>
      </x:c>
      <x:c r="AB39" s="85" t="n">
        <x:v>78</x:v>
      </x:c>
      <x:c r="AC39" s="91" t="str">
        <x:v>2026 UCI WorldTeam名簿掲載</x:v>
      </x:c>
      <x:c r="AD39" s="91" t="str">
        <x:v>https://en.wikipedia.org/wiki/List_of_2026_UCI_WorldTeams_and_riders</x:v>
      </x:c>
      <x:c r="AE39" s="91" t="str">
        <x:v>能力・適性・Credit整合済</x:v>
      </x:c>
      <x:c r="AF39" s="91" t="str">
        <x:v>https://en.wikipedia.org/wiki/Special:Search?search=Pello%20Bilbao%20cyclist</x:v>
      </x:c>
    </x:row>
    <x:row r="40" ht="26" customHeight="1">
      <x:c r="A40" s="82" t="n">
        <x:v>36</x:v>
      </x:c>
      <x:c r="B40" s="82" t="str">
        <x:v>Romain Gregoire</x:v>
      </x:c>
      <x:c r="C40" s="143" t="str"/>
      <x:c r="D40" s="82" t="str">
        <x:v>フランス</x:v>
      </x:c>
      <x:c r="E40" s="82" t="str">
        <x:v>Groupama–FDJ United</x:v>
      </x:c>
      <x:c r="F40" s="82" t="str">
        <x:v>2003-01-21</x:v>
      </x:c>
      <x:c r="G40" s="82" t="str">
        <x:v>現役確認済</x:v>
      </x:c>
      <x:c r="H40" s="82" t="str">
        <x:v>パンチャー</x:v>
      </x:c>
      <x:c r="I40" s="82" t="str">
        <x:v>スプリンター</x:v>
      </x:c>
      <x:c r="J40" s="85" t="n">
        <x:v>84</x:v>
      </x:c>
      <x:c r="K40" s="85" t="n">
        <x:v>71</x:v>
      </x:c>
      <x:c r="L40" s="91" t="str">
        <x:v>エース / ステージハンター / スプリントトレイン / 下り牽引</x:v>
      </x:c>
      <x:c r="M40" s="88" t="n">
        <x:v>7100</x:v>
      </x:c>
      <x:c r="N40" s="85" t="n">
        <x:v>76</x:v>
      </x:c>
      <x:c r="O40" s="85" t="n">
        <x:v>83</x:v>
      </x:c>
      <x:c r="P40" s="85" t="n">
        <x:v>81</x:v>
      </x:c>
      <x:c r="Q40" s="85" t="n">
        <x:v>70</x:v>
      </x:c>
      <x:c r="R40" s="85" t="n">
        <x:v>72</x:v>
      </x:c>
      <x:c r="S40" s="85" t="n">
        <x:v>67</x:v>
      </x:c>
      <x:c r="T40" s="85" t="n">
        <x:v>66</x:v>
      </x:c>
      <x:c r="U40" s="85" t="n">
        <x:v>74</x:v>
      </x:c>
      <x:c r="V40" s="85" t="n">
        <x:v>76</x:v>
      </x:c>
      <x:c r="W40" s="85" t="n">
        <x:v>50</x:v>
      </x:c>
      <x:c r="X40" s="85" t="n">
        <x:v>70</x:v>
      </x:c>
      <x:c r="Y40" s="85" t="n">
        <x:v>70</x:v>
      </x:c>
      <x:c r="Z40" s="85" t="n">
        <x:v>65</x:v>
      </x:c>
      <x:c r="AA40" s="85" t="n">
        <x:v>79</x:v>
      </x:c>
      <x:c r="AB40" s="85" t="n">
        <x:v>74</x:v>
      </x:c>
      <x:c r="AC40" s="91" t="str">
        <x:v>2026 UCI WorldTeam名簿掲載</x:v>
      </x:c>
      <x:c r="AD40" s="91" t="str">
        <x:v>https://en.wikipedia.org/wiki/List_of_2026_UCI_WorldTeams_and_riders</x:v>
      </x:c>
      <x:c r="AE40" s="91" t="str">
        <x:v>能力・適性・Credit整合済</x:v>
      </x:c>
      <x:c r="AF40" s="91" t="str">
        <x:v>https://en.wikipedia.org/wiki/Special:Search?search=Romain%20Gregoire%20cyclist</x:v>
      </x:c>
    </x:row>
    <x:row r="41" ht="26" customHeight="1">
      <x:c r="A41" s="82" t="n">
        <x:v>37</x:v>
      </x:c>
      <x:c r="B41" s="82" t="str">
        <x:v>Juan Sebastian Molano</x:v>
      </x:c>
      <x:c r="C41" s="143" t="str"/>
      <x:c r="D41" s="82" t="str">
        <x:v>コロンビア</x:v>
      </x:c>
      <x:c r="E41" s="82" t="str">
        <x:v>UAE Team Emirates XRG</x:v>
      </x:c>
      <x:c r="F41" s="82" t="str">
        <x:v>1994-11-04</x:v>
      </x:c>
      <x:c r="G41" s="82" t="str">
        <x:v>現役確認済</x:v>
      </x:c>
      <x:c r="H41" s="82" t="str">
        <x:v>スプリンター</x:v>
      </x:c>
      <x:c r="I41" s="82" t="str">
        <x:v>TT・ルーラー型</x:v>
      </x:c>
      <x:c r="J41" s="85" t="n">
        <x:v>84</x:v>
      </x:c>
      <x:c r="K41" s="85" t="n">
        <x:v>71</x:v>
      </x:c>
      <x:c r="L41" s="91" t="str">
        <x:v>エース / リードアウト / 最終発射台 / 無賃乗車</x:v>
      </x:c>
      <x:c r="M41" s="88" t="n">
        <x:v>6850</x:v>
      </x:c>
      <x:c r="N41" s="85" t="n">
        <x:v>82</x:v>
      </x:c>
      <x:c r="O41" s="85" t="n">
        <x:v>81</x:v>
      </x:c>
      <x:c r="P41" s="85" t="n">
        <x:v>68</x:v>
      </x:c>
      <x:c r="Q41" s="85" t="n">
        <x:v>73</x:v>
      </x:c>
      <x:c r="R41" s="85" t="n">
        <x:v>59</x:v>
      </x:c>
      <x:c r="S41" s="85" t="n">
        <x:v>66</x:v>
      </x:c>
      <x:c r="T41" s="85" t="n">
        <x:v>66</x:v>
      </x:c>
      <x:c r="U41" s="85" t="n">
        <x:v>72</x:v>
      </x:c>
      <x:c r="V41" s="85" t="n">
        <x:v>72</x:v>
      </x:c>
      <x:c r="W41" s="85" t="n">
        <x:v>50</x:v>
      </x:c>
      <x:c r="X41" s="85" t="n">
        <x:v>69</x:v>
      </x:c>
      <x:c r="Y41" s="85" t="n">
        <x:v>69</x:v>
      </x:c>
      <x:c r="Z41" s="85" t="n">
        <x:v>67</x:v>
      </x:c>
      <x:c r="AA41" s="85" t="n">
        <x:v>78</x:v>
      </x:c>
      <x:c r="AB41" s="85" t="n">
        <x:v>66</x:v>
      </x:c>
      <x:c r="AC41" s="91" t="str">
        <x:v>2026 UCI WorldTeam名簿掲載</x:v>
      </x:c>
      <x:c r="AD41" s="91" t="str">
        <x:v>https://en.wikipedia.org/wiki/List_of_2026_UCI_WorldTeams_and_riders</x:v>
      </x:c>
      <x:c r="AE41" s="91" t="str">
        <x:v>能力・適性・Credit整合済</x:v>
      </x:c>
      <x:c r="AF41" s="91" t="str">
        <x:v>https://en.wikipedia.org/wiki/Special:Search?search=Juan%20Sebastian%20Molano%20cyclist</x:v>
      </x:c>
    </x:row>
    <x:row r="42" ht="26" customHeight="1">
      <x:c r="A42" s="82" t="n">
        <x:v>38</x:v>
      </x:c>
      <x:c r="B42" s="82" t="str">
        <x:v>Jhonatan Narvaez</x:v>
      </x:c>
      <x:c r="C42" s="143" t="str"/>
      <x:c r="D42" s="82" t="str">
        <x:v>エクアドル</x:v>
      </x:c>
      <x:c r="E42" s="82" t="str">
        <x:v>UAE Team Emirates XRG</x:v>
      </x:c>
      <x:c r="F42" s="82" t="str">
        <x:v>1997-03-04</x:v>
      </x:c>
      <x:c r="G42" s="82" t="str">
        <x:v>現役確認済</x:v>
      </x:c>
      <x:c r="H42" s="82" t="str">
        <x:v>パンチャー</x:v>
      </x:c>
      <x:c r="I42" s="82" t="str">
        <x:v>クラシック型</x:v>
      </x:c>
      <x:c r="J42" s="85" t="n">
        <x:v>83</x:v>
      </x:c>
      <x:c r="K42" s="85" t="n">
        <x:v>72</x:v>
      </x:c>
      <x:c r="L42" s="91" t="str">
        <x:v>エース / ステージハンター / 下り牽引 / カウンターアタッカー</x:v>
      </x:c>
      <x:c r="M42" s="88" t="n">
        <x:v>7250</x:v>
      </x:c>
      <x:c r="N42" s="85" t="n">
        <x:v>75</x:v>
      </x:c>
      <x:c r="O42" s="85" t="n">
        <x:v>81</x:v>
      </x:c>
      <x:c r="P42" s="85" t="n">
        <x:v>85</x:v>
      </x:c>
      <x:c r="Q42" s="85" t="n">
        <x:v>70</x:v>
      </x:c>
      <x:c r="R42" s="85" t="n">
        <x:v>72</x:v>
      </x:c>
      <x:c r="S42" s="85" t="n">
        <x:v>66</x:v>
      </x:c>
      <x:c r="T42" s="85" t="n">
        <x:v>67</x:v>
      </x:c>
      <x:c r="U42" s="85" t="n">
        <x:v>75</x:v>
      </x:c>
      <x:c r="V42" s="85" t="n">
        <x:v>77</x:v>
      </x:c>
      <x:c r="W42" s="85" t="n">
        <x:v>50</x:v>
      </x:c>
      <x:c r="X42" s="85" t="n">
        <x:v>71</x:v>
      </x:c>
      <x:c r="Y42" s="85" t="n">
        <x:v>71</x:v>
      </x:c>
      <x:c r="Z42" s="85" t="n">
        <x:v>66</x:v>
      </x:c>
      <x:c r="AA42" s="85" t="n">
        <x:v>77</x:v>
      </x:c>
      <x:c r="AB42" s="85" t="n">
        <x:v>77</x:v>
      </x:c>
      <x:c r="AC42" s="91" t="str">
        <x:v>2026 UCI WorldTeam名簿掲載</x:v>
      </x:c>
      <x:c r="AD42" s="91" t="str">
        <x:v>https://en.wikipedia.org/wiki/List_of_2026_UCI_WorldTeams_and_riders</x:v>
      </x:c>
      <x:c r="AE42" s="91" t="str">
        <x:v>能力・適性・Credit整合済</x:v>
      </x:c>
      <x:c r="AF42" s="91" t="str">
        <x:v>https://en.wikipedia.org/wiki/Special:Search?search=Jhonatan%20Narvaez%20cyclist</x:v>
      </x:c>
    </x:row>
    <x:row r="43" ht="26" customHeight="1">
      <x:c r="A43" s="82" t="n">
        <x:v>39</x:v>
      </x:c>
      <x:c r="B43" s="82" t="str">
        <x:v>Felix Gall</x:v>
      </x:c>
      <x:c r="C43" s="143" t="str"/>
      <x:c r="D43" s="82" t="str">
        <x:v>オーストリア</x:v>
      </x:c>
      <x:c r="E43" s="82" t="str">
        <x:v>Decathlon–CMA CGM</x:v>
      </x:c>
      <x:c r="F43" s="82" t="str">
        <x:v>1998-02-27</x:v>
      </x:c>
      <x:c r="G43" s="82" t="str">
        <x:v>現役確認済</x:v>
      </x:c>
      <x:c r="H43" s="82" t="str">
        <x:v>クライマー</x:v>
      </x:c>
      <x:c r="I43" s="82" t="str">
        <x:v>総合型</x:v>
      </x:c>
      <x:c r="J43" s="85" t="n">
        <x:v>83</x:v>
      </x:c>
      <x:c r="K43" s="85" t="n">
        <x:v>74</x:v>
      </x:c>
      <x:c r="L43" s="91" t="str">
        <x:v>エース / 山岳アシスト / 山岳番手 / 集団コントローラー</x:v>
      </x:c>
      <x:c r="M43" s="88" t="n">
        <x:v>7150</x:v>
      </x:c>
      <x:c r="N43" s="85" t="n">
        <x:v>57</x:v>
      </x:c>
      <x:c r="O43" s="85" t="n">
        <x:v>70</x:v>
      </x:c>
      <x:c r="P43" s="85" t="n">
        <x:v>71</x:v>
      </x:c>
      <x:c r="Q43" s="85" t="n">
        <x:v>67</x:v>
      </x:c>
      <x:c r="R43" s="85" t="n">
        <x:v>79</x:v>
      </x:c>
      <x:c r="S43" s="85" t="n">
        <x:v>74</x:v>
      </x:c>
      <x:c r="T43" s="85" t="n">
        <x:v>72</x:v>
      </x:c>
      <x:c r="U43" s="85" t="n">
        <x:v>67</x:v>
      </x:c>
      <x:c r="V43" s="85" t="n">
        <x:v>68</x:v>
      </x:c>
      <x:c r="W43" s="85" t="n">
        <x:v>50</x:v>
      </x:c>
      <x:c r="X43" s="85" t="n">
        <x:v>78</x:v>
      </x:c>
      <x:c r="Y43" s="85" t="n">
        <x:v>78</x:v>
      </x:c>
      <x:c r="Z43" s="85" t="n">
        <x:v>72</x:v>
      </x:c>
      <x:c r="AA43" s="85" t="n">
        <x:v>70</x:v>
      </x:c>
      <x:c r="AB43" s="85" t="n">
        <x:v>73</x:v>
      </x:c>
      <x:c r="AC43" s="91" t="str">
        <x:v>2026 UCI WorldTeam名簿掲載</x:v>
      </x:c>
      <x:c r="AD43" s="91" t="str">
        <x:v>https://en.wikipedia.org/wiki/List_of_2026_UCI_WorldTeams_and_riders</x:v>
      </x:c>
      <x:c r="AE43" s="91" t="str">
        <x:v>能力・適性・Credit整合済</x:v>
      </x:c>
      <x:c r="AF43" s="91" t="str">
        <x:v>https://en.wikipedia.org/wiki/Special:Search?search=Felix%20Gall%20cyclist</x:v>
      </x:c>
    </x:row>
    <x:row r="44" ht="26" customHeight="1">
      <x:c r="A44" s="82" t="n">
        <x:v>40</x:v>
      </x:c>
      <x:c r="B44" s="82" t="str">
        <x:v>Jordi Meeus</x:v>
      </x:c>
      <x:c r="C44" s="143" t="str"/>
      <x:c r="D44" s="82" t="str">
        <x:v>ベルギー</x:v>
      </x:c>
      <x:c r="E44" s="82" t="str">
        <x:v>Red Bull–Bora–Hansgrohe</x:v>
      </x:c>
      <x:c r="F44" s="82" t="str">
        <x:v>1998-07-01</x:v>
      </x:c>
      <x:c r="G44" s="82" t="str">
        <x:v>現役確認済</x:v>
      </x:c>
      <x:c r="H44" s="82" t="str">
        <x:v>スプリンター</x:v>
      </x:c>
      <x:c r="I44" s="82" t="str">
        <x:v>クラシック型</x:v>
      </x:c>
      <x:c r="J44" s="85" t="n">
        <x:v>83</x:v>
      </x:c>
      <x:c r="K44" s="85" t="n">
        <x:v>71</x:v>
      </x:c>
      <x:c r="L44" s="91" t="str">
        <x:v>エース / リードアウト / 最終発射台 / 無賃乗車</x:v>
      </x:c>
      <x:c r="M44" s="88" t="n">
        <x:v>6800</x:v>
      </x:c>
      <x:c r="N44" s="85" t="n">
        <x:v>82</x:v>
      </x:c>
      <x:c r="O44" s="85" t="n">
        <x:v>82</x:v>
      </x:c>
      <x:c r="P44" s="85" t="n">
        <x:v>69</x:v>
      </x:c>
      <x:c r="Q44" s="85" t="n">
        <x:v>72</x:v>
      </x:c>
      <x:c r="R44" s="85" t="n">
        <x:v>58</x:v>
      </x:c>
      <x:c r="S44" s="85" t="n">
        <x:v>65</x:v>
      </x:c>
      <x:c r="T44" s="85" t="n">
        <x:v>65</x:v>
      </x:c>
      <x:c r="U44" s="85" t="n">
        <x:v>73</x:v>
      </x:c>
      <x:c r="V44" s="85" t="n">
        <x:v>72</x:v>
      </x:c>
      <x:c r="W44" s="85" t="n">
        <x:v>73</x:v>
      </x:c>
      <x:c r="X44" s="85" t="n">
        <x:v>69</x:v>
      </x:c>
      <x:c r="Y44" s="85" t="n">
        <x:v>69</x:v>
      </x:c>
      <x:c r="Z44" s="85" t="n">
        <x:v>66</x:v>
      </x:c>
      <x:c r="AA44" s="85" t="n">
        <x:v>79</x:v>
      </x:c>
      <x:c r="AB44" s="85" t="n">
        <x:v>66</x:v>
      </x:c>
      <x:c r="AC44" s="91" t="str">
        <x:v>2026 UCI WorldTeam名簿掲載</x:v>
      </x:c>
      <x:c r="AD44" s="91" t="str">
        <x:v>https://en.wikipedia.org/wiki/List_of_2026_UCI_WorldTeams_and_riders</x:v>
      </x:c>
      <x:c r="AE44" s="91" t="str">
        <x:v>能力・適性・Credit整合済</x:v>
      </x:c>
      <x:c r="AF44" s="91" t="str">
        <x:v>https://en.wikipedia.org/wiki/Special:Search?search=Jordi%20Meeus%20cyclist</x:v>
      </x:c>
    </x:row>
    <x:row r="45" ht="26" customHeight="1">
      <x:c r="A45" s="82" t="n">
        <x:v>41</x:v>
      </x:c>
      <x:c r="B45" s="82" t="str">
        <x:v>Tim Merlier</x:v>
      </x:c>
      <x:c r="C45" s="143" t="str"/>
      <x:c r="D45" s="82" t="str">
        <x:v>ベルギー</x:v>
      </x:c>
      <x:c r="E45" s="82" t="str">
        <x:v>Soudal–Quick-Step</x:v>
      </x:c>
      <x:c r="F45" s="82" t="str">
        <x:v>1992-10-30</x:v>
      </x:c>
      <x:c r="G45" s="82" t="str">
        <x:v>現役確認済</x:v>
      </x:c>
      <x:c r="H45" s="82" t="str">
        <x:v>スプリンター</x:v>
      </x:c>
      <x:c r="I45" s="82" t="str">
        <x:v>クラシック型</x:v>
      </x:c>
      <x:c r="J45" s="85" t="n">
        <x:v>83</x:v>
      </x:c>
      <x:c r="K45" s="85" t="n">
        <x:v>71</x:v>
      </x:c>
      <x:c r="L45" s="91" t="str">
        <x:v>エース / リードアウト / 最終発射台 / 無賃乗車</x:v>
      </x:c>
      <x:c r="M45" s="88" t="n">
        <x:v>6750</x:v>
      </x:c>
      <x:c r="N45" s="85" t="n">
        <x:v>82</x:v>
      </x:c>
      <x:c r="O45" s="85" t="n">
        <x:v>82</x:v>
      </x:c>
      <x:c r="P45" s="85" t="n">
        <x:v>69</x:v>
      </x:c>
      <x:c r="Q45" s="85" t="n">
        <x:v>72</x:v>
      </x:c>
      <x:c r="R45" s="85" t="n">
        <x:v>58</x:v>
      </x:c>
      <x:c r="S45" s="85" t="n">
        <x:v>65</x:v>
      </x:c>
      <x:c r="T45" s="85" t="n">
        <x:v>65</x:v>
      </x:c>
      <x:c r="U45" s="85" t="n">
        <x:v>71</x:v>
      </x:c>
      <x:c r="V45" s="85" t="n">
        <x:v>73</x:v>
      </x:c>
      <x:c r="W45" s="85" t="n">
        <x:v>69</x:v>
      </x:c>
      <x:c r="X45" s="85" t="n">
        <x:v>69</x:v>
      </x:c>
      <x:c r="Y45" s="85" t="n">
        <x:v>69</x:v>
      </x:c>
      <x:c r="Z45" s="85" t="n">
        <x:v>66</x:v>
      </x:c>
      <x:c r="AA45" s="85" t="n">
        <x:v>78</x:v>
      </x:c>
      <x:c r="AB45" s="85" t="n">
        <x:v>66</x:v>
      </x:c>
      <x:c r="AC45" s="91" t="str">
        <x:v>2026 UCI WorldTeam名簿掲載</x:v>
      </x:c>
      <x:c r="AD45" s="91" t="str">
        <x:v>https://en.wikipedia.org/wiki/List_of_2026_UCI_WorldTeams_and_riders</x:v>
      </x:c>
      <x:c r="AE45" s="91" t="str">
        <x:v>能力・適性・Credit整合済</x:v>
      </x:c>
      <x:c r="AF45" s="91" t="str">
        <x:v>https://en.wikipedia.org/wiki/Special:Search?search=Tim%20Merlier%20cyclist</x:v>
      </x:c>
    </x:row>
    <x:row r="46" ht="26" customHeight="1">
      <x:c r="A46" s="82" t="n">
        <x:v>42</x:v>
      </x:c>
      <x:c r="B46" s="82" t="str">
        <x:v>Antonio Tiberi</x:v>
      </x:c>
      <x:c r="C46" s="143" t="str"/>
      <x:c r="D46" s="82" t="str">
        <x:v>イタリア</x:v>
      </x:c>
      <x:c r="E46" s="82" t="str">
        <x:v>Team Bahrain Victorious</x:v>
      </x:c>
      <x:c r="F46" s="82" t="str">
        <x:v>2001-06-24</x:v>
      </x:c>
      <x:c r="G46" s="82" t="str">
        <x:v>現役確認済</x:v>
      </x:c>
      <x:c r="H46" s="82" t="str">
        <x:v>総合型</x:v>
      </x:c>
      <x:c r="I46" s="82" t="str">
        <x:v>TT・ルーラー型</x:v>
      </x:c>
      <x:c r="J46" s="85" t="n">
        <x:v>83</x:v>
      </x:c>
      <x:c r="K46" s="85" t="n">
        <x:v>75</x:v>
      </x:c>
      <x:c r="L46" s="91" t="str">
        <x:v>エース / ロードキャプテン / 山岳アシスト</x:v>
      </x:c>
      <x:c r="M46" s="88" t="n">
        <x:v>6700</x:v>
      </x:c>
      <x:c r="N46" s="85" t="n">
        <x:v>61</x:v>
      </x:c>
      <x:c r="O46" s="85" t="n">
        <x:v>69</x:v>
      </x:c>
      <x:c r="P46" s="85" t="n">
        <x:v>71</x:v>
      </x:c>
      <x:c r="Q46" s="85" t="n">
        <x:v>72</x:v>
      </x:c>
      <x:c r="R46" s="85" t="n">
        <x:v>75</x:v>
      </x:c>
      <x:c r="S46" s="85" t="n">
        <x:v>73</x:v>
      </x:c>
      <x:c r="T46" s="85" t="n">
        <x:v>73</x:v>
      </x:c>
      <x:c r="U46" s="85" t="n">
        <x:v>69</x:v>
      </x:c>
      <x:c r="V46" s="85" t="n">
        <x:v>69</x:v>
      </x:c>
      <x:c r="W46" s="85" t="n">
        <x:v>50</x:v>
      </x:c>
      <x:c r="X46" s="85" t="n">
        <x:v>80</x:v>
      </x:c>
      <x:c r="Y46" s="85" t="n">
        <x:v>80</x:v>
      </x:c>
      <x:c r="Z46" s="85" t="n">
        <x:v>70</x:v>
      </x:c>
      <x:c r="AA46" s="85" t="n">
        <x:v>75</x:v>
      </x:c>
      <x:c r="AB46" s="85" t="n">
        <x:v>67</x:v>
      </x:c>
      <x:c r="AC46" s="91" t="str">
        <x:v>2026 UCI WorldTeam名簿掲載</x:v>
      </x:c>
      <x:c r="AD46" s="91" t="str">
        <x:v>https://en.wikipedia.org/wiki/List_of_2026_UCI_WorldTeams_and_riders</x:v>
      </x:c>
      <x:c r="AE46" s="91" t="str">
        <x:v>能力・適性・Credit整合済</x:v>
      </x:c>
      <x:c r="AF46" s="91" t="str">
        <x:v>https://en.wikipedia.org/wiki/Special:Search?search=Antonio%20Tiberi%20cyclist</x:v>
      </x:c>
    </x:row>
    <x:row r="47" ht="26" customHeight="1">
      <x:c r="A47" s="82" t="n">
        <x:v>43</x:v>
      </x:c>
      <x:c r="B47" s="82" t="str">
        <x:v>Oscar Onley</x:v>
      </x:c>
      <x:c r="C47" s="143" t="str"/>
      <x:c r="D47" s="82" t="str">
        <x:v>イギリス</x:v>
      </x:c>
      <x:c r="E47" s="82" t="str">
        <x:v>Netcompany INEOS Cycling Team</x:v>
      </x:c>
      <x:c r="F47" s="82" t="str">
        <x:v>2002-10-13</x:v>
      </x:c>
      <x:c r="G47" s="82" t="str">
        <x:v>現役確認済</x:v>
      </x:c>
      <x:c r="H47" s="82" t="str">
        <x:v>パンチャー</x:v>
      </x:c>
      <x:c r="I47" s="82" t="str">
        <x:v>クライマー</x:v>
      </x:c>
      <x:c r="J47" s="85" t="n">
        <x:v>83</x:v>
      </x:c>
      <x:c r="K47" s="85" t="n">
        <x:v>72</x:v>
      </x:c>
      <x:c r="L47" s="91" t="str">
        <x:v>エース / ステージハンター / 山岳賞ハンター</x:v>
      </x:c>
      <x:c r="M47" s="88" t="n">
        <x:v>6600</x:v>
      </x:c>
      <x:c r="N47" s="85" t="n">
        <x:v>69</x:v>
      </x:c>
      <x:c r="O47" s="85" t="n">
        <x:v>78</x:v>
      </x:c>
      <x:c r="P47" s="85" t="n">
        <x:v>81</x:v>
      </x:c>
      <x:c r="Q47" s="85" t="n">
        <x:v>69</x:v>
      </x:c>
      <x:c r="R47" s="85" t="n">
        <x:v>73</x:v>
      </x:c>
      <x:c r="S47" s="85" t="n">
        <x:v>66</x:v>
      </x:c>
      <x:c r="T47" s="85" t="n">
        <x:v>66</x:v>
      </x:c>
      <x:c r="U47" s="85" t="n">
        <x:v>73</x:v>
      </x:c>
      <x:c r="V47" s="85" t="n">
        <x:v>75</x:v>
      </x:c>
      <x:c r="W47" s="85" t="n">
        <x:v>50</x:v>
      </x:c>
      <x:c r="X47" s="85" t="n">
        <x:v>72</x:v>
      </x:c>
      <x:c r="Y47" s="85" t="n">
        <x:v>72</x:v>
      </x:c>
      <x:c r="Z47" s="85" t="n">
        <x:v>65</x:v>
      </x:c>
      <x:c r="AA47" s="85" t="n">
        <x:v>76</x:v>
      </x:c>
      <x:c r="AB47" s="85" t="n">
        <x:v>75</x:v>
      </x:c>
      <x:c r="AC47" s="91" t="str">
        <x:v>2026 UCI WorldTeam名簿掲載</x:v>
      </x:c>
      <x:c r="AD47" s="91" t="str">
        <x:v>https://en.wikipedia.org/wiki/List_of_2026_UCI_WorldTeams_and_riders</x:v>
      </x:c>
      <x:c r="AE47" s="91" t="str">
        <x:v>能力・適性・Credit整合済</x:v>
      </x:c>
      <x:c r="AF47" s="91" t="str">
        <x:v>https://en.wikipedia.org/wiki/Special:Search?search=Oscar%20Onley%20cyclist</x:v>
      </x:c>
    </x:row>
    <x:row r="48" ht="26" customHeight="1">
      <x:c r="A48" s="82" t="n">
        <x:v>44</x:v>
      </x:c>
      <x:c r="B48" s="82" t="str">
        <x:v>Benoit Cosnefroy</x:v>
      </x:c>
      <x:c r="C48" s="143" t="str"/>
      <x:c r="D48" s="82" t="str">
        <x:v>フランス</x:v>
      </x:c>
      <x:c r="E48" s="82" t="str">
        <x:v>UAE Team Emirates XRG</x:v>
      </x:c>
      <x:c r="F48" s="82" t="str">
        <x:v>1995-10-17</x:v>
      </x:c>
      <x:c r="G48" s="82" t="str">
        <x:v>現役確認済</x:v>
      </x:c>
      <x:c r="H48" s="82" t="str">
        <x:v>パンチャー</x:v>
      </x:c>
      <x:c r="I48" s="82" t="str">
        <x:v>スプリンター</x:v>
      </x:c>
      <x:c r="J48" s="85" t="n">
        <x:v>83</x:v>
      </x:c>
      <x:c r="K48" s="85" t="n">
        <x:v>71</x:v>
      </x:c>
      <x:c r="L48" s="91" t="str">
        <x:v>エース / ステージハンター / スプリントトレイン</x:v>
      </x:c>
      <x:c r="M48" s="88" t="n">
        <x:v>6550</x:v>
      </x:c>
      <x:c r="N48" s="85" t="n">
        <x:v>76</x:v>
      </x:c>
      <x:c r="O48" s="85" t="n">
        <x:v>82</x:v>
      </x:c>
      <x:c r="P48" s="85" t="n">
        <x:v>80</x:v>
      </x:c>
      <x:c r="Q48" s="85" t="n">
        <x:v>70</x:v>
      </x:c>
      <x:c r="R48" s="85" t="n">
        <x:v>71</x:v>
      </x:c>
      <x:c r="S48" s="85" t="n">
        <x:v>66</x:v>
      </x:c>
      <x:c r="T48" s="85" t="n">
        <x:v>65</x:v>
      </x:c>
      <x:c r="U48" s="85" t="n">
        <x:v>74</x:v>
      </x:c>
      <x:c r="V48" s="85" t="n">
        <x:v>76</x:v>
      </x:c>
      <x:c r="W48" s="85" t="n">
        <x:v>50</x:v>
      </x:c>
      <x:c r="X48" s="85" t="n">
        <x:v>70</x:v>
      </x:c>
      <x:c r="Y48" s="85" t="n">
        <x:v>69</x:v>
      </x:c>
      <x:c r="Z48" s="85" t="n">
        <x:v>65</x:v>
      </x:c>
      <x:c r="AA48" s="85" t="n">
        <x:v>77</x:v>
      </x:c>
      <x:c r="AB48" s="85" t="n">
        <x:v>74</x:v>
      </x:c>
      <x:c r="AC48" s="91" t="str">
        <x:v>2026 UCI WorldTeam名簿掲載</x:v>
      </x:c>
      <x:c r="AD48" s="91" t="str">
        <x:v>https://en.wikipedia.org/wiki/List_of_2026_UCI_WorldTeams_and_riders</x:v>
      </x:c>
      <x:c r="AE48" s="91" t="str">
        <x:v>能力・適性・Credit整合済</x:v>
      </x:c>
      <x:c r="AF48" s="91" t="str">
        <x:v>https://en.wikipedia.org/wiki/Special:Search?search=Benoit%20Cosnefroy%20cyclist</x:v>
      </x:c>
    </x:row>
    <x:row r="49" ht="26" customHeight="1">
      <x:c r="A49" s="82" t="n">
        <x:v>45</x:v>
      </x:c>
      <x:c r="B49" s="82" t="str">
        <x:v>Mads Pedersen (cyclist)</x:v>
      </x:c>
      <x:c r="C49" s="143" t="str"/>
      <x:c r="D49" s="82" t="str">
        <x:v>デンマーク</x:v>
      </x:c>
      <x:c r="E49" s="82" t="str">
        <x:v>Lidl–Trek</x:v>
      </x:c>
      <x:c r="F49" s="82" t="str">
        <x:v>1995-12-18</x:v>
      </x:c>
      <x:c r="G49" s="82" t="str">
        <x:v>現役確認済</x:v>
      </x:c>
      <x:c r="H49" s="82" t="str">
        <x:v>クラシック型</x:v>
      </x:c>
      <x:c r="I49" s="82" t="str">
        <x:v>スプリンター</x:v>
      </x:c>
      <x:c r="J49" s="85" t="n">
        <x:v>82</x:v>
      </x:c>
      <x:c r="K49" s="85" t="n">
        <x:v>82</x:v>
      </x:c>
      <x:c r="L49" s="91" t="str">
        <x:v>スプリントトレイン / 平坦アシスト / TT牽引 / 石畳護衛 / 横風要員 / 逃げ屋 / 横風分断</x:v>
      </x:c>
      <x:c r="M49" s="88" t="n">
        <x:v>9500</x:v>
      </x:c>
      <x:c r="N49" s="85" t="n">
        <x:v>76</x:v>
      </x:c>
      <x:c r="O49" s="85" t="n">
        <x:v>78</x:v>
      </x:c>
      <x:c r="P49" s="85" t="n">
        <x:v>76</x:v>
      </x:c>
      <x:c r="Q49" s="85" t="n">
        <x:v>82</x:v>
      </x:c>
      <x:c r="R49" s="85" t="n">
        <x:v>71</x:v>
      </x:c>
      <x:c r="S49" s="85" t="n">
        <x:v>82</x:v>
      </x:c>
      <x:c r="T49" s="85" t="n">
        <x:v>85</x:v>
      </x:c>
      <x:c r="U49" s="85" t="n">
        <x:v>84</x:v>
      </x:c>
      <x:c r="V49" s="85" t="n">
        <x:v>85</x:v>
      </x:c>
      <x:c r="W49" s="85" t="n">
        <x:v>83</x:v>
      </x:c>
      <x:c r="X49" s="85" t="n">
        <x:v>73</x:v>
      </x:c>
      <x:c r="Y49" s="85" t="n">
        <x:v>75</x:v>
      </x:c>
      <x:c r="Z49" s="85" t="n">
        <x:v>85</x:v>
      </x:c>
      <x:c r="AA49" s="85" t="n">
        <x:v>76</x:v>
      </x:c>
      <x:c r="AB49" s="85" t="n">
        <x:v>84</x:v>
      </x:c>
      <x:c r="AC49" s="91" t="str">
        <x:v>2026 UCI WorldTeam名簿掲載</x:v>
      </x:c>
      <x:c r="AD49" s="91" t="str">
        <x:v>https://en.wikipedia.org/wiki/List_of_2026_UCI_WorldTeams_and_riders</x:v>
      </x:c>
      <x:c r="AE49" s="91" t="str">
        <x:v>能力・適性・Credit整合済</x:v>
      </x:c>
      <x:c r="AF49" s="91" t="str">
        <x:v>https://en.wikipedia.org/wiki/Mads_Pedersen</x:v>
      </x:c>
    </x:row>
    <x:row r="50" ht="26" customHeight="1">
      <x:c r="A50" s="82" t="n">
        <x:v>46</x:v>
      </x:c>
      <x:c r="B50" s="82" t="str">
        <x:v>Daniel Martínez (cyclist)</x:v>
      </x:c>
      <x:c r="C50" s="143" t="str"/>
      <x:c r="D50" s="82" t="str">
        <x:v>コロンビア</x:v>
      </x:c>
      <x:c r="E50" s="82" t="str">
        <x:v>Red Bull–Bora–Hansgrohe</x:v>
      </x:c>
      <x:c r="F50" s="82" t="str">
        <x:v>1996-04-25</x:v>
      </x:c>
      <x:c r="G50" s="82" t="str">
        <x:v>現役確認済</x:v>
      </x:c>
      <x:c r="H50" s="82" t="str">
        <x:v>総合型</x:v>
      </x:c>
      <x:c r="I50" s="82" t="str">
        <x:v>スプリンター</x:v>
      </x:c>
      <x:c r="J50" s="85" t="n">
        <x:v>82</x:v>
      </x:c>
      <x:c r="K50" s="85" t="n">
        <x:v>79</x:v>
      </x:c>
      <x:c r="L50" s="91" t="str">
        <x:v>ロードキャプテン / スプリントトレイン / 平坦アシスト / 山岳アシスト / TT牽引 / ブレイクアウェイキラー / 超ロングスパート</x:v>
      </x:c>
      <x:c r="M50" s="88" t="n">
        <x:v>9150</x:v>
      </x:c>
      <x:c r="N50" s="85" t="n">
        <x:v>66</x:v>
      </x:c>
      <x:c r="O50" s="85" t="n">
        <x:v>69</x:v>
      </x:c>
      <x:c r="P50" s="85" t="n">
        <x:v>74</x:v>
      </x:c>
      <x:c r="Q50" s="85" t="n">
        <x:v>74</x:v>
      </x:c>
      <x:c r="R50" s="85" t="n">
        <x:v>84</x:v>
      </x:c>
      <x:c r="S50" s="85" t="n">
        <x:v>84</x:v>
      </x:c>
      <x:c r="T50" s="85" t="n">
        <x:v>84</x:v>
      </x:c>
      <x:c r="U50" s="85" t="n">
        <x:v>77</x:v>
      </x:c>
      <x:c r="V50" s="85" t="n">
        <x:v>71</x:v>
      </x:c>
      <x:c r="W50" s="85" t="n">
        <x:v>62</x:v>
      </x:c>
      <x:c r="X50" s="85" t="n">
        <x:v>84</x:v>
      </x:c>
      <x:c r="Y50" s="85" t="n">
        <x:v>84</x:v>
      </x:c>
      <x:c r="Z50" s="85" t="n">
        <x:v>76</x:v>
      </x:c>
      <x:c r="AA50" s="85" t="n">
        <x:v>77</x:v>
      </x:c>
      <x:c r="AB50" s="85" t="n">
        <x:v>71</x:v>
      </x:c>
      <x:c r="AC50" s="91" t="str">
        <x:v>2026 UCI WorldTeam名簿掲載</x:v>
      </x:c>
      <x:c r="AD50" s="91" t="str">
        <x:v>https://en.wikipedia.org/wiki/List_of_2026_UCI_WorldTeams_and_riders</x:v>
      </x:c>
      <x:c r="AE50" s="91" t="str">
        <x:v>能力・適性・Credit整合済</x:v>
      </x:c>
      <x:c r="AF50" s="91" t="str">
        <x:v>https://en.wikipedia.org/wiki/Daniel_Mart%C3%ADnez_(cyclist)</x:v>
      </x:c>
    </x:row>
    <x:row r="51" ht="26" customHeight="1">
      <x:c r="A51" s="82" t="n">
        <x:v>47</x:v>
      </x:c>
      <x:c r="B51" s="82" t="str">
        <x:v>Guillaume Martin</x:v>
      </x:c>
      <x:c r="C51" s="143" t="str"/>
      <x:c r="D51" s="82" t="str">
        <x:v>フランス</x:v>
      </x:c>
      <x:c r="E51" s="82" t="str">
        <x:v>Groupama–FDJ United</x:v>
      </x:c>
      <x:c r="F51" s="82" t="str">
        <x:v>1993-06-09</x:v>
      </x:c>
      <x:c r="G51" s="82" t="str">
        <x:v>現役確認済</x:v>
      </x:c>
      <x:c r="H51" s="82" t="str">
        <x:v>クライマー</x:v>
      </x:c>
      <x:c r="I51" s="82" t="str">
        <x:v>総合型</x:v>
      </x:c>
      <x:c r="J51" s="85" t="n">
        <x:v>82</x:v>
      </x:c>
      <x:c r="K51" s="85" t="n">
        <x:v>75</x:v>
      </x:c>
      <x:c r="L51" s="91" t="str">
        <x:v>エース / 山岳賞ハンター / 山岳アシスト / 集団コントローラー</x:v>
      </x:c>
      <x:c r="M51" s="88" t="n">
        <x:v>7200</x:v>
      </x:c>
      <x:c r="N51" s="85" t="n">
        <x:v>57</x:v>
      </x:c>
      <x:c r="O51" s="85" t="n">
        <x:v>69</x:v>
      </x:c>
      <x:c r="P51" s="85" t="n">
        <x:v>71</x:v>
      </x:c>
      <x:c r="Q51" s="85" t="n">
        <x:v>68</x:v>
      </x:c>
      <x:c r="R51" s="85" t="n">
        <x:v>80</x:v>
      </x:c>
      <x:c r="S51" s="85" t="n">
        <x:v>76</x:v>
      </x:c>
      <x:c r="T51" s="85" t="n">
        <x:v>73</x:v>
      </x:c>
      <x:c r="U51" s="85" t="n">
        <x:v>67</x:v>
      </x:c>
      <x:c r="V51" s="85" t="n">
        <x:v>68</x:v>
      </x:c>
      <x:c r="W51" s="85" t="n">
        <x:v>50</x:v>
      </x:c>
      <x:c r="X51" s="85" t="n">
        <x:v>77</x:v>
      </x:c>
      <x:c r="Y51" s="85" t="n">
        <x:v>77</x:v>
      </x:c>
      <x:c r="Z51" s="85" t="n">
        <x:v>72</x:v>
      </x:c>
      <x:c r="AA51" s="85" t="n">
        <x:v>69</x:v>
      </x:c>
      <x:c r="AB51" s="85" t="n">
        <x:v>75</x:v>
      </x:c>
      <x:c r="AC51" s="91" t="str">
        <x:v>2026 UCI WorldTeam名簿掲載</x:v>
      </x:c>
      <x:c r="AD51" s="91" t="str">
        <x:v>https://en.wikipedia.org/wiki/List_of_2026_UCI_WorldTeams_and_riders</x:v>
      </x:c>
      <x:c r="AE51" s="91" t="str">
        <x:v>能力・適性・Credit整合済</x:v>
      </x:c>
      <x:c r="AF51" s="91" t="str">
        <x:v>https://en.wikipedia.org/wiki/Special:Search?search=Guillaume%20Martin%20cyclist</x:v>
      </x:c>
    </x:row>
    <x:row r="52" ht="26" customHeight="1">
      <x:c r="A52" s="82" t="n">
        <x:v>48</x:v>
      </x:c>
      <x:c r="B52" s="82" t="str">
        <x:v>Giulio Pellizzari</x:v>
      </x:c>
      <x:c r="C52" s="143" t="str"/>
      <x:c r="D52" s="82" t="str">
        <x:v>イタリア</x:v>
      </x:c>
      <x:c r="E52" s="82" t="str">
        <x:v>Red Bull–Bora–Hansgrohe</x:v>
      </x:c>
      <x:c r="F52" s="82" t="str">
        <x:v>2003-11-21</x:v>
      </x:c>
      <x:c r="G52" s="82" t="str">
        <x:v>現役確認済</x:v>
      </x:c>
      <x:c r="H52" s="82" t="str">
        <x:v>クライマー</x:v>
      </x:c>
      <x:c r="I52" s="82" t="str">
        <x:v>総合型</x:v>
      </x:c>
      <x:c r="J52" s="85" t="n">
        <x:v>82</x:v>
      </x:c>
      <x:c r="K52" s="85" t="n">
        <x:v>75</x:v>
      </x:c>
      <x:c r="L52" s="91" t="str">
        <x:v>エース / 山岳賞ハンター / 山岳アシスト / 集団コントローラー</x:v>
      </x:c>
      <x:c r="M52" s="88" t="n">
        <x:v>6700</x:v>
      </x:c>
      <x:c r="N52" s="85" t="n">
        <x:v>57</x:v>
      </x:c>
      <x:c r="O52" s="85" t="n">
        <x:v>70</x:v>
      </x:c>
      <x:c r="P52" s="85" t="n">
        <x:v>71</x:v>
      </x:c>
      <x:c r="Q52" s="85" t="n">
        <x:v>67</x:v>
      </x:c>
      <x:c r="R52" s="85" t="n">
        <x:v>78</x:v>
      </x:c>
      <x:c r="S52" s="85" t="n">
        <x:v>74</x:v>
      </x:c>
      <x:c r="T52" s="85" t="n">
        <x:v>72</x:v>
      </x:c>
      <x:c r="U52" s="85" t="n">
        <x:v>67</x:v>
      </x:c>
      <x:c r="V52" s="85" t="n">
        <x:v>68</x:v>
      </x:c>
      <x:c r="W52" s="85" t="n">
        <x:v>50</x:v>
      </x:c>
      <x:c r="X52" s="85" t="n">
        <x:v>77</x:v>
      </x:c>
      <x:c r="Y52" s="85" t="n">
        <x:v>77</x:v>
      </x:c>
      <x:c r="Z52" s="85" t="n">
        <x:v>72</x:v>
      </x:c>
      <x:c r="AA52" s="85" t="n">
        <x:v>69</x:v>
      </x:c>
      <x:c r="AB52" s="85" t="n">
        <x:v>72</x:v>
      </x:c>
      <x:c r="AC52" s="91" t="str">
        <x:v>2026 UCI WorldTeam名簿掲載</x:v>
      </x:c>
      <x:c r="AD52" s="91" t="str">
        <x:v>https://en.wikipedia.org/wiki/List_of_2026_UCI_WorldTeams_and_riders</x:v>
      </x:c>
      <x:c r="AE52" s="91" t="str">
        <x:v>能力・適性・Credit整合済</x:v>
      </x:c>
      <x:c r="AF52" s="91" t="str">
        <x:v>https://en.wikipedia.org/wiki/Special:Search?search=Giulio%20Pellizzari%20cyclist</x:v>
      </x:c>
    </x:row>
    <x:row r="53" ht="26" customHeight="1">
      <x:c r="A53" s="82" t="n">
        <x:v>49</x:v>
      </x:c>
      <x:c r="B53" s="82" t="str">
        <x:v>Enric Mas</x:v>
      </x:c>
      <x:c r="C53" s="143" t="str"/>
      <x:c r="D53" s="82" t="str">
        <x:v>スペイン</x:v>
      </x:c>
      <x:c r="E53" s="82" t="str">
        <x:v>Movistar Team</x:v>
      </x:c>
      <x:c r="F53" s="82" t="str">
        <x:v>1995-01-07</x:v>
      </x:c>
      <x:c r="G53" s="82" t="str">
        <x:v>現役確認済</x:v>
      </x:c>
      <x:c r="H53" s="82" t="str">
        <x:v>総合型</x:v>
      </x:c>
      <x:c r="I53" s="82" t="str">
        <x:v>クライマー</x:v>
      </x:c>
      <x:c r="J53" s="85" t="n">
        <x:v>82</x:v>
      </x:c>
      <x:c r="K53" s="85" t="n">
        <x:v>75</x:v>
      </x:c>
      <x:c r="L53" s="91" t="str">
        <x:v>エース / ロードキャプテン / 山岳アシスト</x:v>
      </x:c>
      <x:c r="M53" s="88" t="n">
        <x:v>6600</x:v>
      </x:c>
      <x:c r="N53" s="85" t="n">
        <x:v>58</x:v>
      </x:c>
      <x:c r="O53" s="85" t="n">
        <x:v>69</x:v>
      </x:c>
      <x:c r="P53" s="85" t="n">
        <x:v>73</x:v>
      </x:c>
      <x:c r="Q53" s="85" t="n">
        <x:v>70</x:v>
      </x:c>
      <x:c r="R53" s="85" t="n">
        <x:v>76</x:v>
      </x:c>
      <x:c r="S53" s="85" t="n">
        <x:v>74</x:v>
      </x:c>
      <x:c r="T53" s="85" t="n">
        <x:v>73</x:v>
      </x:c>
      <x:c r="U53" s="85" t="n">
        <x:v>68</x:v>
      </x:c>
      <x:c r="V53" s="85" t="n">
        <x:v>68</x:v>
      </x:c>
      <x:c r="W53" s="85" t="n">
        <x:v>50</x:v>
      </x:c>
      <x:c r="X53" s="85" t="n">
        <x:v>81</x:v>
      </x:c>
      <x:c r="Y53" s="85" t="n">
        <x:v>80</x:v>
      </x:c>
      <x:c r="Z53" s="85" t="n">
        <x:v>70</x:v>
      </x:c>
      <x:c r="AA53" s="85" t="n">
        <x:v>75</x:v>
      </x:c>
      <x:c r="AB53" s="85" t="n">
        <x:v>68</x:v>
      </x:c>
      <x:c r="AC53" s="91" t="str">
        <x:v>2026 UCI WorldTeam名簿掲載</x:v>
      </x:c>
      <x:c r="AD53" s="91" t="str">
        <x:v>https://en.wikipedia.org/wiki/List_of_2026_UCI_WorldTeams_and_riders</x:v>
      </x:c>
      <x:c r="AE53" s="91" t="str">
        <x:v>能力・適性・Credit整合済</x:v>
      </x:c>
      <x:c r="AF53" s="91" t="str">
        <x:v>https://en.wikipedia.org/wiki/Special:Search?search=Enric%20Mas%20cyclist</x:v>
      </x:c>
    </x:row>
    <x:row r="54" ht="26" customHeight="1">
      <x:c r="A54" s="82" t="n">
        <x:v>50</x:v>
      </x:c>
      <x:c r="B54" s="82" t="str">
        <x:v>Hugo Houle</x:v>
      </x:c>
      <x:c r="C54" s="143" t="str"/>
      <x:c r="D54" s="82" t="str">
        <x:v>カナダ</x:v>
      </x:c>
      <x:c r="E54" s="82" t="str">
        <x:v>Alpecin–Premier Tech</x:v>
      </x:c>
      <x:c r="F54" s="82" t="str">
        <x:v>1990-09-27</x:v>
      </x:c>
      <x:c r="G54" s="82" t="str">
        <x:v>現役確認済</x:v>
      </x:c>
      <x:c r="H54" s="82" t="str">
        <x:v>総合型</x:v>
      </x:c>
      <x:c r="I54" s="82" t="str">
        <x:v>スプリンター</x:v>
      </x:c>
      <x:c r="J54" s="85" t="n">
        <x:v>81</x:v>
      </x:c>
      <x:c r="K54" s="85" t="n">
        <x:v>77</x:v>
      </x:c>
      <x:c r="L54" s="91" t="str">
        <x:v>山岳賞ハンター / スプリントトレイン / 平坦アシスト / 山岳アシスト / 山岳番手 / ブレイクアウェイキラー / ポジションキーパー</x:v>
      </x:c>
      <x:c r="M54" s="88" t="n">
        <x:v>8250</x:v>
      </x:c>
      <x:c r="N54" s="85" t="n">
        <x:v>70</x:v>
      </x:c>
      <x:c r="O54" s="85" t="n">
        <x:v>70</x:v>
      </x:c>
      <x:c r="P54" s="85" t="n">
        <x:v>72</x:v>
      </x:c>
      <x:c r="Q54" s="85" t="n">
        <x:v>71</x:v>
      </x:c>
      <x:c r="R54" s="85" t="n">
        <x:v>82</x:v>
      </x:c>
      <x:c r="S54" s="85" t="n">
        <x:v>84</x:v>
      </x:c>
      <x:c r="T54" s="85" t="n">
        <x:v>77</x:v>
      </x:c>
      <x:c r="U54" s="85" t="n">
        <x:v>73</x:v>
      </x:c>
      <x:c r="V54" s="85" t="n">
        <x:v>72</x:v>
      </x:c>
      <x:c r="W54" s="85" t="n">
        <x:v>62</x:v>
      </x:c>
      <x:c r="X54" s="85" t="n">
        <x:v>79</x:v>
      </x:c>
      <x:c r="Y54" s="85" t="n">
        <x:v>84</x:v>
      </x:c>
      <x:c r="Z54" s="85" t="n">
        <x:v>73</x:v>
      </x:c>
      <x:c r="AA54" s="85" t="n">
        <x:v>83</x:v>
      </x:c>
      <x:c r="AB54" s="85" t="n">
        <x:v>72</x:v>
      </x:c>
      <x:c r="AC54" s="91" t="str">
        <x:v>2026 UCI WorldTeam名簿掲載</x:v>
      </x:c>
      <x:c r="AD54" s="91" t="str">
        <x:v>https://en.wikipedia.org/wiki/List_of_2026_UCI_WorldTeams_and_riders</x:v>
      </x:c>
      <x:c r="AE54" s="91" t="str">
        <x:v>能力・適性・Credit整合済</x:v>
      </x:c>
      <x:c r="AF54" s="91" t="str">
        <x:v>https://en.wikipedia.org/wiki/Hugo_Houle</x:v>
      </x:c>
    </x:row>
    <x:row r="55" ht="26" customHeight="1">
      <x:c r="A55" s="82" t="n">
        <x:v>51</x:v>
      </x:c>
      <x:c r="B55" s="82" t="str">
        <x:v>Joshua Tarling</x:v>
      </x:c>
      <x:c r="C55" s="143" t="str"/>
      <x:c r="D55" s="82" t="str">
        <x:v>イギリス</x:v>
      </x:c>
      <x:c r="E55" s="82" t="str">
        <x:v>Netcompany INEOS Cycling Team</x:v>
      </x:c>
      <x:c r="F55" s="82" t="str">
        <x:v>2004-02-15</x:v>
      </x:c>
      <x:c r="G55" s="82" t="str">
        <x:v>現役確認済</x:v>
      </x:c>
      <x:c r="H55" s="82" t="str">
        <x:v>TT・ルーラー型</x:v>
      </x:c>
      <x:c r="I55" s="82" t="str">
        <x:v>クラシック型</x:v>
      </x:c>
      <x:c r="J55" s="85" t="n">
        <x:v>81</x:v>
      </x:c>
      <x:c r="K55" s="85" t="n">
        <x:v>79</x:v>
      </x:c>
      <x:c r="L55" s="91" t="str">
        <x:v>サブエース / TTスペシャリスト / 平坦アシスト / 平坦ペースメーカー / ブレイクアウェイキラー / ポジションキーパー</x:v>
      </x:c>
      <x:c r="M55" s="88" t="n">
        <x:v>8050</x:v>
      </x:c>
      <x:c r="N55" s="85" t="n">
        <x:v>69</x:v>
      </x:c>
      <x:c r="O55" s="85" t="n">
        <x:v>68</x:v>
      </x:c>
      <x:c r="P55" s="85" t="n">
        <x:v>67</x:v>
      </x:c>
      <x:c r="Q55" s="85" t="n">
        <x:v>83</x:v>
      </x:c>
      <x:c r="R55" s="85" t="n">
        <x:v>69</x:v>
      </x:c>
      <x:c r="S55" s="85" t="n">
        <x:v>73</x:v>
      </x:c>
      <x:c r="T55" s="85" t="n">
        <x:v>73</x:v>
      </x:c>
      <x:c r="U55" s="85" t="n">
        <x:v>80</x:v>
      </x:c>
      <x:c r="V55" s="85" t="n">
        <x:v>70</x:v>
      </x:c>
      <x:c r="W55" s="85" t="n">
        <x:v>69</x:v>
      </x:c>
      <x:c r="X55" s="85" t="n">
        <x:v>69</x:v>
      </x:c>
      <x:c r="Y55" s="85" t="n">
        <x:v>70</x:v>
      </x:c>
      <x:c r="Z55" s="85" t="n">
        <x:v>79</x:v>
      </x:c>
      <x:c r="AA55" s="85" t="n">
        <x:v>67</x:v>
      </x:c>
      <x:c r="AB55" s="85" t="n">
        <x:v>67</x:v>
      </x:c>
      <x:c r="AC55" s="91" t="str">
        <x:v>2026 UCI WorldTeam名簿掲載</x:v>
      </x:c>
      <x:c r="AD55" s="91" t="str">
        <x:v>https://en.wikipedia.org/wiki/List_of_2026_UCI_WorldTeams_and_riders</x:v>
      </x:c>
      <x:c r="AE55" s="91" t="str">
        <x:v>能力・適性・Credit整合済</x:v>
      </x:c>
      <x:c r="AF55" s="91" t="str">
        <x:v>https://en.wikipedia.org/wiki/Special:Search?search=Joshua%20Tarling%20cyclist</x:v>
      </x:c>
    </x:row>
    <x:row r="56" ht="26" customHeight="1">
      <x:c r="A56" s="82" t="n">
        <x:v>52</x:v>
      </x:c>
      <x:c r="B56" s="82" t="str">
        <x:v>John Degenkolb</x:v>
      </x:c>
      <x:c r="C56" s="143" t="str">
        <x:v>石畳の重戦車</x:v>
      </x:c>
      <x:c r="D56" s="82" t="str">
        <x:v>ドイツ</x:v>
      </x:c>
      <x:c r="E56" s="82" t="str">
        <x:v>Team Picnic–PostNL</x:v>
      </x:c>
      <x:c r="F56" s="82" t="str">
        <x:v>1989-01-07</x:v>
      </x:c>
      <x:c r="G56" s="82" t="str">
        <x:v>現役確認済</x:v>
      </x:c>
      <x:c r="H56" s="82" t="str">
        <x:v>クラシック型</x:v>
      </x:c>
      <x:c r="I56" s="82" t="str">
        <x:v>パンチャー</x:v>
      </x:c>
      <x:c r="J56" s="85" t="n">
        <x:v>80</x:v>
      </x:c>
      <x:c r="K56" s="85" t="n">
        <x:v>74</x:v>
      </x:c>
      <x:c r="L56" s="91" t="str">
        <x:v>エース / 石畳護衛 / 横風要員 / 逃げ屋 / ブリッジャー / カウンターアタッカー</x:v>
      </x:c>
      <x:c r="M56" s="88" t="n">
        <x:v>9450</x:v>
      </x:c>
      <x:c r="N56" s="85" t="n">
        <x:v>76</x:v>
      </x:c>
      <x:c r="O56" s="85" t="n">
        <x:v>75</x:v>
      </x:c>
      <x:c r="P56" s="85" t="n">
        <x:v>76</x:v>
      </x:c>
      <x:c r="Q56" s="85" t="n">
        <x:v>76</x:v>
      </x:c>
      <x:c r="R56" s="85" t="n">
        <x:v>68</x:v>
      </x:c>
      <x:c r="S56" s="85" t="n">
        <x:v>75</x:v>
      </x:c>
      <x:c r="T56" s="85" t="n">
        <x:v>79</x:v>
      </x:c>
      <x:c r="U56" s="85" t="n">
        <x:v>79</x:v>
      </x:c>
      <x:c r="V56" s="85" t="n">
        <x:v>83</x:v>
      </x:c>
      <x:c r="W56" s="85" t="n">
        <x:v>82</x:v>
      </x:c>
      <x:c r="X56" s="85" t="n">
        <x:v>72</x:v>
      </x:c>
      <x:c r="Y56" s="85" t="n">
        <x:v>72</x:v>
      </x:c>
      <x:c r="Z56" s="85" t="n">
        <x:v>73</x:v>
      </x:c>
      <x:c r="AA56" s="85" t="n">
        <x:v>73</x:v>
      </x:c>
      <x:c r="AB56" s="85" t="n">
        <x:v>83</x:v>
      </x:c>
      <x:c r="AC56" s="91" t="str">
        <x:v>2026 UCI WorldTeam名簿掲載</x:v>
      </x:c>
      <x:c r="AD56" s="91" t="str">
        <x:v>https://en.wikipedia.org/wiki/List_of_2026_UCI_WorldTeams_and_riders</x:v>
      </x:c>
      <x:c r="AE56" s="91" t="str">
        <x:v>能力・適性・Credit整合済</x:v>
      </x:c>
      <x:c r="AF56" s="91" t="str">
        <x:v>https://en.wikipedia.org/wiki/Special:Search?search=John%20Degenkolb%20cyclist</x:v>
      </x:c>
    </x:row>
    <x:row r="57" ht="26" customHeight="1">
      <x:c r="A57" s="82" t="n">
        <x:v>53</x:v>
      </x:c>
      <x:c r="B57" s="82" t="str">
        <x:v>Florian Sénéchal</x:v>
      </x:c>
      <x:c r="C57" s="143" t="str"/>
      <x:c r="D57" s="82" t="str">
        <x:v>フランス</x:v>
      </x:c>
      <x:c r="E57" s="82" t="str">
        <x:v>Alpecin–Premier Tech</x:v>
      </x:c>
      <x:c r="F57" s="82" t="str">
        <x:v>1993-07-10</x:v>
      </x:c>
      <x:c r="G57" s="82" t="str">
        <x:v>現役確認済</x:v>
      </x:c>
      <x:c r="H57" s="82" t="str">
        <x:v>クラシック型</x:v>
      </x:c>
      <x:c r="I57" s="82" t="str">
        <x:v>TT・ルーラー型</x:v>
      </x:c>
      <x:c r="J57" s="85" t="n">
        <x:v>80</x:v>
      </x:c>
      <x:c r="K57" s="85" t="n">
        <x:v>81</x:v>
      </x:c>
      <x:c r="L57" s="91" t="str">
        <x:v>平坦アシスト / 平坦ペースメーカー / TT牽引 / 石畳護衛 / 集団コントローラー / 横風要員 / 逃げ屋</x:v>
      </x:c>
      <x:c r="M57" s="88" t="n">
        <x:v>8900</x:v>
      </x:c>
      <x:c r="N57" s="85" t="n">
        <x:v>77</x:v>
      </x:c>
      <x:c r="O57" s="85" t="n">
        <x:v>78</x:v>
      </x:c>
      <x:c r="P57" s="85" t="n">
        <x:v>77</x:v>
      </x:c>
      <x:c r="Q57" s="85" t="n">
        <x:v>81</x:v>
      </x:c>
      <x:c r="R57" s="85" t="n">
        <x:v>71</x:v>
      </x:c>
      <x:c r="S57" s="85" t="n">
        <x:v>81</x:v>
      </x:c>
      <x:c r="T57" s="85" t="n">
        <x:v>80</x:v>
      </x:c>
      <x:c r="U57" s="85" t="n">
        <x:v>84</x:v>
      </x:c>
      <x:c r="V57" s="85" t="n">
        <x:v>84</x:v>
      </x:c>
      <x:c r="W57" s="85" t="n">
        <x:v>74</x:v>
      </x:c>
      <x:c r="X57" s="85" t="n">
        <x:v>74</x:v>
      </x:c>
      <x:c r="Y57" s="85" t="n">
        <x:v>73</x:v>
      </x:c>
      <x:c r="Z57" s="85" t="n">
        <x:v>85</x:v>
      </x:c>
      <x:c r="AA57" s="85" t="n">
        <x:v>71</x:v>
      </x:c>
      <x:c r="AB57" s="85" t="n">
        <x:v>84</x:v>
      </x:c>
      <x:c r="AC57" s="91" t="str">
        <x:v>2026 UCI WorldTeam名簿掲載</x:v>
      </x:c>
      <x:c r="AD57" s="91" t="str">
        <x:v>https://en.wikipedia.org/wiki/List_of_2026_UCI_WorldTeams_and_riders</x:v>
      </x:c>
      <x:c r="AE57" s="91" t="str">
        <x:v>能力・適性・Credit整合済</x:v>
      </x:c>
      <x:c r="AF57" s="91" t="str">
        <x:v>https://en.wikipedia.org/wiki/Florian_S%C3%A9n%C3%A9chal</x:v>
      </x:c>
    </x:row>
    <x:row r="58" ht="26" customHeight="1">
      <x:c r="A58" s="82" t="n">
        <x:v>54</x:v>
      </x:c>
      <x:c r="B58" s="82" t="str">
        <x:v>Bauke Mollema</x:v>
      </x:c>
      <x:c r="C58" s="143" t="str"/>
      <x:c r="D58" s="82" t="str">
        <x:v>オランダ</x:v>
      </x:c>
      <x:c r="E58" s="82" t="str">
        <x:v>Lidl–Trek</x:v>
      </x:c>
      <x:c r="F58" s="82" t="str">
        <x:v>1986-11-26</x:v>
      </x:c>
      <x:c r="G58" s="82" t="str">
        <x:v>現役確認済</x:v>
      </x:c>
      <x:c r="H58" s="82" t="str">
        <x:v>総合型</x:v>
      </x:c>
      <x:c r="I58" s="82" t="str">
        <x:v>スプリンター</x:v>
      </x:c>
      <x:c r="J58" s="85" t="n">
        <x:v>80</x:v>
      </x:c>
      <x:c r="K58" s="85" t="n">
        <x:v>76</x:v>
      </x:c>
      <x:c r="L58" s="91" t="str">
        <x:v>山岳賞ハンター / スプリントトレイン / 山岳アシスト / 山岳番手 / ブレイクアウェイキラー / ポジションキーパー</x:v>
      </x:c>
      <x:c r="M58" s="88" t="n">
        <x:v>8250</x:v>
      </x:c>
      <x:c r="N58" s="85" t="n">
        <x:v>61</x:v>
      </x:c>
      <x:c r="O58" s="85" t="n">
        <x:v>69</x:v>
      </x:c>
      <x:c r="P58" s="85" t="n">
        <x:v>74</x:v>
      </x:c>
      <x:c r="Q58" s="85" t="n">
        <x:v>74</x:v>
      </x:c>
      <x:c r="R58" s="85" t="n">
        <x:v>83</x:v>
      </x:c>
      <x:c r="S58" s="85" t="n">
        <x:v>77</x:v>
      </x:c>
      <x:c r="T58" s="85" t="n">
        <x:v>81</x:v>
      </x:c>
      <x:c r="U58" s="85" t="n">
        <x:v>74</x:v>
      </x:c>
      <x:c r="V58" s="85" t="n">
        <x:v>74</x:v>
      </x:c>
      <x:c r="W58" s="85" t="n">
        <x:v>57</x:v>
      </x:c>
      <x:c r="X58" s="85" t="n">
        <x:v>84</x:v>
      </x:c>
      <x:c r="Y58" s="85" t="n">
        <x:v>83</x:v>
      </x:c>
      <x:c r="Z58" s="85" t="n">
        <x:v>73</x:v>
      </x:c>
      <x:c r="AA58" s="85" t="n">
        <x:v>83</x:v>
      </x:c>
      <x:c r="AB58" s="85" t="n">
        <x:v>72</x:v>
      </x:c>
      <x:c r="AC58" s="91" t="str">
        <x:v>2026 UCI WorldTeam名簿掲載</x:v>
      </x:c>
      <x:c r="AD58" s="91" t="str">
        <x:v>https://en.wikipedia.org/wiki/List_of_2026_UCI_WorldTeams_and_riders</x:v>
      </x:c>
      <x:c r="AE58" s="91" t="str">
        <x:v>能力・適性・Credit整合済</x:v>
      </x:c>
      <x:c r="AF58" s="91" t="str">
        <x:v>https://en.wikipedia.org/wiki/Bauke_Mollema</x:v>
      </x:c>
    </x:row>
    <x:row r="59" ht="26" customHeight="1">
      <x:c r="A59" s="82" t="n">
        <x:v>55</x:v>
      </x:c>
      <x:c r="B59" s="82" t="str">
        <x:v>Victor Campenaerts</x:v>
      </x:c>
      <x:c r="C59" s="143" t="str"/>
      <x:c r="D59" s="82" t="str">
        <x:v>ベルギー</x:v>
      </x:c>
      <x:c r="E59" s="82" t="str">
        <x:v>Visma–Lease a Bike</x:v>
      </x:c>
      <x:c r="F59" s="82" t="str">
        <x:v>1991-10-28</x:v>
      </x:c>
      <x:c r="G59" s="82" t="str">
        <x:v>現役確認済</x:v>
      </x:c>
      <x:c r="H59" s="82" t="str">
        <x:v>TT・ルーラー型</x:v>
      </x:c>
      <x:c r="I59" s="82" t="str">
        <x:v>クラシック型</x:v>
      </x:c>
      <x:c r="J59" s="85" t="n">
        <x:v>80</x:v>
      </x:c>
      <x:c r="K59" s="85" t="n">
        <x:v>80</x:v>
      </x:c>
      <x:c r="L59" s="91" t="str">
        <x:v>サブエース / スーパー・ドメスティーク / TTスペシャリスト / 平坦アシスト / 平坦ペースメーカー / ブレイクアウェイキラー / 超ロングスパート</x:v>
      </x:c>
      <x:c r="M59" s="88" t="n">
        <x:v>7600</x:v>
      </x:c>
      <x:c r="N59" s="85" t="n">
        <x:v>69</x:v>
      </x:c>
      <x:c r="O59" s="85" t="n">
        <x:v>68</x:v>
      </x:c>
      <x:c r="P59" s="85" t="n">
        <x:v>67</x:v>
      </x:c>
      <x:c r="Q59" s="85" t="n">
        <x:v>83</x:v>
      </x:c>
      <x:c r="R59" s="85" t="n">
        <x:v>69</x:v>
      </x:c>
      <x:c r="S59" s="85" t="n">
        <x:v>73</x:v>
      </x:c>
      <x:c r="T59" s="85" t="n">
        <x:v>73</x:v>
      </x:c>
      <x:c r="U59" s="85" t="n">
        <x:v>79</x:v>
      </x:c>
      <x:c r="V59" s="85" t="n">
        <x:v>70</x:v>
      </x:c>
      <x:c r="W59" s="85" t="n">
        <x:v>50</x:v>
      </x:c>
      <x:c r="X59" s="85" t="n">
        <x:v>68</x:v>
      </x:c>
      <x:c r="Y59" s="85" t="n">
        <x:v>69</x:v>
      </x:c>
      <x:c r="Z59" s="85" t="n">
        <x:v>80</x:v>
      </x:c>
      <x:c r="AA59" s="85" t="n">
        <x:v>66</x:v>
      </x:c>
      <x:c r="AB59" s="85" t="n">
        <x:v>66</x:v>
      </x:c>
      <x:c r="AC59" s="91" t="str">
        <x:v>2026 UCI WorldTeam名簿掲載</x:v>
      </x:c>
      <x:c r="AD59" s="91" t="str">
        <x:v>https://en.wikipedia.org/wiki/List_of_2026_UCI_WorldTeams_and_riders</x:v>
      </x:c>
      <x:c r="AE59" s="91" t="str">
        <x:v>能力・適性・Credit整合済</x:v>
      </x:c>
      <x:c r="AF59" s="91" t="str">
        <x:v>https://en.wikipedia.org/wiki/Special:Search?search=Victor%20Campenaerts%20cyclist</x:v>
      </x:c>
    </x:row>
    <x:row r="60" ht="26" customHeight="1">
      <x:c r="A60" s="82" t="n">
        <x:v>56</x:v>
      </x:c>
      <x:c r="B60" s="82" t="str">
        <x:v>Richard Carapaz</x:v>
      </x:c>
      <x:c r="C60" s="143" t="str"/>
      <x:c r="D60" s="82" t="str">
        <x:v>エクアドル</x:v>
      </x:c>
      <x:c r="E60" s="82" t="str">
        <x:v>EF Education–EasyPost</x:v>
      </x:c>
      <x:c r="F60" s="82" t="str">
        <x:v>1993-05-29</x:v>
      </x:c>
      <x:c r="G60" s="82" t="str">
        <x:v>現役確認済</x:v>
      </x:c>
      <x:c r="H60" s="82" t="str">
        <x:v>総合型</x:v>
      </x:c>
      <x:c r="I60" s="82" t="str">
        <x:v>クライマー</x:v>
      </x:c>
      <x:c r="J60" s="85" t="n">
        <x:v>80</x:v>
      </x:c>
      <x:c r="K60" s="85" t="n">
        <x:v>73</x:v>
      </x:c>
      <x:c r="L60" s="91" t="str">
        <x:v>エース / 山岳賞ハンター / 山岳アシスト</x:v>
      </x:c>
      <x:c r="M60" s="88" t="n">
        <x:v>6500</x:v>
      </x:c>
      <x:c r="N60" s="85" t="n">
        <x:v>57</x:v>
      </x:c>
      <x:c r="O60" s="85" t="n">
        <x:v>69</x:v>
      </x:c>
      <x:c r="P60" s="85" t="n">
        <x:v>72</x:v>
      </x:c>
      <x:c r="Q60" s="85" t="n">
        <x:v>70</x:v>
      </x:c>
      <x:c r="R60" s="85" t="n">
        <x:v>79</x:v>
      </x:c>
      <x:c r="S60" s="85" t="n">
        <x:v>77</x:v>
      </x:c>
      <x:c r="T60" s="85" t="n">
        <x:v>72</x:v>
      </x:c>
      <x:c r="U60" s="85" t="n">
        <x:v>68</x:v>
      </x:c>
      <x:c r="V60" s="85" t="n">
        <x:v>68</x:v>
      </x:c>
      <x:c r="W60" s="85" t="n">
        <x:v>50</x:v>
      </x:c>
      <x:c r="X60" s="85" t="n">
        <x:v>81</x:v>
      </x:c>
      <x:c r="Y60" s="85" t="n">
        <x:v>82</x:v>
      </x:c>
      <x:c r="Z60" s="85" t="n">
        <x:v>67</x:v>
      </x:c>
      <x:c r="AA60" s="85" t="n">
        <x:v>76</x:v>
      </x:c>
      <x:c r="AB60" s="85" t="n">
        <x:v>69</x:v>
      </x:c>
      <x:c r="AC60" s="91" t="str">
        <x:v>2026 UCI WorldTeam名簿掲載</x:v>
      </x:c>
      <x:c r="AD60" s="91" t="str">
        <x:v>https://en.wikipedia.org/wiki/List_of_2026_UCI_WorldTeams_and_riders</x:v>
      </x:c>
      <x:c r="AE60" s="91" t="str">
        <x:v>能力・適性・Credit整合済</x:v>
      </x:c>
      <x:c r="AF60" s="91" t="str">
        <x:v>https://en.wikipedia.org/wiki/Special:Search?search=Richard%20Carapaz%20cyclist</x:v>
      </x:c>
    </x:row>
    <x:row r="61" ht="26" customHeight="1">
      <x:c r="A61" s="82" t="n">
        <x:v>57</x:v>
      </x:c>
      <x:c r="B61" s="82" t="str">
        <x:v>George Bennett (cyclist)</x:v>
      </x:c>
      <x:c r="C61" s="143" t="str"/>
      <x:c r="D61" s="82" t="str">
        <x:v>ニュージーランド</x:v>
      </x:c>
      <x:c r="E61" s="82" t="str">
        <x:v>NSN Cycling Team</x:v>
      </x:c>
      <x:c r="F61" s="82" t="str">
        <x:v>1990-04-07</x:v>
      </x:c>
      <x:c r="G61" s="82" t="str">
        <x:v>現役確認済</x:v>
      </x:c>
      <x:c r="H61" s="82" t="str">
        <x:v>クライマー</x:v>
      </x:c>
      <x:c r="I61" s="82" t="str">
        <x:v>総合型</x:v>
      </x:c>
      <x:c r="J61" s="85" t="n">
        <x:v>79</x:v>
      </x:c>
      <x:c r="K61" s="85" t="n">
        <x:v>77</x:v>
      </x:c>
      <x:c r="L61" s="91" t="str">
        <x:v>山岳賞ハンター / 山岳アシスト / 山岳番手 / 集団コントローラー / カウンターアタッカー</x:v>
      </x:c>
      <x:c r="M61" s="88" t="n">
        <x:v>8300</x:v>
      </x:c>
      <x:c r="N61" s="85" t="n">
        <x:v>62</x:v>
      </x:c>
      <x:c r="O61" s="85" t="n">
        <x:v>72</x:v>
      </x:c>
      <x:c r="P61" s="85" t="n">
        <x:v>72</x:v>
      </x:c>
      <x:c r="Q61" s="85" t="n">
        <x:v>67</x:v>
      </x:c>
      <x:c r="R61" s="85" t="n">
        <x:v>84</x:v>
      </x:c>
      <x:c r="S61" s="85" t="n">
        <x:v>82</x:v>
      </x:c>
      <x:c r="T61" s="85" t="n">
        <x:v>78</x:v>
      </x:c>
      <x:c r="U61" s="85" t="n">
        <x:v>68</x:v>
      </x:c>
      <x:c r="V61" s="85" t="n">
        <x:v>71</x:v>
      </x:c>
      <x:c r="W61" s="85" t="n">
        <x:v>58</x:v>
      </x:c>
      <x:c r="X61" s="85" t="n">
        <x:v>80</x:v>
      </x:c>
      <x:c r="Y61" s="85" t="n">
        <x:v>80</x:v>
      </x:c>
      <x:c r="Z61" s="85" t="n">
        <x:v>75</x:v>
      </x:c>
      <x:c r="AA61" s="85" t="n">
        <x:v>72</x:v>
      </x:c>
      <x:c r="AB61" s="85" t="n">
        <x:v>79</x:v>
      </x:c>
      <x:c r="AC61" s="91" t="str">
        <x:v>2026 UCI WorldTeam名簿掲載</x:v>
      </x:c>
      <x:c r="AD61" s="91" t="str">
        <x:v>https://en.wikipedia.org/wiki/List_of_2026_UCI_WorldTeams_and_riders</x:v>
      </x:c>
      <x:c r="AE61" s="91" t="str">
        <x:v>能力・適性・Credit整合済</x:v>
      </x:c>
      <x:c r="AF61" s="91" t="str">
        <x:v>https://en.wikipedia.org/wiki/George_Bennett_(cyclist)</x:v>
      </x:c>
    </x:row>
    <x:row r="62" ht="26" customHeight="1">
      <x:c r="A62" s="82" t="n">
        <x:v>58</x:v>
      </x:c>
      <x:c r="B62" s="82" t="str">
        <x:v>Lennert Van Eetvelt</x:v>
      </x:c>
      <x:c r="C62" s="143" t="str"/>
      <x:c r="D62" s="82" t="str">
        <x:v>ベルギー</x:v>
      </x:c>
      <x:c r="E62" s="82" t="str">
        <x:v>Lotto–Intermarché</x:v>
      </x:c>
      <x:c r="F62" s="82" t="str">
        <x:v>2001-07-17</x:v>
      </x:c>
      <x:c r="G62" s="82" t="str">
        <x:v>現役確認済</x:v>
      </x:c>
      <x:c r="H62" s="82" t="str">
        <x:v>総合型</x:v>
      </x:c>
      <x:c r="I62" s="82" t="str">
        <x:v>スプリンター</x:v>
      </x:c>
      <x:c r="J62" s="85" t="n">
        <x:v>79</x:v>
      </x:c>
      <x:c r="K62" s="85" t="n">
        <x:v>75</x:v>
      </x:c>
      <x:c r="L62" s="91" t="str">
        <x:v>スプリントトレイン / 山岳アシスト / ポジションキーパー</x:v>
      </x:c>
      <x:c r="M62" s="88" t="n">
        <x:v>6800</x:v>
      </x:c>
      <x:c r="N62" s="85" t="n">
        <x:v>67</x:v>
      </x:c>
      <x:c r="O62" s="85" t="n">
        <x:v>70</x:v>
      </x:c>
      <x:c r="P62" s="85" t="n">
        <x:v>71</x:v>
      </x:c>
      <x:c r="Q62" s="85" t="n">
        <x:v>70</x:v>
      </x:c>
      <x:c r="R62" s="85" t="n">
        <x:v>77</x:v>
      </x:c>
      <x:c r="S62" s="85" t="n">
        <x:v>83</x:v>
      </x:c>
      <x:c r="T62" s="85" t="n">
        <x:v>73</x:v>
      </x:c>
      <x:c r="U62" s="85" t="n">
        <x:v>71</x:v>
      </x:c>
      <x:c r="V62" s="85" t="n">
        <x:v>72</x:v>
      </x:c>
      <x:c r="W62" s="85" t="n">
        <x:v>57</x:v>
      </x:c>
      <x:c r="X62" s="85" t="n">
        <x:v>80</x:v>
      </x:c>
      <x:c r="Y62" s="85" t="n">
        <x:v>83</x:v>
      </x:c>
      <x:c r="Z62" s="85" t="n">
        <x:v>67</x:v>
      </x:c>
      <x:c r="AA62" s="85" t="n">
        <x:v>75</x:v>
      </x:c>
      <x:c r="AB62" s="85" t="n">
        <x:v>71</x:v>
      </x:c>
      <x:c r="AC62" s="91" t="str">
        <x:v>2026 UCI WorldTeam名簿掲載</x:v>
      </x:c>
      <x:c r="AD62" s="91" t="str">
        <x:v>https://en.wikipedia.org/wiki/List_of_2026_UCI_WorldTeams_and_riders</x:v>
      </x:c>
      <x:c r="AE62" s="91" t="str">
        <x:v>能力・適性・Credit整合済</x:v>
      </x:c>
      <x:c r="AF62" s="91" t="str">
        <x:v>https://en.wikipedia.org/wiki/Lennert_Van_Eetvelt</x:v>
      </x:c>
    </x:row>
    <x:row r="63" ht="26" customHeight="1">
      <x:c r="A63" s="82" t="n">
        <x:v>59</x:v>
      </x:c>
      <x:c r="B63" s="82" t="str">
        <x:v>Stefan Bissegger</x:v>
      </x:c>
      <x:c r="C63" s="143" t="str"/>
      <x:c r="D63" s="82" t="str">
        <x:v>スイス</x:v>
      </x:c>
      <x:c r="E63" s="82" t="str">
        <x:v>Decathlon–CMA CGM</x:v>
      </x:c>
      <x:c r="F63" s="82" t="str">
        <x:v>1998-09-13</x:v>
      </x:c>
      <x:c r="G63" s="82" t="str">
        <x:v>現役確認済</x:v>
      </x:c>
      <x:c r="H63" s="82" t="str">
        <x:v>TT・ルーラー型</x:v>
      </x:c>
      <x:c r="I63" s="82" t="str">
        <x:v>クラシック型</x:v>
      </x:c>
      <x:c r="J63" s="85" t="n">
        <x:v>79</x:v>
      </x:c>
      <x:c r="K63" s="85" t="n">
        <x:v>80</x:v>
      </x:c>
      <x:c r="L63" s="91" t="str">
        <x:v>サブエース / スーパー・ドメスティーク / TTスペシャリスト / 平坦アシスト / 平坦ペースメーカー / ブレイクアウェイキラー / ポジションキーパー</x:v>
      </x:c>
      <x:c r="M63" s="88" t="n">
        <x:v>6750</x:v>
      </x:c>
      <x:c r="N63" s="85" t="n">
        <x:v>69</x:v>
      </x:c>
      <x:c r="O63" s="85" t="n">
        <x:v>68</x:v>
      </x:c>
      <x:c r="P63" s="85" t="n">
        <x:v>67</x:v>
      </x:c>
      <x:c r="Q63" s="85" t="n">
        <x:v>83</x:v>
      </x:c>
      <x:c r="R63" s="85" t="n">
        <x:v>69</x:v>
      </x:c>
      <x:c r="S63" s="85" t="n">
        <x:v>73</x:v>
      </x:c>
      <x:c r="T63" s="85" t="n">
        <x:v>73</x:v>
      </x:c>
      <x:c r="U63" s="85" t="n">
        <x:v>78</x:v>
      </x:c>
      <x:c r="V63" s="85" t="n">
        <x:v>70</x:v>
      </x:c>
      <x:c r="W63" s="85" t="n">
        <x:v>76</x:v>
      </x:c>
      <x:c r="X63" s="85" t="n">
        <x:v>69</x:v>
      </x:c>
      <x:c r="Y63" s="85" t="n">
        <x:v>69</x:v>
      </x:c>
      <x:c r="Z63" s="85" t="n">
        <x:v>81</x:v>
      </x:c>
      <x:c r="AA63" s="85" t="n">
        <x:v>67</x:v>
      </x:c>
      <x:c r="AB63" s="85" t="n">
        <x:v>66</x:v>
      </x:c>
      <x:c r="AC63" s="91" t="str">
        <x:v>2026 UCI WorldTeam名簿掲載</x:v>
      </x:c>
      <x:c r="AD63" s="91" t="str">
        <x:v>https://en.wikipedia.org/wiki/List_of_2026_UCI_WorldTeams_and_riders</x:v>
      </x:c>
      <x:c r="AE63" s="91" t="str">
        <x:v>能力・適性・Credit整合済</x:v>
      </x:c>
      <x:c r="AF63" s="91" t="str">
        <x:v>https://en.wikipedia.org/wiki/Special:Search?search=Stefan%20Bissegger%20cyclist</x:v>
      </x:c>
    </x:row>
    <x:row r="64" ht="26" customHeight="1">
      <x:c r="A64" s="82" t="n">
        <x:v>60</x:v>
      </x:c>
      <x:c r="B64" s="82" t="str">
        <x:v>Harry Sweeny</x:v>
      </x:c>
      <x:c r="C64" s="143" t="str"/>
      <x:c r="D64" s="82" t="str">
        <x:v>オーストラリア</x:v>
      </x:c>
      <x:c r="E64" s="82" t="str">
        <x:v>EF Education–EasyPost</x:v>
      </x:c>
      <x:c r="F64" s="82" t="str">
        <x:v>1998-07-09</x:v>
      </x:c>
      <x:c r="G64" s="82" t="str">
        <x:v>現役確認済</x:v>
      </x:c>
      <x:c r="H64" s="82" t="str">
        <x:v>クラシック型</x:v>
      </x:c>
      <x:c r="I64" s="82" t="str">
        <x:v>TT・ルーラー型</x:v>
      </x:c>
      <x:c r="J64" s="85" t="n">
        <x:v>78</x:v>
      </x:c>
      <x:c r="K64" s="85" t="n">
        <x:v>79</x:v>
      </x:c>
      <x:c r="L64" s="91" t="str">
        <x:v>平坦アシスト / TT牽引 / 石畳護衛 / ブレイクアウェイキラー / 横風要員 / 逃げ屋 / ブリッジャー</x:v>
      </x:c>
      <x:c r="M64" s="88" t="n">
        <x:v>8400</x:v>
      </x:c>
      <x:c r="N64" s="85" t="n">
        <x:v>77</x:v>
      </x:c>
      <x:c r="O64" s="85" t="n">
        <x:v>74</x:v>
      </x:c>
      <x:c r="P64" s="85" t="n">
        <x:v>76</x:v>
      </x:c>
      <x:c r="Q64" s="85" t="n">
        <x:v>75</x:v>
      </x:c>
      <x:c r="R64" s="85" t="n">
        <x:v>70</x:v>
      </x:c>
      <x:c r="S64" s="85" t="n">
        <x:v>80</x:v>
      </x:c>
      <x:c r="T64" s="85" t="n">
        <x:v>83</x:v>
      </x:c>
      <x:c r="U64" s="85" t="n">
        <x:v>84</x:v>
      </x:c>
      <x:c r="V64" s="85" t="n">
        <x:v>80</x:v>
      </x:c>
      <x:c r="W64" s="85" t="n">
        <x:v>78</x:v>
      </x:c>
      <x:c r="X64" s="85" t="n">
        <x:v>74</x:v>
      </x:c>
      <x:c r="Y64" s="85" t="n">
        <x:v>71</x:v>
      </x:c>
      <x:c r="Z64" s="85" t="n">
        <x:v>80</x:v>
      </x:c>
      <x:c r="AA64" s="85" t="n">
        <x:v>74</x:v>
      </x:c>
      <x:c r="AB64" s="85" t="n">
        <x:v>84</x:v>
      </x:c>
      <x:c r="AC64" s="91" t="str">
        <x:v>2026 UCI WorldTeam名簿掲載</x:v>
      </x:c>
      <x:c r="AD64" s="91" t="str">
        <x:v>https://en.wikipedia.org/wiki/List_of_2026_UCI_WorldTeams_and_riders</x:v>
      </x:c>
      <x:c r="AE64" s="91" t="str">
        <x:v>能力・適性・Credit整合済</x:v>
      </x:c>
      <x:c r="AF64" s="91" t="str">
        <x:v>https://en.wikipedia.org/wiki/Harry_Sweeny</x:v>
      </x:c>
    </x:row>
    <x:row r="65" ht="26" customHeight="1">
      <x:c r="A65" s="82" t="n">
        <x:v>61</x:v>
      </x:c>
      <x:c r="B65" s="82" t="str">
        <x:v>Jefferson Alveiro Cepeda</x:v>
      </x:c>
      <x:c r="C65" s="143" t="str"/>
      <x:c r="D65" s="82" t="str">
        <x:v>エクアドル</x:v>
      </x:c>
      <x:c r="E65" s="82" t="str">
        <x:v>Movistar Team</x:v>
      </x:c>
      <x:c r="F65" s="82" t="str">
        <x:v>1996-03-02</x:v>
      </x:c>
      <x:c r="G65" s="82" t="str">
        <x:v>現役確認済</x:v>
      </x:c>
      <x:c r="H65" s="82" t="str">
        <x:v>クラシック型</x:v>
      </x:c>
      <x:c r="I65" s="82" t="str">
        <x:v>TT・ルーラー型</x:v>
      </x:c>
      <x:c r="J65" s="85" t="n">
        <x:v>78</x:v>
      </x:c>
      <x:c r="K65" s="85" t="n">
        <x:v>79</x:v>
      </x:c>
      <x:c r="L65" s="91" t="str">
        <x:v>平坦アシスト / TT牽引 / 石畳護衛 / 横風要員 / 逃げ屋 / 横風分断 / ポジションキーパー</x:v>
      </x:c>
      <x:c r="M65" s="88" t="n">
        <x:v>7900</x:v>
      </x:c>
      <x:c r="N65" s="85" t="n">
        <x:v>74</x:v>
      </x:c>
      <x:c r="O65" s="85" t="n">
        <x:v>72</x:v>
      </x:c>
      <x:c r="P65" s="85" t="n">
        <x:v>73</x:v>
      </x:c>
      <x:c r="Q65" s="85" t="n">
        <x:v>74</x:v>
      </x:c>
      <x:c r="R65" s="85" t="n">
        <x:v>68</x:v>
      </x:c>
      <x:c r="S65" s="85" t="n">
        <x:v>80</x:v>
      </x:c>
      <x:c r="T65" s="85" t="n">
        <x:v>83</x:v>
      </x:c>
      <x:c r="U65" s="85" t="n">
        <x:v>82</x:v>
      </x:c>
      <x:c r="V65" s="85" t="n">
        <x:v>84</x:v>
      </x:c>
      <x:c r="W65" s="85" t="n">
        <x:v>76</x:v>
      </x:c>
      <x:c r="X65" s="85" t="n">
        <x:v>74</x:v>
      </x:c>
      <x:c r="Y65" s="85" t="n">
        <x:v>73</x:v>
      </x:c>
      <x:c r="Z65" s="85" t="n">
        <x:v>79</x:v>
      </x:c>
      <x:c r="AA65" s="85" t="n">
        <x:v>68</x:v>
      </x:c>
      <x:c r="AB65" s="85" t="n">
        <x:v>81</x:v>
      </x:c>
      <x:c r="AC65" s="91" t="str">
        <x:v>2026 UCI WorldTeam名簿掲載</x:v>
      </x:c>
      <x:c r="AD65" s="91" t="str">
        <x:v>https://en.wikipedia.org/wiki/List_of_2026_UCI_WorldTeams_and_riders</x:v>
      </x:c>
      <x:c r="AE65" s="91" t="str">
        <x:v>能力・適性・Credit整合済</x:v>
      </x:c>
      <x:c r="AF65" s="91" t="str">
        <x:v>https://en.wikipedia.org/wiki/Jefferson_Alveiro_Cepeda</x:v>
      </x:c>
    </x:row>
    <x:row r="66" ht="26" customHeight="1">
      <x:c r="A66" s="82" t="n">
        <x:v>62</x:v>
      </x:c>
      <x:c r="B66" s="82" t="str">
        <x:v>Gregor Mühlberger</x:v>
      </x:c>
      <x:c r="C66" s="143" t="str"/>
      <x:c r="D66" s="82" t="str">
        <x:v>オーストリア</x:v>
      </x:c>
      <x:c r="E66" s="82" t="str">
        <x:v>Decathlon–CMA CGM</x:v>
      </x:c>
      <x:c r="F66" s="82" t="str">
        <x:v>1994-04-04</x:v>
      </x:c>
      <x:c r="G66" s="82" t="str">
        <x:v>現役確認済</x:v>
      </x:c>
      <x:c r="H66" s="82" t="str">
        <x:v>クライマー</x:v>
      </x:c>
      <x:c r="I66" s="82" t="str">
        <x:v>パンチャー</x:v>
      </x:c>
      <x:c r="J66" s="85" t="n">
        <x:v>78</x:v>
      </x:c>
      <x:c r="K66" s="85" t="n">
        <x:v>76</x:v>
      </x:c>
      <x:c r="L66" s="91" t="str">
        <x:v>山岳賞ハンター / 山岳アシスト / 山岳番手 / 逃げ屋 / カウンターアタッカー / ポジションキーパー</x:v>
      </x:c>
      <x:c r="M66" s="88" t="n">
        <x:v>7800</x:v>
      </x:c>
      <x:c r="N66" s="85" t="n">
        <x:v>64</x:v>
      </x:c>
      <x:c r="O66" s="85" t="n">
        <x:v>71</x:v>
      </x:c>
      <x:c r="P66" s="85" t="n">
        <x:v>72</x:v>
      </x:c>
      <x:c r="Q66" s="85" t="n">
        <x:v>69</x:v>
      </x:c>
      <x:c r="R66" s="85" t="n">
        <x:v>84</x:v>
      </x:c>
      <x:c r="S66" s="85" t="n">
        <x:v>81</x:v>
      </x:c>
      <x:c r="T66" s="85" t="n">
        <x:v>74</x:v>
      </x:c>
      <x:c r="U66" s="85" t="n">
        <x:v>73</x:v>
      </x:c>
      <x:c r="V66" s="85" t="n">
        <x:v>73</x:v>
      </x:c>
      <x:c r="W66" s="85" t="n">
        <x:v>55</x:v>
      </x:c>
      <x:c r="X66" s="85" t="n">
        <x:v>80</x:v>
      </x:c>
      <x:c r="Y66" s="85" t="n">
        <x:v>80</x:v>
      </x:c>
      <x:c r="Z66" s="85" t="n">
        <x:v>74</x:v>
      </x:c>
      <x:c r="AA66" s="85" t="n">
        <x:v>74</x:v>
      </x:c>
      <x:c r="AB66" s="85" t="n">
        <x:v>77</x:v>
      </x:c>
      <x:c r="AC66" s="91" t="str">
        <x:v>2026 UCI WorldTeam名簿掲載</x:v>
      </x:c>
      <x:c r="AD66" s="91" t="str">
        <x:v>https://en.wikipedia.org/wiki/List_of_2026_UCI_WorldTeams_and_riders</x:v>
      </x:c>
      <x:c r="AE66" s="91" t="str">
        <x:v>能力・適性・Credit整合済</x:v>
      </x:c>
      <x:c r="AF66" s="91" t="str">
        <x:v>https://en.wikipedia.org/wiki/Gregor_M%C3%BChlberger</x:v>
      </x:c>
    </x:row>
    <x:row r="67" ht="26" customHeight="1">
      <x:c r="A67" s="82" t="n">
        <x:v>63</x:v>
      </x:c>
      <x:c r="B67" s="82" t="str">
        <x:v>Lennard Kämna</x:v>
      </x:c>
      <x:c r="C67" s="143" t="str"/>
      <x:c r="D67" s="82" t="str">
        <x:v>ドイツ</x:v>
      </x:c>
      <x:c r="E67" s="82" t="str">
        <x:v>Lidl–Trek</x:v>
      </x:c>
      <x:c r="F67" s="82" t="str">
        <x:v>1996-09-09</x:v>
      </x:c>
      <x:c r="G67" s="82" t="str">
        <x:v>現役確認済</x:v>
      </x:c>
      <x:c r="H67" s="82" t="str">
        <x:v>総合型</x:v>
      </x:c>
      <x:c r="I67" s="82" t="str">
        <x:v>TT・ルーラー型</x:v>
      </x:c>
      <x:c r="J67" s="85" t="n">
        <x:v>78</x:v>
      </x:c>
      <x:c r="K67" s="85" t="n">
        <x:v>76</x:v>
      </x:c>
      <x:c r="L67" s="91" t="str">
        <x:v>山岳アシスト / TT牽引</x:v>
      </x:c>
      <x:c r="M67" s="88" t="n">
        <x:v>7450</x:v>
      </x:c>
      <x:c r="N67" s="85" t="n">
        <x:v>67</x:v>
      </x:c>
      <x:c r="O67" s="85" t="n">
        <x:v>68</x:v>
      </x:c>
      <x:c r="P67" s="85" t="n">
        <x:v>74</x:v>
      </x:c>
      <x:c r="Q67" s="85" t="n">
        <x:v>71</x:v>
      </x:c>
      <x:c r="R67" s="85" t="n">
        <x:v>81</x:v>
      </x:c>
      <x:c r="S67" s="85" t="n">
        <x:v>83</x:v>
      </x:c>
      <x:c r="T67" s="85" t="n">
        <x:v>81</x:v>
      </x:c>
      <x:c r="U67" s="85" t="n">
        <x:v>70</x:v>
      </x:c>
      <x:c r="V67" s="85" t="n">
        <x:v>72</x:v>
      </x:c>
      <x:c r="W67" s="85" t="n">
        <x:v>62</x:v>
      </x:c>
      <x:c r="X67" s="85" t="n">
        <x:v>83</x:v>
      </x:c>
      <x:c r="Y67" s="85" t="n">
        <x:v>82</x:v>
      </x:c>
      <x:c r="Z67" s="85" t="n">
        <x:v>70</x:v>
      </x:c>
      <x:c r="AA67" s="85" t="n">
        <x:v>79</x:v>
      </x:c>
      <x:c r="AB67" s="85" t="n">
        <x:v>71</x:v>
      </x:c>
      <x:c r="AC67" s="91" t="str">
        <x:v>2026 UCI WorldTeam名簿掲載</x:v>
      </x:c>
      <x:c r="AD67" s="91" t="str">
        <x:v>https://en.wikipedia.org/wiki/List_of_2026_UCI_WorldTeams_and_riders</x:v>
      </x:c>
      <x:c r="AE67" s="91" t="str">
        <x:v>能力・適性・Credit整合済</x:v>
      </x:c>
      <x:c r="AF67" s="91" t="str">
        <x:v>https://en.wikipedia.org/wiki/Lennard_K%C3%A4mna</x:v>
      </x:c>
    </x:row>
    <x:row r="68" ht="26" customHeight="1">
      <x:c r="A68" s="82" t="n">
        <x:v>64</x:v>
      </x:c>
      <x:c r="B68" s="82" t="str">
        <x:v>Lewis Askey</x:v>
      </x:c>
      <x:c r="C68" s="143" t="str"/>
      <x:c r="D68" s="82" t="str">
        <x:v>イギリス</x:v>
      </x:c>
      <x:c r="E68" s="82" t="str">
        <x:v>NSN Cycling Team</x:v>
      </x:c>
      <x:c r="F68" s="82" t="str">
        <x:v>2001-05-04</x:v>
      </x:c>
      <x:c r="G68" s="82" t="str">
        <x:v>現役確認済</x:v>
      </x:c>
      <x:c r="H68" s="82" t="str">
        <x:v>総合型</x:v>
      </x:c>
      <x:c r="I68" s="82" t="str">
        <x:v>TT・ルーラー型</x:v>
      </x:c>
      <x:c r="J68" s="85" t="n">
        <x:v>78</x:v>
      </x:c>
      <x:c r="K68" s="85" t="n">
        <x:v>76</x:v>
      </x:c>
      <x:c r="L68" s="91" t="str">
        <x:v>山岳賞ハンター / 平坦アシスト / 山岳アシスト / TT牽引 / 集団コントローラー / ブレイクアウェイキラー / 超ロングスパート</x:v>
      </x:c>
      <x:c r="M68" s="88" t="n">
        <x:v>6700</x:v>
      </x:c>
      <x:c r="N68" s="85" t="n">
        <x:v>63</x:v>
      </x:c>
      <x:c r="O68" s="85" t="n">
        <x:v>68</x:v>
      </x:c>
      <x:c r="P68" s="85" t="n">
        <x:v>72</x:v>
      </x:c>
      <x:c r="Q68" s="85" t="n">
        <x:v>74</x:v>
      </x:c>
      <x:c r="R68" s="85" t="n">
        <x:v>80</x:v>
      </x:c>
      <x:c r="S68" s="85" t="n">
        <x:v>78</x:v>
      </x:c>
      <x:c r="T68" s="85" t="n">
        <x:v>76</x:v>
      </x:c>
      <x:c r="U68" s="85" t="n">
        <x:v>70</x:v>
      </x:c>
      <x:c r="V68" s="85" t="n">
        <x:v>69</x:v>
      </x:c>
      <x:c r="W68" s="85" t="n">
        <x:v>63</x:v>
      </x:c>
      <x:c r="X68" s="85" t="n">
        <x:v>79</x:v>
      </x:c>
      <x:c r="Y68" s="85" t="n">
        <x:v>82</x:v>
      </x:c>
      <x:c r="Z68" s="85" t="n">
        <x:v>74</x:v>
      </x:c>
      <x:c r="AA68" s="85" t="n">
        <x:v>81</x:v>
      </x:c>
      <x:c r="AB68" s="85" t="n">
        <x:v>69</x:v>
      </x:c>
      <x:c r="AC68" s="91" t="str">
        <x:v>2026 UCI WorldTeam名簿掲載</x:v>
      </x:c>
      <x:c r="AD68" s="91" t="str">
        <x:v>https://en.wikipedia.org/wiki/List_of_2026_UCI_WorldTeams_and_riders</x:v>
      </x:c>
      <x:c r="AE68" s="91" t="str">
        <x:v>能力・適性・Credit整合済</x:v>
      </x:c>
      <x:c r="AF68" s="91" t="str">
        <x:v>https://en.wikipedia.org/wiki/Lewis_Askey</x:v>
      </x:c>
    </x:row>
    <x:row r="69" ht="26" customHeight="1">
      <x:c r="A69" s="82" t="n">
        <x:v>65</x:v>
      </x:c>
      <x:c r="B69" s="82" t="str">
        <x:v>Krists Neilands</x:v>
      </x:c>
      <x:c r="C69" s="143" t="str"/>
      <x:c r="D69" s="82" t="str">
        <x:v>LAT</x:v>
      </x:c>
      <x:c r="E69" s="82" t="str">
        <x:v>NSN Cycling Team</x:v>
      </x:c>
      <x:c r="F69" s="82" t="str">
        <x:v>1994-08-18</x:v>
      </x:c>
      <x:c r="G69" s="82" t="str">
        <x:v>現役確認済</x:v>
      </x:c>
      <x:c r="H69" s="82" t="str">
        <x:v>パンチャー</x:v>
      </x:c>
      <x:c r="I69" s="82" t="str">
        <x:v>総合型</x:v>
      </x:c>
      <x:c r="J69" s="85" t="n">
        <x:v>78</x:v>
      </x:c>
      <x:c r="K69" s="85" t="n">
        <x:v>74</x:v>
      </x:c>
      <x:c r="L69" s="91" t="str">
        <x:v>ステージハンター / 山岳賞ハンター / 集団コントローラー / 逃げ屋 / カウンターアタッカー</x:v>
      </x:c>
      <x:c r="M69" s="88" t="n">
        <x:v>6650</x:v>
      </x:c>
      <x:c r="N69" s="85" t="n">
        <x:v>74</x:v>
      </x:c>
      <x:c r="O69" s="85" t="n">
        <x:v>83</x:v>
      </x:c>
      <x:c r="P69" s="85" t="n">
        <x:v>84</x:v>
      </x:c>
      <x:c r="Q69" s="85" t="n">
        <x:v>69</x:v>
      </x:c>
      <x:c r="R69" s="85" t="n">
        <x:v>73</x:v>
      </x:c>
      <x:c r="S69" s="85" t="n">
        <x:v>68</x:v>
      </x:c>
      <x:c r="T69" s="85" t="n">
        <x:v>69</x:v>
      </x:c>
      <x:c r="U69" s="85" t="n">
        <x:v>73</x:v>
      </x:c>
      <x:c r="V69" s="85" t="n">
        <x:v>80</x:v>
      </x:c>
      <x:c r="W69" s="85" t="n">
        <x:v>59</x:v>
      </x:c>
      <x:c r="X69" s="85" t="n">
        <x:v>73</x:v>
      </x:c>
      <x:c r="Y69" s="85" t="n">
        <x:v>74</x:v>
      </x:c>
      <x:c r="Z69" s="85" t="n">
        <x:v>73</x:v>
      </x:c>
      <x:c r="AA69" s="85" t="n">
        <x:v>76</x:v>
      </x:c>
      <x:c r="AB69" s="85" t="n">
        <x:v>75</x:v>
      </x:c>
      <x:c r="AC69" s="91" t="str">
        <x:v>2026 UCI WorldTeam名簿掲載</x:v>
      </x:c>
      <x:c r="AD69" s="91" t="str">
        <x:v>https://en.wikipedia.org/wiki/List_of_2026_UCI_WorldTeams_and_riders</x:v>
      </x:c>
      <x:c r="AE69" s="91" t="str">
        <x:v>能力・適性・Credit整合済</x:v>
      </x:c>
      <x:c r="AF69" s="91" t="str">
        <x:v>https://en.wikipedia.org/wiki/Krists_Neilands</x:v>
      </x:c>
    </x:row>
    <x:row r="70" ht="26" customHeight="1">
      <x:c r="A70" s="82" t="n">
        <x:v>66</x:v>
      </x:c>
      <x:c r="B70" s="82" t="str">
        <x:v>Alexey Lutsenko</x:v>
      </x:c>
      <x:c r="C70" s="143" t="str"/>
      <x:c r="D70" s="82" t="str">
        <x:v>カザフスタン</x:v>
      </x:c>
      <x:c r="E70" s="82" t="str">
        <x:v>NSN Cycling Team</x:v>
      </x:c>
      <x:c r="F70" s="82" t="str">
        <x:v>1992-09-07</x:v>
      </x:c>
      <x:c r="G70" s="82" t="str">
        <x:v>現役確認済</x:v>
      </x:c>
      <x:c r="H70" s="82" t="str">
        <x:v>パンチャー</x:v>
      </x:c>
      <x:c r="I70" s="82" t="str">
        <x:v>クラシック型</x:v>
      </x:c>
      <x:c r="J70" s="85" t="n">
        <x:v>78</x:v>
      </x:c>
      <x:c r="K70" s="85" t="n">
        <x:v>73</x:v>
      </x:c>
      <x:c r="L70" s="91" t="str">
        <x:v>ステージハンター / 逃げ屋 / ブリッジャー / カウンターアタッカー</x:v>
      </x:c>
      <x:c r="M70" s="88" t="n">
        <x:v>6600</x:v>
      </x:c>
      <x:c r="N70" s="85" t="n">
        <x:v>75</x:v>
      </x:c>
      <x:c r="O70" s="85" t="n">
        <x:v>81</x:v>
      </x:c>
      <x:c r="P70" s="85" t="n">
        <x:v>84</x:v>
      </x:c>
      <x:c r="Q70" s="85" t="n">
        <x:v>71</x:v>
      </x:c>
      <x:c r="R70" s="85" t="n">
        <x:v>73</x:v>
      </x:c>
      <x:c r="S70" s="85" t="n">
        <x:v>70</x:v>
      </x:c>
      <x:c r="T70" s="85" t="n">
        <x:v>72</x:v>
      </x:c>
      <x:c r="U70" s="85" t="n">
        <x:v>73</x:v>
      </x:c>
      <x:c r="V70" s="85" t="n">
        <x:v>76</x:v>
      </x:c>
      <x:c r="W70" s="85" t="n">
        <x:v>63</x:v>
      </x:c>
      <x:c r="X70" s="85" t="n">
        <x:v>73</x:v>
      </x:c>
      <x:c r="Y70" s="85" t="n">
        <x:v>71</x:v>
      </x:c>
      <x:c r="Z70" s="85" t="n">
        <x:v>71</x:v>
      </x:c>
      <x:c r="AA70" s="85" t="n">
        <x:v>76</x:v>
      </x:c>
      <x:c r="AB70" s="85" t="n">
        <x:v>76</x:v>
      </x:c>
      <x:c r="AC70" s="91" t="str">
        <x:v>2026 UCI WorldTeam名簿掲載</x:v>
      </x:c>
      <x:c r="AD70" s="91" t="str">
        <x:v>https://en.wikipedia.org/wiki/List_of_2026_UCI_WorldTeams_and_riders</x:v>
      </x:c>
      <x:c r="AE70" s="91" t="str">
        <x:v>能力・適性・Credit整合済</x:v>
      </x:c>
      <x:c r="AF70" s="91" t="str">
        <x:v>https://en.wikipedia.org/wiki/Alexey_Lutsenko</x:v>
      </x:c>
    </x:row>
    <x:row r="71" ht="26" customHeight="1">
      <x:c r="A71" s="82" t="n">
        <x:v>67</x:v>
      </x:c>
      <x:c r="B71" s="82" t="str">
        <x:v>Carlos Rodríguez (cyclist)</x:v>
      </x:c>
      <x:c r="C71" s="143" t="str"/>
      <x:c r="D71" s="82" t="str">
        <x:v>スペイン</x:v>
      </x:c>
      <x:c r="E71" s="82" t="str">
        <x:v>Netcompany INEOS Cycling Team</x:v>
      </x:c>
      <x:c r="F71" s="82" t="str">
        <x:v>2001-02-02</x:v>
      </x:c>
      <x:c r="G71" s="82" t="str">
        <x:v>現役確認済</x:v>
      </x:c>
      <x:c r="H71" s="82" t="str">
        <x:v>総合型</x:v>
      </x:c>
      <x:c r="I71" s="82" t="str">
        <x:v>スプリンター</x:v>
      </x:c>
      <x:c r="J71" s="85" t="n">
        <x:v>77</x:v>
      </x:c>
      <x:c r="K71" s="85" t="n">
        <x:v>77</x:v>
      </x:c>
      <x:c r="L71" s="91" t="str">
        <x:v>スプリントトレイン / 平坦アシスト / 山岳アシスト / 山岳番手 / 超ロングスパート / ポジションキーパー</x:v>
      </x:c>
      <x:c r="M71" s="88" t="n">
        <x:v>7400</x:v>
      </x:c>
      <x:c r="N71" s="85" t="n">
        <x:v>68</x:v>
      </x:c>
      <x:c r="O71" s="85" t="n">
        <x:v>68</x:v>
      </x:c>
      <x:c r="P71" s="85" t="n">
        <x:v>72</x:v>
      </x:c>
      <x:c r="Q71" s="85" t="n">
        <x:v>73</x:v>
      </x:c>
      <x:c r="R71" s="85" t="n">
        <x:v>81</x:v>
      </x:c>
      <x:c r="S71" s="85" t="n">
        <x:v>83</x:v>
      </x:c>
      <x:c r="T71" s="85" t="n">
        <x:v>81</x:v>
      </x:c>
      <x:c r="U71" s="85" t="n">
        <x:v>73</x:v>
      </x:c>
      <x:c r="V71" s="85" t="n">
        <x:v>74</x:v>
      </x:c>
      <x:c r="W71" s="85" t="n">
        <x:v>57</x:v>
      </x:c>
      <x:c r="X71" s="85" t="n">
        <x:v>83</x:v>
      </x:c>
      <x:c r="Y71" s="85" t="n">
        <x:v>83</x:v>
      </x:c>
      <x:c r="Z71" s="85" t="n">
        <x:v>70</x:v>
      </x:c>
      <x:c r="AA71" s="85" t="n">
        <x:v>74</x:v>
      </x:c>
      <x:c r="AB71" s="85" t="n">
        <x:v>73</x:v>
      </x:c>
      <x:c r="AC71" s="91" t="str">
        <x:v>2026 UCI WorldTeam名簿掲載</x:v>
      </x:c>
      <x:c r="AD71" s="91" t="str">
        <x:v>https://en.wikipedia.org/wiki/List_of_2026_UCI_WorldTeams_and_riders</x:v>
      </x:c>
      <x:c r="AE71" s="91" t="str">
        <x:v>能力・適性・Credit整合済</x:v>
      </x:c>
      <x:c r="AF71" s="91" t="str">
        <x:v>https://en.wikipedia.org/wiki/Carlos_Rodr%C3%ADguez_(cyclist)</x:v>
      </x:c>
    </x:row>
    <x:row r="72" ht="26" customHeight="1">
      <x:c r="A72" s="82" t="n">
        <x:v>68</x:v>
      </x:c>
      <x:c r="B72" s="82" t="str">
        <x:v>Nairo Quintana</x:v>
      </x:c>
      <x:c r="C72" s="143" t="str">
        <x:v>アンデスの鷹</x:v>
      </x:c>
      <x:c r="D72" s="82" t="str">
        <x:v>コロンビア</x:v>
      </x:c>
      <x:c r="E72" s="82" t="str">
        <x:v>Movistar Team</x:v>
      </x:c>
      <x:c r="F72" s="82" t="str">
        <x:v>1990-02-04</x:v>
      </x:c>
      <x:c r="G72" s="82" t="str">
        <x:v>現役確認済</x:v>
      </x:c>
      <x:c r="H72" s="82" t="str">
        <x:v>クライマー</x:v>
      </x:c>
      <x:c r="I72" s="82" t="str">
        <x:v>パンチャー</x:v>
      </x:c>
      <x:c r="J72" s="85" t="n">
        <x:v>77</x:v>
      </x:c>
      <x:c r="K72" s="85" t="n">
        <x:v>70</x:v>
      </x:c>
      <x:c r="L72" s="91" t="str">
        <x:v>エース / 山岳賞ハンター / 山岳アシスト</x:v>
      </x:c>
      <x:c r="M72" s="88" t="n">
        <x:v>6950</x:v>
      </x:c>
      <x:c r="N72" s="85" t="n">
        <x:v>59</x:v>
      </x:c>
      <x:c r="O72" s="85" t="n">
        <x:v>71</x:v>
      </x:c>
      <x:c r="P72" s="85" t="n">
        <x:v>72</x:v>
      </x:c>
      <x:c r="Q72" s="85" t="n">
        <x:v>68</x:v>
      </x:c>
      <x:c r="R72" s="85" t="n">
        <x:v>82</x:v>
      </x:c>
      <x:c r="S72" s="85" t="n">
        <x:v>77</x:v>
      </x:c>
      <x:c r="T72" s="85" t="n">
        <x:v>74</x:v>
      </x:c>
      <x:c r="U72" s="85" t="n">
        <x:v>67</x:v>
      </x:c>
      <x:c r="V72" s="85" t="n">
        <x:v>69</x:v>
      </x:c>
      <x:c r="W72" s="85" t="n">
        <x:v>50</x:v>
      </x:c>
      <x:c r="X72" s="85" t="n">
        <x:v>78</x:v>
      </x:c>
      <x:c r="Y72" s="85" t="n">
        <x:v>78</x:v>
      </x:c>
      <x:c r="Z72" s="85" t="n">
        <x:v>69</x:v>
      </x:c>
      <x:c r="AA72" s="85" t="n">
        <x:v>73</x:v>
      </x:c>
      <x:c r="AB72" s="85" t="n">
        <x:v>73</x:v>
      </x:c>
      <x:c r="AC72" s="91" t="str">
        <x:v>2026 UCI WorldTeam名簿掲載</x:v>
      </x:c>
      <x:c r="AD72" s="91" t="str">
        <x:v>https://en.wikipedia.org/wiki/List_of_2026_UCI_WorldTeams_and_riders</x:v>
      </x:c>
      <x:c r="AE72" s="91" t="str">
        <x:v>能力・適性・Credit整合済</x:v>
      </x:c>
      <x:c r="AF72" s="91" t="str">
        <x:v>https://en.wikipedia.org/wiki/Special:Search?search=Nairo%20Quintana%20cyclist</x:v>
      </x:c>
    </x:row>
    <x:row r="73" ht="26" customHeight="1">
      <x:c r="A73" s="82" t="n">
        <x:v>69</x:v>
      </x:c>
      <x:c r="B73" s="82" t="str">
        <x:v>Andreas Leknessund</x:v>
      </x:c>
      <x:c r="C73" s="143" t="str"/>
      <x:c r="D73" s="82" t="str">
        <x:v>ノルウェー</x:v>
      </x:c>
      <x:c r="E73" s="82" t="str">
        <x:v>Uno-X Mobility</x:v>
      </x:c>
      <x:c r="F73" s="82" t="str">
        <x:v>1999-05-21</x:v>
      </x:c>
      <x:c r="G73" s="82" t="str">
        <x:v>現役確認済</x:v>
      </x:c>
      <x:c r="H73" s="82" t="str">
        <x:v>総合型</x:v>
      </x:c>
      <x:c r="I73" s="82" t="str">
        <x:v>クラシック型</x:v>
      </x:c>
      <x:c r="J73" s="85" t="n">
        <x:v>77</x:v>
      </x:c>
      <x:c r="K73" s="85" t="n">
        <x:v>76</x:v>
      </x:c>
      <x:c r="L73" s="91" t="str">
        <x:v>平坦アシスト / 山岳アシスト / 山岳番手 / TT牽引 / 横風要員 / 逃げ屋 / 超ロングスパート</x:v>
      </x:c>
      <x:c r="M73" s="88" t="n">
        <x:v>6900</x:v>
      </x:c>
      <x:c r="N73" s="85" t="n">
        <x:v>70</x:v>
      </x:c>
      <x:c r="O73" s="85" t="n">
        <x:v>69</x:v>
      </x:c>
      <x:c r="P73" s="85" t="n">
        <x:v>73</x:v>
      </x:c>
      <x:c r="Q73" s="85" t="n">
        <x:v>74</x:v>
      </x:c>
      <x:c r="R73" s="85" t="n">
        <x:v>77</x:v>
      </x:c>
      <x:c r="S73" s="85" t="n">
        <x:v>83</x:v>
      </x:c>
      <x:c r="T73" s="85" t="n">
        <x:v>80</x:v>
      </x:c>
      <x:c r="U73" s="85" t="n">
        <x:v>70</x:v>
      </x:c>
      <x:c r="V73" s="85" t="n">
        <x:v>69</x:v>
      </x:c>
      <x:c r="W73" s="85" t="n">
        <x:v>56</x:v>
      </x:c>
      <x:c r="X73" s="85" t="n">
        <x:v>82</x:v>
      </x:c>
      <x:c r="Y73" s="85" t="n">
        <x:v>83</x:v>
      </x:c>
      <x:c r="Z73" s="85" t="n">
        <x:v>74</x:v>
      </x:c>
      <x:c r="AA73" s="85" t="n">
        <x:v>74</x:v>
      </x:c>
      <x:c r="AB73" s="85" t="n">
        <x:v>73</x:v>
      </x:c>
      <x:c r="AC73" s="91" t="str">
        <x:v>2026 UCI WorldTeam名簿掲載</x:v>
      </x:c>
      <x:c r="AD73" s="91" t="str">
        <x:v>https://en.wikipedia.org/wiki/List_of_2026_UCI_WorldTeams_and_riders</x:v>
      </x:c>
      <x:c r="AE73" s="91" t="str">
        <x:v>能力・適性・Credit整合済</x:v>
      </x:c>
      <x:c r="AF73" s="91" t="str">
        <x:v>https://en.wikipedia.org/wiki/Andreas_Leknessund</x:v>
      </x:c>
    </x:row>
    <x:row r="74" ht="26" customHeight="1">
      <x:c r="A74" s="82" t="n">
        <x:v>70</x:v>
      </x:c>
      <x:c r="B74" s="82" t="str">
        <x:v>Aleksandr Vlasov (cyclist)</x:v>
      </x:c>
      <x:c r="C74" s="143" t="str"/>
      <x:c r="D74" s="82" t="str">
        <x:v>RUS</x:v>
      </x:c>
      <x:c r="E74" s="82" t="str">
        <x:v>Red Bull–Bora–Hansgrohe</x:v>
      </x:c>
      <x:c r="F74" s="82" t="str">
        <x:v>1996-04-23</x:v>
      </x:c>
      <x:c r="G74" s="82" t="str">
        <x:v>現役確認済</x:v>
      </x:c>
      <x:c r="H74" s="82" t="str">
        <x:v>総合型</x:v>
      </x:c>
      <x:c r="I74" s="82" t="str">
        <x:v>クライマー</x:v>
      </x:c>
      <x:c r="J74" s="85" t="n">
        <x:v>77</x:v>
      </x:c>
      <x:c r="K74" s="85" t="n">
        <x:v>76</x:v>
      </x:c>
      <x:c r="L74" s="91" t="str">
        <x:v>山岳賞ハンター / 山岳アシスト / ブリッジャー</x:v>
      </x:c>
      <x:c r="M74" s="88" t="n">
        <x:v>6850</x:v>
      </x:c>
      <x:c r="N74" s="85" t="n">
        <x:v>69</x:v>
      </x:c>
      <x:c r="O74" s="85" t="n">
        <x:v>71</x:v>
      </x:c>
      <x:c r="P74" s="85" t="n">
        <x:v>72</x:v>
      </x:c>
      <x:c r="Q74" s="85" t="n">
        <x:v>71</x:v>
      </x:c>
      <x:c r="R74" s="85" t="n">
        <x:v>80</x:v>
      </x:c>
      <x:c r="S74" s="85" t="n">
        <x:v>82</x:v>
      </x:c>
      <x:c r="T74" s="85" t="n">
        <x:v>80</x:v>
      </x:c>
      <x:c r="U74" s="85" t="n">
        <x:v>70</x:v>
      </x:c>
      <x:c r="V74" s="85" t="n">
        <x:v>73</x:v>
      </x:c>
      <x:c r="W74" s="85" t="n">
        <x:v>58</x:v>
      </x:c>
      <x:c r="X74" s="85" t="n">
        <x:v>80</x:v>
      </x:c>
      <x:c r="Y74" s="85" t="n">
        <x:v>82</x:v>
      </x:c>
      <x:c r="Z74" s="85" t="n">
        <x:v>69</x:v>
      </x:c>
      <x:c r="AA74" s="85" t="n">
        <x:v>82</x:v>
      </x:c>
      <x:c r="AB74" s="85" t="n">
        <x:v>73</x:v>
      </x:c>
      <x:c r="AC74" s="91" t="str">
        <x:v>2026 UCI WorldTeam名簿掲載</x:v>
      </x:c>
      <x:c r="AD74" s="91" t="str">
        <x:v>https://en.wikipedia.org/wiki/List_of_2026_UCI_WorldTeams_and_riders</x:v>
      </x:c>
      <x:c r="AE74" s="91" t="str">
        <x:v>能力・適性・Credit整合済</x:v>
      </x:c>
      <x:c r="AF74" s="91" t="str">
        <x:v>https://en.wikipedia.org/wiki/Aleksandr_Vlasov_(cyclist)</x:v>
      </x:c>
    </x:row>
    <x:row r="75" ht="26" customHeight="1">
      <x:c r="A75" s="82" t="n">
        <x:v>71</x:v>
      </x:c>
      <x:c r="B75" s="82" t="str">
        <x:v>Carl-Frederik Bévort</x:v>
      </x:c>
      <x:c r="C75" s="143" t="str"/>
      <x:c r="D75" s="82" t="str">
        <x:v>デンマーク</x:v>
      </x:c>
      <x:c r="E75" s="82" t="str">
        <x:v>Uno-X Mobility</x:v>
      </x:c>
      <x:c r="F75" s="82" t="str">
        <x:v>2003-11-24</x:v>
      </x:c>
      <x:c r="G75" s="82" t="str">
        <x:v>現役確認済</x:v>
      </x:c>
      <x:c r="H75" s="82" t="str">
        <x:v>クラシック型</x:v>
      </x:c>
      <x:c r="I75" s="82" t="str">
        <x:v>パンチャー</x:v>
      </x:c>
      <x:c r="J75" s="85" t="n">
        <x:v>77</x:v>
      </x:c>
      <x:c r="K75" s="85" t="n">
        <x:v>75</x:v>
      </x:c>
      <x:c r="L75" s="91" t="str">
        <x:v>ステージハンター / 石畳護衛 / ブレイクアウェイキラー / 横風要員 / 逃げ屋 / ポジションキーパー</x:v>
      </x:c>
      <x:c r="M75" s="88" t="n">
        <x:v>6500</x:v>
      </x:c>
      <x:c r="N75" s="85" t="n">
        <x:v>75</x:v>
      </x:c>
      <x:c r="O75" s="85" t="n">
        <x:v>72</x:v>
      </x:c>
      <x:c r="P75" s="85" t="n">
        <x:v>76</x:v>
      </x:c>
      <x:c r="Q75" s="85" t="n">
        <x:v>75</x:v>
      </x:c>
      <x:c r="R75" s="85" t="n">
        <x:v>70</x:v>
      </x:c>
      <x:c r="S75" s="85" t="n">
        <x:v>72</x:v>
      </x:c>
      <x:c r="T75" s="85" t="n">
        <x:v>78</x:v>
      </x:c>
      <x:c r="U75" s="85" t="n">
        <x:v>78</x:v>
      </x:c>
      <x:c r="V75" s="85" t="n">
        <x:v>82</x:v>
      </x:c>
      <x:c r="W75" s="85" t="n">
        <x:v>74</x:v>
      </x:c>
      <x:c r="X75" s="85" t="n">
        <x:v>69</x:v>
      </x:c>
      <x:c r="Y75" s="85" t="n">
        <x:v>70</x:v>
      </x:c>
      <x:c r="Z75" s="85" t="n">
        <x:v>75</x:v>
      </x:c>
      <x:c r="AA75" s="85" t="n">
        <x:v>73</x:v>
      </x:c>
      <x:c r="AB75" s="85" t="n">
        <x:v>79</x:v>
      </x:c>
      <x:c r="AC75" s="91" t="str">
        <x:v>2026 UCI WorldTeam名簿掲載</x:v>
      </x:c>
      <x:c r="AD75" s="91" t="str">
        <x:v>https://en.wikipedia.org/wiki/List_of_2026_UCI_WorldTeams_and_riders</x:v>
      </x:c>
      <x:c r="AE75" s="91" t="str">
        <x:v>能力・適性・Credit整合済</x:v>
      </x:c>
      <x:c r="AF75" s="91" t="str">
        <x:v>https://en.wikipedia.org/wiki/Carl-Frederik_B%C3%A9vort</x:v>
      </x:c>
    </x:row>
    <x:row r="76" ht="26" customHeight="1">
      <x:c r="A76" s="82" t="n">
        <x:v>72</x:v>
      </x:c>
      <x:c r="B76" s="82" t="str">
        <x:v>Frits Biesterbos</x:v>
      </x:c>
      <x:c r="C76" s="143" t="str"/>
      <x:c r="D76" s="82" t="str">
        <x:v>オランダ</x:v>
      </x:c>
      <x:c r="E76" s="82" t="str">
        <x:v>Team Picnic–PostNL</x:v>
      </x:c>
      <x:c r="F76" s="82" t="str">
        <x:v>2002-02-14</x:v>
      </x:c>
      <x:c r="G76" s="82" t="str">
        <x:v>現役確認済</x:v>
      </x:c>
      <x:c r="H76" s="82" t="str">
        <x:v>クライマー</x:v>
      </x:c>
      <x:c r="I76" s="82" t="str">
        <x:v>パンチャー</x:v>
      </x:c>
      <x:c r="J76" s="85" t="n">
        <x:v>77</x:v>
      </x:c>
      <x:c r="K76" s="85" t="n">
        <x:v>75</x:v>
      </x:c>
      <x:c r="L76" s="91" t="str">
        <x:v>山岳賞ハンター / 山岳アシスト</x:v>
      </x:c>
      <x:c r="M76" s="88" t="n">
        <x:v>6500</x:v>
      </x:c>
      <x:c r="N76" s="85" t="n">
        <x:v>57</x:v>
      </x:c>
      <x:c r="O76" s="85" t="n">
        <x:v>69</x:v>
      </x:c>
      <x:c r="P76" s="85" t="n">
        <x:v>70</x:v>
      </x:c>
      <x:c r="Q76" s="85" t="n">
        <x:v>66</x:v>
      </x:c>
      <x:c r="R76" s="85" t="n">
        <x:v>83</x:v>
      </x:c>
      <x:c r="S76" s="85" t="n">
        <x:v>75</x:v>
      </x:c>
      <x:c r="T76" s="85" t="n">
        <x:v>76</x:v>
      </x:c>
      <x:c r="U76" s="85" t="n">
        <x:v>65</x:v>
      </x:c>
      <x:c r="V76" s="85" t="n">
        <x:v>68</x:v>
      </x:c>
      <x:c r="W76" s="85" t="n">
        <x:v>55</x:v>
      </x:c>
      <x:c r="X76" s="85" t="n">
        <x:v>77</x:v>
      </x:c>
      <x:c r="Y76" s="85" t="n">
        <x:v>79</x:v>
      </x:c>
      <x:c r="Z76" s="85" t="n">
        <x:v>71</x:v>
      </x:c>
      <x:c r="AA76" s="85" t="n">
        <x:v>68</x:v>
      </x:c>
      <x:c r="AB76" s="85" t="n">
        <x:v>76</x:v>
      </x:c>
      <x:c r="AC76" s="91" t="str">
        <x:v>2026 UCI WorldTeam名簿掲載</x:v>
      </x:c>
      <x:c r="AD76" s="91" t="str">
        <x:v>https://en.wikipedia.org/wiki/List_of_2026_UCI_WorldTeams_and_riders</x:v>
      </x:c>
      <x:c r="AE76" s="91" t="str">
        <x:v>能力・適性・Credit整合済</x:v>
      </x:c>
      <x:c r="AF76" s="91" t="str">
        <x:v>https://en.wikipedia.org/wiki/Frits_Biesterbos</x:v>
      </x:c>
    </x:row>
    <x:row r="77" ht="26" customHeight="1">
      <x:c r="A77" s="82" t="n">
        <x:v>73</x:v>
      </x:c>
      <x:c r="B77" s="82" t="str">
        <x:v>Ethan Vernon</x:v>
      </x:c>
      <x:c r="C77" s="143" t="str"/>
      <x:c r="D77" s="82" t="str">
        <x:v>イギリス</x:v>
      </x:c>
      <x:c r="E77" s="82" t="str">
        <x:v>NSN Cycling Team</x:v>
      </x:c>
      <x:c r="F77" s="82" t="str">
        <x:v>2000-08-26</x:v>
      </x:c>
      <x:c r="G77" s="82" t="str">
        <x:v>現役確認済</x:v>
      </x:c>
      <x:c r="H77" s="82" t="str">
        <x:v>スプリンター</x:v>
      </x:c>
      <x:c r="I77" s="82" t="str">
        <x:v>クラシック型</x:v>
      </x:c>
      <x:c r="J77" s="85" t="n">
        <x:v>77</x:v>
      </x:c>
      <x:c r="K77" s="85" t="n">
        <x:v>72</x:v>
      </x:c>
      <x:c r="L77" s="91" t="str">
        <x:v>リードアウト / 最終発射台 / 逃げ屋 / 超ロングスパート / ブリッジャー / 無賃乗車</x:v>
      </x:c>
      <x:c r="M77" s="88" t="n">
        <x:v>6300</x:v>
      </x:c>
      <x:c r="N77" s="85" t="n">
        <x:v>81</x:v>
      </x:c>
      <x:c r="O77" s="85" t="n">
        <x:v>80</x:v>
      </x:c>
      <x:c r="P77" s="85" t="n">
        <x:v>69</x:v>
      </x:c>
      <x:c r="Q77" s="85" t="n">
        <x:v>78</x:v>
      </x:c>
      <x:c r="R77" s="85" t="n">
        <x:v>60</x:v>
      </x:c>
      <x:c r="S77" s="85" t="n">
        <x:v>69</x:v>
      </x:c>
      <x:c r="T77" s="85" t="n">
        <x:v>70</x:v>
      </x:c>
      <x:c r="U77" s="85" t="n">
        <x:v>72</x:v>
      </x:c>
      <x:c r="V77" s="85" t="n">
        <x:v>71</x:v>
      </x:c>
      <x:c r="W77" s="85" t="n">
        <x:v>58</x:v>
      </x:c>
      <x:c r="X77" s="85" t="n">
        <x:v>73</x:v>
      </x:c>
      <x:c r="Y77" s="85" t="n">
        <x:v>70</x:v>
      </x:c>
      <x:c r="Z77" s="85" t="n">
        <x:v>68</x:v>
      </x:c>
      <x:c r="AA77" s="85" t="n">
        <x:v>75</x:v>
      </x:c>
      <x:c r="AB77" s="85" t="n">
        <x:v>71</x:v>
      </x:c>
      <x:c r="AC77" s="91" t="str">
        <x:v>2026 UCI WorldTeam名簿掲載</x:v>
      </x:c>
      <x:c r="AD77" s="91" t="str">
        <x:v>https://en.wikipedia.org/wiki/List_of_2026_UCI_WorldTeams_and_riders</x:v>
      </x:c>
      <x:c r="AE77" s="91" t="str">
        <x:v>能力・適性・Credit整合済</x:v>
      </x:c>
      <x:c r="AF77" s="91" t="str">
        <x:v>https://en.wikipedia.org/wiki/Ethan_Vernon</x:v>
      </x:c>
    </x:row>
    <x:row r="78" ht="26" customHeight="1">
      <x:c r="A78" s="82" t="n">
        <x:v>74</x:v>
      </x:c>
      <x:c r="B78" s="82" t="str">
        <x:v>Hugo Hofstetter</x:v>
      </x:c>
      <x:c r="C78" s="143" t="str"/>
      <x:c r="D78" s="82" t="str">
        <x:v>フランス</x:v>
      </x:c>
      <x:c r="E78" s="82" t="str">
        <x:v>NSN Cycling Team</x:v>
      </x:c>
      <x:c r="F78" s="82" t="str">
        <x:v>1994-02-13</x:v>
      </x:c>
      <x:c r="G78" s="82" t="str">
        <x:v>現役確認済</x:v>
      </x:c>
      <x:c r="H78" s="82" t="str">
        <x:v>スプリンター</x:v>
      </x:c>
      <x:c r="I78" s="82" t="str">
        <x:v>総合型</x:v>
      </x:c>
      <x:c r="J78" s="85" t="n">
        <x:v>77</x:v>
      </x:c>
      <x:c r="K78" s="85" t="n">
        <x:v>71</x:v>
      </x:c>
      <x:c r="L78" s="91" t="str">
        <x:v>リードアウト / 最終発射台 / スプリントトレイン / 集団コントローラー</x:v>
      </x:c>
      <x:c r="M78" s="88" t="n">
        <x:v>6150</x:v>
      </x:c>
      <x:c r="N78" s="85" t="n">
        <x:v>84</x:v>
      </x:c>
      <x:c r="O78" s="85" t="n">
        <x:v>78</x:v>
      </x:c>
      <x:c r="P78" s="85" t="n">
        <x:v>70</x:v>
      </x:c>
      <x:c r="Q78" s="85" t="n">
        <x:v>74</x:v>
      </x:c>
      <x:c r="R78" s="85" t="n">
        <x:v>64</x:v>
      </x:c>
      <x:c r="S78" s="85" t="n">
        <x:v>66</x:v>
      </x:c>
      <x:c r="T78" s="85" t="n">
        <x:v>69</x:v>
      </x:c>
      <x:c r="U78" s="85" t="n">
        <x:v>69</x:v>
      </x:c>
      <x:c r="V78" s="85" t="n">
        <x:v>70</x:v>
      </x:c>
      <x:c r="W78" s="85" t="n">
        <x:v>62</x:v>
      </x:c>
      <x:c r="X78" s="85" t="n">
        <x:v>72</x:v>
      </x:c>
      <x:c r="Y78" s="85" t="n">
        <x:v>71</x:v>
      </x:c>
      <x:c r="Z78" s="85" t="n">
        <x:v>65</x:v>
      </x:c>
      <x:c r="AA78" s="85" t="n">
        <x:v>83</x:v>
      </x:c>
      <x:c r="AB78" s="85" t="n">
        <x:v>71</x:v>
      </x:c>
      <x:c r="AC78" s="91" t="str">
        <x:v>2026 UCI WorldTeam名簿掲載</x:v>
      </x:c>
      <x:c r="AD78" s="91" t="str">
        <x:v>https://en.wikipedia.org/wiki/List_of_2026_UCI_WorldTeams_and_riders</x:v>
      </x:c>
      <x:c r="AE78" s="91" t="str">
        <x:v>能力・適性・Credit整合済</x:v>
      </x:c>
      <x:c r="AF78" s="91" t="str">
        <x:v>https://en.wikipedia.org/wiki/Hugo_Hofstetter</x:v>
      </x:c>
    </x:row>
    <x:row r="79" ht="26" customHeight="1">
      <x:c r="A79" s="82" t="n">
        <x:v>75</x:v>
      </x:c>
      <x:c r="B79" s="82" t="str">
        <x:v>Itamar Einhorn</x:v>
      </x:c>
      <x:c r="C79" s="143" t="str"/>
      <x:c r="D79" s="82" t="str">
        <x:v>イスラエル</x:v>
      </x:c>
      <x:c r="E79" s="82" t="str">
        <x:v>NSN Cycling Team</x:v>
      </x:c>
      <x:c r="F79" s="82" t="str">
        <x:v>1997-09-20</x:v>
      </x:c>
      <x:c r="G79" s="82" t="str">
        <x:v>現役確認済</x:v>
      </x:c>
      <x:c r="H79" s="82" t="str">
        <x:v>スプリンター</x:v>
      </x:c>
      <x:c r="I79" s="82" t="str">
        <x:v>総合型</x:v>
      </x:c>
      <x:c r="J79" s="85" t="n">
        <x:v>77</x:v>
      </x:c>
      <x:c r="K79" s="85" t="n">
        <x:v>71</x:v>
      </x:c>
      <x:c r="L79" s="91" t="str">
        <x:v>リードアウト / 最終発射台 / スプリントトレイン / 集団コントローラー / ポジションキーパー</x:v>
      </x:c>
      <x:c r="M79" s="88" t="n">
        <x:v>5950</x:v>
      </x:c>
      <x:c r="N79" s="85" t="n">
        <x:v>84</x:v>
      </x:c>
      <x:c r="O79" s="85" t="n">
        <x:v>77</x:v>
      </x:c>
      <x:c r="P79" s="85" t="n">
        <x:v>67</x:v>
      </x:c>
      <x:c r="Q79" s="85" t="n">
        <x:v>72</x:v>
      </x:c>
      <x:c r="R79" s="85" t="n">
        <x:v>61</x:v>
      </x:c>
      <x:c r="S79" s="85" t="n">
        <x:v>66</x:v>
      </x:c>
      <x:c r="T79" s="85" t="n">
        <x:v>67</x:v>
      </x:c>
      <x:c r="U79" s="85" t="n">
        <x:v>74</x:v>
      </x:c>
      <x:c r="V79" s="85" t="n">
        <x:v>75</x:v>
      </x:c>
      <x:c r="W79" s="85" t="n">
        <x:v>60</x:v>
      </x:c>
      <x:c r="X79" s="85" t="n">
        <x:v>67</x:v>
      </x:c>
      <x:c r="Y79" s="85" t="n">
        <x:v>70</x:v>
      </x:c>
      <x:c r="Z79" s="85" t="n">
        <x:v>71</x:v>
      </x:c>
      <x:c r="AA79" s="85" t="n">
        <x:v>77</x:v>
      </x:c>
      <x:c r="AB79" s="85" t="n">
        <x:v>67</x:v>
      </x:c>
      <x:c r="AC79" s="91" t="str">
        <x:v>2026 UCI WorldTeam名簿掲載</x:v>
      </x:c>
      <x:c r="AD79" s="91" t="str">
        <x:v>https://en.wikipedia.org/wiki/List_of_2026_UCI_WorldTeams_and_riders</x:v>
      </x:c>
      <x:c r="AE79" s="91" t="str">
        <x:v>能力・適性・Credit整合済</x:v>
      </x:c>
      <x:c r="AF79" s="91" t="str">
        <x:v>https://en.wikipedia.org/wiki/Itamar_Einhorn</x:v>
      </x:c>
    </x:row>
    <x:row r="80" ht="26" customHeight="1">
      <x:c r="A80" s="82" t="n">
        <x:v>76</x:v>
      </x:c>
      <x:c r="B80" s="82" t="str">
        <x:v>Albert Torres (cyclist)</x:v>
      </x:c>
      <x:c r="C80" s="143" t="str"/>
      <x:c r="D80" s="82" t="str">
        <x:v>スペイン</x:v>
      </x:c>
      <x:c r="E80" s="82" t="str">
        <x:v>Movistar Team</x:v>
      </x:c>
      <x:c r="F80" s="82" t="str">
        <x:v>1990-04-26</x:v>
      </x:c>
      <x:c r="G80" s="82" t="str">
        <x:v>現役確認済</x:v>
      </x:c>
      <x:c r="H80" s="82" t="str">
        <x:v>クラシック型</x:v>
      </x:c>
      <x:c r="I80" s="82" t="str">
        <x:v>TT・ルーラー型</x:v>
      </x:c>
      <x:c r="J80" s="85" t="n">
        <x:v>76</x:v>
      </x:c>
      <x:c r="K80" s="85" t="n">
        <x:v>79</x:v>
      </x:c>
      <x:c r="L80" s="91" t="str">
        <x:v>ロードキャプテン / 平坦アシスト / TT牽引 / 石畳護衛 / 横風要員 / 逃げ屋 / 超ロングスパート</x:v>
      </x:c>
      <x:c r="M80" s="88" t="n">
        <x:v>6950</x:v>
      </x:c>
      <x:c r="N80" s="85" t="n">
        <x:v>77</x:v>
      </x:c>
      <x:c r="O80" s="85" t="n">
        <x:v>72</x:v>
      </x:c>
      <x:c r="P80" s="85" t="n">
        <x:v>75</x:v>
      </x:c>
      <x:c r="Q80" s="85" t="n">
        <x:v>81</x:v>
      </x:c>
      <x:c r="R80" s="85" t="n">
        <x:v>70</x:v>
      </x:c>
      <x:c r="S80" s="85" t="n">
        <x:v>74</x:v>
      </x:c>
      <x:c r="T80" s="85" t="n">
        <x:v>82</x:v>
      </x:c>
      <x:c r="U80" s="85" t="n">
        <x:v>77</x:v>
      </x:c>
      <x:c r="V80" s="85" t="n">
        <x:v>81</x:v>
      </x:c>
      <x:c r="W80" s="85" t="n">
        <x:v>75</x:v>
      </x:c>
      <x:c r="X80" s="85" t="n">
        <x:v>74</x:v>
      </x:c>
      <x:c r="Y80" s="85" t="n">
        <x:v>74</x:v>
      </x:c>
      <x:c r="Z80" s="85" t="n">
        <x:v>84</x:v>
      </x:c>
      <x:c r="AA80" s="85" t="n">
        <x:v>71</x:v>
      </x:c>
      <x:c r="AB80" s="85" t="n">
        <x:v>83</x:v>
      </x:c>
      <x:c r="AC80" s="91" t="str">
        <x:v>2026 UCI WorldTeam名簿掲載</x:v>
      </x:c>
      <x:c r="AD80" s="91" t="str">
        <x:v>https://en.wikipedia.org/wiki/List_of_2026_UCI_WorldTeams_and_riders</x:v>
      </x:c>
      <x:c r="AE80" s="91" t="str">
        <x:v>能力・適性・Credit整合済</x:v>
      </x:c>
      <x:c r="AF80" s="91" t="str">
        <x:v>https://en.wikipedia.org/wiki/Albert_Torres_(cyclist)</x:v>
      </x:c>
    </x:row>
    <x:row r="81" ht="26" customHeight="1">
      <x:c r="A81" s="82" t="n">
        <x:v>77</x:v>
      </x:c>
      <x:c r="B81" s="82" t="str">
        <x:v>Iván García Cortina</x:v>
      </x:c>
      <x:c r="C81" s="143" t="str"/>
      <x:c r="D81" s="82" t="str">
        <x:v>スペイン</x:v>
      </x:c>
      <x:c r="E81" s="82" t="str">
        <x:v>Movistar Team</x:v>
      </x:c>
      <x:c r="F81" s="82" t="str">
        <x:v>1995-11-20</x:v>
      </x:c>
      <x:c r="G81" s="82" t="str">
        <x:v>現役確認済</x:v>
      </x:c>
      <x:c r="H81" s="82" t="str">
        <x:v>クラシック型</x:v>
      </x:c>
      <x:c r="I81" s="82" t="str">
        <x:v>スプリンター</x:v>
      </x:c>
      <x:c r="J81" s="85" t="n">
        <x:v>76</x:v>
      </x:c>
      <x:c r="K81" s="85" t="n">
        <x:v>76</x:v>
      </x:c>
      <x:c r="L81" s="91" t="str">
        <x:v>ロードキャプテン / スプリントトレイン / 石畳護衛 / 横風要員 / 横風分断 / ポジションキーパー</x:v>
      </x:c>
      <x:c r="M81" s="88" t="n">
        <x:v>6350</x:v>
      </x:c>
      <x:c r="N81" s="85" t="n">
        <x:v>74</x:v>
      </x:c>
      <x:c r="O81" s="85" t="n">
        <x:v>71</x:v>
      </x:c>
      <x:c r="P81" s="85" t="n">
        <x:v>75</x:v>
      </x:c>
      <x:c r="Q81" s="85" t="n">
        <x:v>74</x:v>
      </x:c>
      <x:c r="R81" s="85" t="n">
        <x:v>65</x:v>
      </x:c>
      <x:c r="S81" s="85" t="n">
        <x:v>72</x:v>
      </x:c>
      <x:c r="T81" s="85" t="n">
        <x:v>75</x:v>
      </x:c>
      <x:c r="U81" s="85" t="n">
        <x:v>83</x:v>
      </x:c>
      <x:c r="V81" s="85" t="n">
        <x:v>83</x:v>
      </x:c>
      <x:c r="W81" s="85" t="n">
        <x:v>74</x:v>
      </x:c>
      <x:c r="X81" s="85" t="n">
        <x:v>70</x:v>
      </x:c>
      <x:c r="Y81" s="85" t="n">
        <x:v>69</x:v>
      </x:c>
      <x:c r="Z81" s="85" t="n">
        <x:v>80</x:v>
      </x:c>
      <x:c r="AA81" s="85" t="n">
        <x:v>69</x:v>
      </x:c>
      <x:c r="AB81" s="85" t="n">
        <x:v>77</x:v>
      </x:c>
      <x:c r="AC81" s="91" t="str">
        <x:v>2026 UCI WorldTeam名簿掲載</x:v>
      </x:c>
      <x:c r="AD81" s="91" t="str">
        <x:v>https://en.wikipedia.org/wiki/List_of_2026_UCI_WorldTeams_and_riders</x:v>
      </x:c>
      <x:c r="AE81" s="91" t="str">
        <x:v>能力・適性・Credit整合済</x:v>
      </x:c>
      <x:c r="AF81" s="91" t="str">
        <x:v>https://en.wikipedia.org/wiki/Iv%C3%A1n_Garc%C3%ADa_Cortina</x:v>
      </x:c>
    </x:row>
    <x:row r="82" ht="26" customHeight="1">
      <x:c r="A82" s="82" t="n">
        <x:v>78</x:v>
      </x:c>
      <x:c r="B82" s="82" t="str">
        <x:v>Kevin Geniets</x:v>
      </x:c>
      <x:c r="C82" s="143" t="str"/>
      <x:c r="D82" s="82" t="str">
        <x:v>ルクセンブルク</x:v>
      </x:c>
      <x:c r="E82" s="82" t="str">
        <x:v>Groupama–FDJ United</x:v>
      </x:c>
      <x:c r="F82" s="82" t="str">
        <x:v>1997-01-09</x:v>
      </x:c>
      <x:c r="G82" s="82" t="str">
        <x:v>現役確認済</x:v>
      </x:c>
      <x:c r="H82" s="82" t="str">
        <x:v>パンチャー</x:v>
      </x:c>
      <x:c r="I82" s="82" t="str">
        <x:v>スプリンター</x:v>
      </x:c>
      <x:c r="J82" s="85" t="n">
        <x:v>76</x:v>
      </x:c>
      <x:c r="K82" s="85" t="n">
        <x:v>72</x:v>
      </x:c>
      <x:c r="L82" s="91" t="str">
        <x:v>ステージハンター / 山岳賞ハンター / スプリントトレイン / 逃げ屋 / カウンターアタッカー / ポジションキーパー</x:v>
      </x:c>
      <x:c r="M82" s="88" t="n">
        <x:v>6200</x:v>
      </x:c>
      <x:c r="N82" s="85" t="n">
        <x:v>74</x:v>
      </x:c>
      <x:c r="O82" s="85" t="n">
        <x:v>81</x:v>
      </x:c>
      <x:c r="P82" s="85" t="n">
        <x:v>82</x:v>
      </x:c>
      <x:c r="Q82" s="85" t="n">
        <x:v>68</x:v>
      </x:c>
      <x:c r="R82" s="85" t="n">
        <x:v>73</x:v>
      </x:c>
      <x:c r="S82" s="85" t="n">
        <x:v>68</x:v>
      </x:c>
      <x:c r="T82" s="85" t="n">
        <x:v>71</x:v>
      </x:c>
      <x:c r="U82" s="85" t="n">
        <x:v>78</x:v>
      </x:c>
      <x:c r="V82" s="85" t="n">
        <x:v>75</x:v>
      </x:c>
      <x:c r="W82" s="85" t="n">
        <x:v>63</x:v>
      </x:c>
      <x:c r="X82" s="85" t="n">
        <x:v>74</x:v>
      </x:c>
      <x:c r="Y82" s="85" t="n">
        <x:v>70</x:v>
      </x:c>
      <x:c r="Z82" s="85" t="n">
        <x:v>69</x:v>
      </x:c>
      <x:c r="AA82" s="85" t="n">
        <x:v>79</x:v>
      </x:c>
      <x:c r="AB82" s="85" t="n">
        <x:v>73</x:v>
      </x:c>
      <x:c r="AC82" s="91" t="str">
        <x:v>2026 UCI WorldTeam名簿掲載</x:v>
      </x:c>
      <x:c r="AD82" s="91" t="str">
        <x:v>https://en.wikipedia.org/wiki/List_of_2026_UCI_WorldTeams_and_riders</x:v>
      </x:c>
      <x:c r="AE82" s="91" t="str">
        <x:v>能力・適性・Credit整合済</x:v>
      </x:c>
      <x:c r="AF82" s="91" t="str">
        <x:v>https://en.wikipedia.org/wiki/Kevin_Geniets</x:v>
      </x:c>
    </x:row>
    <x:row r="83" ht="26" customHeight="1">
      <x:c r="A83" s="82" t="n">
        <x:v>79</x:v>
      </x:c>
      <x:c r="B83" s="82" t="str">
        <x:v>Anthon Charmig</x:v>
      </x:c>
      <x:c r="C83" s="143" t="str"/>
      <x:c r="D83" s="82" t="str">
        <x:v>デンマーク</x:v>
      </x:c>
      <x:c r="E83" s="82" t="str">
        <x:v>Uno-X Mobility</x:v>
      </x:c>
      <x:c r="F83" s="82" t="str">
        <x:v>1998-03-25</x:v>
      </x:c>
      <x:c r="G83" s="82" t="str">
        <x:v>現役確認済</x:v>
      </x:c>
      <x:c r="H83" s="82" t="str">
        <x:v>総合型</x:v>
      </x:c>
      <x:c r="I83" s="82" t="str">
        <x:v>スプリンター</x:v>
      </x:c>
      <x:c r="J83" s="85" t="n">
        <x:v>76</x:v>
      </x:c>
      <x:c r="K83" s="85" t="n">
        <x:v>74</x:v>
      </x:c>
      <x:c r="L83" s="91" t="str">
        <x:v>ロードキャプテン / 山岳賞ハンター / スプリントトレイン / 山岳アシスト</x:v>
      </x:c>
      <x:c r="M83" s="88" t="n">
        <x:v>6150</x:v>
      </x:c>
      <x:c r="N83" s="85" t="n">
        <x:v>62</x:v>
      </x:c>
      <x:c r="O83" s="85" t="n">
        <x:v>70</x:v>
      </x:c>
      <x:c r="P83" s="85" t="n">
        <x:v>73</x:v>
      </x:c>
      <x:c r="Q83" s="85" t="n">
        <x:v>72</x:v>
      </x:c>
      <x:c r="R83" s="85" t="n">
        <x:v>76</x:v>
      </x:c>
      <x:c r="S83" s="85" t="n">
        <x:v>75</x:v>
      </x:c>
      <x:c r="T83" s="85" t="n">
        <x:v>76</x:v>
      </x:c>
      <x:c r="U83" s="85" t="n">
        <x:v>67</x:v>
      </x:c>
      <x:c r="V83" s="85" t="n">
        <x:v>72</x:v>
      </x:c>
      <x:c r="W83" s="85" t="n">
        <x:v>58</x:v>
      </x:c>
      <x:c r="X83" s="85" t="n">
        <x:v>83</x:v>
      </x:c>
      <x:c r="Y83" s="85" t="n">
        <x:v>79</x:v>
      </x:c>
      <x:c r="Z83" s="85" t="n">
        <x:v>70</x:v>
      </x:c>
      <x:c r="AA83" s="85" t="n">
        <x:v>73</x:v>
      </x:c>
      <x:c r="AB83" s="85" t="n">
        <x:v>67</x:v>
      </x:c>
      <x:c r="AC83" s="91" t="str">
        <x:v>2026 UCI WorldTeam名簿掲載</x:v>
      </x:c>
      <x:c r="AD83" s="91" t="str">
        <x:v>https://en.wikipedia.org/wiki/List_of_2026_UCI_WorldTeams_and_riders</x:v>
      </x:c>
      <x:c r="AE83" s="91" t="str">
        <x:v>能力・適性・Credit整合済</x:v>
      </x:c>
      <x:c r="AF83" s="91" t="str">
        <x:v>https://en.wikipedia.org/wiki/Anthon_Charmig</x:v>
      </x:c>
    </x:row>
    <x:row r="84" ht="26" customHeight="1">
      <x:c r="A84" s="82" t="n">
        <x:v>80</x:v>
      </x:c>
      <x:c r="B84" s="82" t="str">
        <x:v>Andrea Bagioli</x:v>
      </x:c>
      <x:c r="C84" s="143" t="str"/>
      <x:c r="D84" s="82" t="str">
        <x:v>イタリア</x:v>
      </x:c>
      <x:c r="E84" s="82" t="str">
        <x:v>Lidl–Trek</x:v>
      </x:c>
      <x:c r="F84" s="82" t="str">
        <x:v>1999-03-23</x:v>
      </x:c>
      <x:c r="G84" s="82" t="str">
        <x:v>現役確認済</x:v>
      </x:c>
      <x:c r="H84" s="82" t="str">
        <x:v>パンチャー</x:v>
      </x:c>
      <x:c r="I84" s="82" t="str">
        <x:v>総合型</x:v>
      </x:c>
      <x:c r="J84" s="85" t="n">
        <x:v>76</x:v>
      </x:c>
      <x:c r="K84" s="85" t="n">
        <x:v>72</x:v>
      </x:c>
      <x:c r="L84" s="91" t="str">
        <x:v>ステージハンター / 下り牽引 / 集団コントローラー / 逃げ屋 / ブリッジャー</x:v>
      </x:c>
      <x:c r="M84" s="88" t="n">
        <x:v>6050</x:v>
      </x:c>
      <x:c r="N84" s="85" t="n">
        <x:v>72</x:v>
      </x:c>
      <x:c r="O84" s="85" t="n">
        <x:v>77</x:v>
      </x:c>
      <x:c r="P84" s="85" t="n">
        <x:v>83</x:v>
      </x:c>
      <x:c r="Q84" s="85" t="n">
        <x:v>70</x:v>
      </x:c>
      <x:c r="R84" s="85" t="n">
        <x:v>72</x:v>
      </x:c>
      <x:c r="S84" s="85" t="n">
        <x:v>68</x:v>
      </x:c>
      <x:c r="T84" s="85" t="n">
        <x:v>69</x:v>
      </x:c>
      <x:c r="U84" s="85" t="n">
        <x:v>72</x:v>
      </x:c>
      <x:c r="V84" s="85" t="n">
        <x:v>79</x:v>
      </x:c>
      <x:c r="W84" s="85" t="n">
        <x:v>58</x:v>
      </x:c>
      <x:c r="X84" s="85" t="n">
        <x:v>70</x:v>
      </x:c>
      <x:c r="Y84" s="85" t="n">
        <x:v>68</x:v>
      </x:c>
      <x:c r="Z84" s="85" t="n">
        <x:v>69</x:v>
      </x:c>
      <x:c r="AA84" s="85" t="n">
        <x:v>75</x:v>
      </x:c>
      <x:c r="AB84" s="85" t="n">
        <x:v>76</x:v>
      </x:c>
      <x:c r="AC84" s="91" t="str">
        <x:v>2026 UCI WorldTeam名簿掲載</x:v>
      </x:c>
      <x:c r="AD84" s="91" t="str">
        <x:v>https://en.wikipedia.org/wiki/List_of_2026_UCI_WorldTeams_and_riders</x:v>
      </x:c>
      <x:c r="AE84" s="91" t="str">
        <x:v>能力・適性・Credit整合済</x:v>
      </x:c>
      <x:c r="AF84" s="91" t="str">
        <x:v>https://en.wikipedia.org/wiki/Andrea_Bagioli</x:v>
      </x:c>
    </x:row>
    <x:row r="85" ht="26" customHeight="1">
      <x:c r="A85" s="82" t="n">
        <x:v>81</x:v>
      </x:c>
      <x:c r="B85" s="82" t="str">
        <x:v>Alan Hatherly</x:v>
      </x:c>
      <x:c r="C85" s="143" t="str"/>
      <x:c r="D85" s="82" t="str">
        <x:v>南アフリカ</x:v>
      </x:c>
      <x:c r="E85" s="82" t="str">
        <x:v>Team Jayco–AlUla</x:v>
      </x:c>
      <x:c r="F85" s="82" t="str">
        <x:v>1996-03-15</x:v>
      </x:c>
      <x:c r="G85" s="82" t="str">
        <x:v>現役確認済</x:v>
      </x:c>
      <x:c r="H85" s="82" t="str">
        <x:v>スプリンター</x:v>
      </x:c>
      <x:c r="I85" s="82" t="str">
        <x:v>総合型</x:v>
      </x:c>
      <x:c r="J85" s="85" t="n">
        <x:v>76</x:v>
      </x:c>
      <x:c r="K85" s="85" t="n">
        <x:v>72</x:v>
      </x:c>
      <x:c r="L85" s="91" t="str">
        <x:v>リードアウト / 最終発射台 / 集団コントローラー / ブリッジャー / 横風分断</x:v>
      </x:c>
      <x:c r="M85" s="88" t="n">
        <x:v>5900</x:v>
      </x:c>
      <x:c r="N85" s="85" t="n">
        <x:v>80</x:v>
      </x:c>
      <x:c r="O85" s="85" t="n">
        <x:v>78</x:v>
      </x:c>
      <x:c r="P85" s="85" t="n">
        <x:v>70</x:v>
      </x:c>
      <x:c r="Q85" s="85" t="n">
        <x:v>76</x:v>
      </x:c>
      <x:c r="R85" s="85" t="n">
        <x:v>59</x:v>
      </x:c>
      <x:c r="S85" s="85" t="n">
        <x:v>67</x:v>
      </x:c>
      <x:c r="T85" s="85" t="n">
        <x:v>69</x:v>
      </x:c>
      <x:c r="U85" s="85" t="n">
        <x:v>75</x:v>
      </x:c>
      <x:c r="V85" s="85" t="n">
        <x:v>70</x:v>
      </x:c>
      <x:c r="W85" s="85" t="n">
        <x:v>61</x:v>
      </x:c>
      <x:c r="X85" s="85" t="n">
        <x:v>68</x:v>
      </x:c>
      <x:c r="Y85" s="85" t="n">
        <x:v>68</x:v>
      </x:c>
      <x:c r="Z85" s="85" t="n">
        <x:v>72</x:v>
      </x:c>
      <x:c r="AA85" s="85" t="n">
        <x:v>77</x:v>
      </x:c>
      <x:c r="AB85" s="85" t="n">
        <x:v>71</x:v>
      </x:c>
      <x:c r="AC85" s="91" t="str">
        <x:v>2026 UCI WorldTeam名簿掲載</x:v>
      </x:c>
      <x:c r="AD85" s="91" t="str">
        <x:v>https://en.wikipedia.org/wiki/List_of_2026_UCI_WorldTeams_and_riders</x:v>
      </x:c>
      <x:c r="AE85" s="91" t="str">
        <x:v>能力・適性・Credit整合済</x:v>
      </x:c>
      <x:c r="AF85" s="91" t="str">
        <x:v>https://en.wikipedia.org/wiki/Alan_Hatherly</x:v>
      </x:c>
    </x:row>
    <x:row r="86" ht="26" customHeight="1">
      <x:c r="A86" s="82" t="n">
        <x:v>82</x:v>
      </x:c>
      <x:c r="B86" s="82" t="str">
        <x:v>Sepp Kuss</x:v>
      </x:c>
      <x:c r="C86" s="143" t="str"/>
      <x:c r="D86" s="82" t="str">
        <x:v>アメリカ</x:v>
      </x:c>
      <x:c r="E86" s="82" t="str">
        <x:v>Visma–Lease a Bike</x:v>
      </x:c>
      <x:c r="F86" s="82" t="str">
        <x:v>1994-09-13</x:v>
      </x:c>
      <x:c r="G86" s="82" t="str">
        <x:v>現役確認済</x:v>
      </x:c>
      <x:c r="H86" s="82" t="str">
        <x:v>クライマー</x:v>
      </x:c>
      <x:c r="I86" s="82" t="str">
        <x:v>総合型</x:v>
      </x:c>
      <x:c r="J86" s="85" t="n">
        <x:v>76</x:v>
      </x:c>
      <x:c r="K86" s="85" t="n">
        <x:v>80</x:v>
      </x:c>
      <x:c r="L86" s="91" t="str">
        <x:v>サブエース / スーパー・ドメスティーク / 山岳アシスト / 山岳番手 / 集団コントローラー</x:v>
      </x:c>
      <x:c r="M86" s="88" t="n">
        <x:v>5850</x:v>
      </x:c>
      <x:c r="N86" s="85" t="n">
        <x:v>57</x:v>
      </x:c>
      <x:c r="O86" s="85" t="n">
        <x:v>70</x:v>
      </x:c>
      <x:c r="P86" s="85" t="n">
        <x:v>70</x:v>
      </x:c>
      <x:c r="Q86" s="85" t="n">
        <x:v>69</x:v>
      </x:c>
      <x:c r="R86" s="85" t="n">
        <x:v>76</x:v>
      </x:c>
      <x:c r="S86" s="85" t="n">
        <x:v>71</x:v>
      </x:c>
      <x:c r="T86" s="85" t="n">
        <x:v>70</x:v>
      </x:c>
      <x:c r="U86" s="85" t="n">
        <x:v>68</x:v>
      </x:c>
      <x:c r="V86" s="85" t="n">
        <x:v>69</x:v>
      </x:c>
      <x:c r="W86" s="85" t="n">
        <x:v>50</x:v>
      </x:c>
      <x:c r="X86" s="85" t="n">
        <x:v>77</x:v>
      </x:c>
      <x:c r="Y86" s="85" t="n">
        <x:v>77</x:v>
      </x:c>
      <x:c r="Z86" s="85" t="n">
        <x:v>83</x:v>
      </x:c>
      <x:c r="AA86" s="85" t="n">
        <x:v>58</x:v>
      </x:c>
      <x:c r="AB86" s="85" t="n">
        <x:v>71</x:v>
      </x:c>
      <x:c r="AC86" s="91" t="str">
        <x:v>2026 UCI WorldTeam名簿掲載</x:v>
      </x:c>
      <x:c r="AD86" s="91" t="str">
        <x:v>https://en.wikipedia.org/wiki/List_of_2026_UCI_WorldTeams_and_riders</x:v>
      </x:c>
      <x:c r="AE86" s="91" t="str">
        <x:v>能力・適性・Credit整合済</x:v>
      </x:c>
      <x:c r="AF86" s="91" t="str">
        <x:v>https://en.wikipedia.org/wiki/Special:Search?search=Sepp%20Kuss%20cyclist</x:v>
      </x:c>
    </x:row>
    <x:row r="87" ht="26" customHeight="1">
      <x:c r="A87" s="82" t="n">
        <x:v>83</x:v>
      </x:c>
      <x:c r="B87" s="82" t="str">
        <x:v>Cedric Beullens</x:v>
      </x:c>
      <x:c r="C87" s="143" t="str"/>
      <x:c r="D87" s="82" t="str">
        <x:v>ベルギー</x:v>
      </x:c>
      <x:c r="E87" s="82" t="str">
        <x:v>Lotto–Intermarché</x:v>
      </x:c>
      <x:c r="F87" s="82" t="str">
        <x:v>1997-01-27</x:v>
      </x:c>
      <x:c r="G87" s="82" t="str">
        <x:v>現役確認済</x:v>
      </x:c>
      <x:c r="H87" s="82" t="str">
        <x:v>パンチャー</x:v>
      </x:c>
      <x:c r="I87" s="82" t="str">
        <x:v>TT・ルーラー型</x:v>
      </x:c>
      <x:c r="J87" s="85" t="n">
        <x:v>76</x:v>
      </x:c>
      <x:c r="K87" s="85" t="n">
        <x:v>72</x:v>
      </x:c>
      <x:c r="L87" s="91" t="str">
        <x:v>ステージハンター / 山岳賞ハンター / カウンターアタッカー</x:v>
      </x:c>
      <x:c r="M87" s="88" t="n">
        <x:v>5750</x:v>
      </x:c>
      <x:c r="N87" s="85" t="n">
        <x:v>73</x:v>
      </x:c>
      <x:c r="O87" s="85" t="n">
        <x:v>76</x:v>
      </x:c>
      <x:c r="P87" s="85" t="n">
        <x:v>82</x:v>
      </x:c>
      <x:c r="Q87" s="85" t="n">
        <x:v>67</x:v>
      </x:c>
      <x:c r="R87" s="85" t="n">
        <x:v>72</x:v>
      </x:c>
      <x:c r="S87" s="85" t="n">
        <x:v>65</x:v>
      </x:c>
      <x:c r="T87" s="85" t="n">
        <x:v>66</x:v>
      </x:c>
      <x:c r="U87" s="85" t="n">
        <x:v>75</x:v>
      </x:c>
      <x:c r="V87" s="85" t="n">
        <x:v>76</x:v>
      </x:c>
      <x:c r="W87" s="85" t="n">
        <x:v>56</x:v>
      </x:c>
      <x:c r="X87" s="85" t="n">
        <x:v>73</x:v>
      </x:c>
      <x:c r="Y87" s="85" t="n">
        <x:v>68</x:v>
      </x:c>
      <x:c r="Z87" s="85" t="n">
        <x:v>69</x:v>
      </x:c>
      <x:c r="AA87" s="85" t="n">
        <x:v>73</x:v>
      </x:c>
      <x:c r="AB87" s="85" t="n">
        <x:v>78</x:v>
      </x:c>
      <x:c r="AC87" s="91" t="str">
        <x:v>2026 UCI WorldTeam名簿掲載</x:v>
      </x:c>
      <x:c r="AD87" s="91" t="str">
        <x:v>https://en.wikipedia.org/wiki/List_of_2026_UCI_WorldTeams_and_riders</x:v>
      </x:c>
      <x:c r="AE87" s="91" t="str">
        <x:v>能力・適性・Credit整合済</x:v>
      </x:c>
      <x:c r="AF87" s="91" t="str">
        <x:v>https://en.wikipedia.org/wiki/C%C3%A9dric_Beullens</x:v>
      </x:c>
    </x:row>
    <x:row r="88" ht="26" customHeight="1">
      <x:c r="A88" s="82" t="n">
        <x:v>84</x:v>
      </x:c>
      <x:c r="B88" s="82" t="str">
        <x:v>Diego Ulissi</x:v>
      </x:c>
      <x:c r="C88" s="143" t="str"/>
      <x:c r="D88" s="82" t="str">
        <x:v>イタリア</x:v>
      </x:c>
      <x:c r="E88" s="82" t="str">
        <x:v>XDS Astana Team</x:v>
      </x:c>
      <x:c r="F88" s="82" t="str">
        <x:v>1989-07-15</x:v>
      </x:c>
      <x:c r="G88" s="82" t="str">
        <x:v>現役確認済</x:v>
      </x:c>
      <x:c r="H88" s="82" t="str">
        <x:v>パンチャー</x:v>
      </x:c>
      <x:c r="I88" s="82" t="str">
        <x:v>クライマー</x:v>
      </x:c>
      <x:c r="J88" s="85" t="n">
        <x:v>76</x:v>
      </x:c>
      <x:c r="K88" s="85" t="n">
        <x:v>72</x:v>
      </x:c>
      <x:c r="L88" s="91" t="str">
        <x:v>ステージハンター / 山岳賞ハンター / 逃げ屋 / ポジションキーパー</x:v>
      </x:c>
      <x:c r="M88" s="88" t="n">
        <x:v>5700</x:v>
      </x:c>
      <x:c r="N88" s="85" t="n">
        <x:v>69</x:v>
      </x:c>
      <x:c r="O88" s="85" t="n">
        <x:v>75</x:v>
      </x:c>
      <x:c r="P88" s="85" t="n">
        <x:v>80</x:v>
      </x:c>
      <x:c r="Q88" s="85" t="n">
        <x:v>69</x:v>
      </x:c>
      <x:c r="R88" s="85" t="n">
        <x:v>71</x:v>
      </x:c>
      <x:c r="S88" s="85" t="n">
        <x:v>71</x:v>
      </x:c>
      <x:c r="T88" s="85" t="n">
        <x:v>67</x:v>
      </x:c>
      <x:c r="U88" s="85" t="n">
        <x:v>77</x:v>
      </x:c>
      <x:c r="V88" s="85" t="n">
        <x:v>77</x:v>
      </x:c>
      <x:c r="W88" s="85" t="n">
        <x:v>58</x:v>
      </x:c>
      <x:c r="X88" s="85" t="n">
        <x:v>68</x:v>
      </x:c>
      <x:c r="Y88" s="85" t="n">
        <x:v>73</x:v>
      </x:c>
      <x:c r="Z88" s="85" t="n">
        <x:v>69</x:v>
      </x:c>
      <x:c r="AA88" s="85" t="n">
        <x:v>77</x:v>
      </x:c>
      <x:c r="AB88" s="85" t="n">
        <x:v>75</x:v>
      </x:c>
      <x:c r="AC88" s="91" t="str">
        <x:v>2026 UCI WorldTeam名簿掲載</x:v>
      </x:c>
      <x:c r="AD88" s="91" t="str">
        <x:v>https://en.wikipedia.org/wiki/List_of_2026_UCI_WorldTeams_and_riders</x:v>
      </x:c>
      <x:c r="AE88" s="91" t="str">
        <x:v>能力・適性・Credit整合済</x:v>
      </x:c>
      <x:c r="AF88" s="91" t="str">
        <x:v>https://en.wikipedia.org/wiki/Diego_Ulissi</x:v>
      </x:c>
    </x:row>
    <x:row r="89" ht="26" customHeight="1">
      <x:c r="A89" s="82" t="n">
        <x:v>85</x:v>
      </x:c>
      <x:c r="B89" s="82" t="str">
        <x:v>Henri Uhlig</x:v>
      </x:c>
      <x:c r="C89" s="143" t="str"/>
      <x:c r="D89" s="82" t="str">
        <x:v>ドイツ</x:v>
      </x:c>
      <x:c r="E89" s="82" t="str">
        <x:v>Alpecin–Premier Tech</x:v>
      </x:c>
      <x:c r="F89" s="82" t="str">
        <x:v>2001-08-01</x:v>
      </x:c>
      <x:c r="G89" s="82" t="str">
        <x:v>現役確認済</x:v>
      </x:c>
      <x:c r="H89" s="82" t="str">
        <x:v>総合型</x:v>
      </x:c>
      <x:c r="I89" s="82" t="str">
        <x:v>パンチャー</x:v>
      </x:c>
      <x:c r="J89" s="85" t="n">
        <x:v>76</x:v>
      </x:c>
      <x:c r="K89" s="85" t="n">
        <x:v>71</x:v>
      </x:c>
      <x:c r="L89" s="91" t="str">
        <x:v>山岳賞ハンター / 山岳アシスト / 山岳番手</x:v>
      </x:c>
      <x:c r="M89" s="88" t="n">
        <x:v>5600</x:v>
      </x:c>
      <x:c r="N89" s="85" t="n">
        <x:v>65</x:v>
      </x:c>
      <x:c r="O89" s="85" t="n">
        <x:v>64</x:v>
      </x:c>
      <x:c r="P89" s="85" t="n">
        <x:v>72</x:v>
      </x:c>
      <x:c r="Q89" s="85" t="n">
        <x:v>69</x:v>
      </x:c>
      <x:c r="R89" s="85" t="n">
        <x:v>77</x:v>
      </x:c>
      <x:c r="S89" s="85" t="n">
        <x:v>75</x:v>
      </x:c>
      <x:c r="T89" s="85" t="n">
        <x:v>74</x:v>
      </x:c>
      <x:c r="U89" s="85" t="n">
        <x:v>64</x:v>
      </x:c>
      <x:c r="V89" s="85" t="n">
        <x:v>67</x:v>
      </x:c>
      <x:c r="W89" s="85" t="n">
        <x:v>59</x:v>
      </x:c>
      <x:c r="X89" s="85" t="n">
        <x:v>80</x:v>
      </x:c>
      <x:c r="Y89" s="85" t="n">
        <x:v>77</x:v>
      </x:c>
      <x:c r="Z89" s="85" t="n">
        <x:v>65</x:v>
      </x:c>
      <x:c r="AA89" s="85" t="n">
        <x:v>71</x:v>
      </x:c>
      <x:c r="AB89" s="85" t="n">
        <x:v>66</x:v>
      </x:c>
      <x:c r="AC89" s="91" t="str">
        <x:v>2026 UCI WorldTeam名簿掲載</x:v>
      </x:c>
      <x:c r="AD89" s="91" t="str">
        <x:v>https://en.wikipedia.org/wiki/List_of_2026_UCI_WorldTeams_and_riders</x:v>
      </x:c>
      <x:c r="AE89" s="91" t="str">
        <x:v>能力・適性・Credit整合済</x:v>
      </x:c>
      <x:c r="AF89" s="91" t="str">
        <x:v>https://en.wikipedia.org/wiki/Henri_Uhlig</x:v>
      </x:c>
    </x:row>
    <x:row r="90" ht="26" customHeight="1">
      <x:c r="A90" s="82" t="n">
        <x:v>86</x:v>
      </x:c>
      <x:c r="B90" s="82" t="str">
        <x:v>Alberto Dainese</x:v>
      </x:c>
      <x:c r="C90" s="143" t="str"/>
      <x:c r="D90" s="82" t="str">
        <x:v>イタリア</x:v>
      </x:c>
      <x:c r="E90" s="82" t="str">
        <x:v>Soudal–Quick-Step</x:v>
      </x:c>
      <x:c r="F90" s="82" t="str">
        <x:v>1998-03-25</x:v>
      </x:c>
      <x:c r="G90" s="82" t="str">
        <x:v>現役確認済</x:v>
      </x:c>
      <x:c r="H90" s="82" t="str">
        <x:v>スプリンター</x:v>
      </x:c>
      <x:c r="I90" s="82" t="str">
        <x:v>総合型</x:v>
      </x:c>
      <x:c r="J90" s="85" t="n">
        <x:v>76</x:v>
      </x:c>
      <x:c r="K90" s="85" t="n">
        <x:v>70</x:v>
      </x:c>
      <x:c r="L90" s="91" t="str">
        <x:v>リードアウト / 最終発射台 / スプリントトレイン / 集団コントローラー</x:v>
      </x:c>
      <x:c r="M90" s="88" t="n">
        <x:v>5350</x:v>
      </x:c>
      <x:c r="N90" s="85" t="n">
        <x:v>80</x:v>
      </x:c>
      <x:c r="O90" s="85" t="n">
        <x:v>79</x:v>
      </x:c>
      <x:c r="P90" s="85" t="n">
        <x:v>66</x:v>
      </x:c>
      <x:c r="Q90" s="85" t="n">
        <x:v>74</x:v>
      </x:c>
      <x:c r="R90" s="85" t="n">
        <x:v>62</x:v>
      </x:c>
      <x:c r="S90" s="85" t="n">
        <x:v>64</x:v>
      </x:c>
      <x:c r="T90" s="85" t="n">
        <x:v>68</x:v>
      </x:c>
      <x:c r="U90" s="85" t="n">
        <x:v>68</x:v>
      </x:c>
      <x:c r="V90" s="85" t="n">
        <x:v>71</x:v>
      </x:c>
      <x:c r="W90" s="85" t="n">
        <x:v>56</x:v>
      </x:c>
      <x:c r="X90" s="85" t="n">
        <x:v>68</x:v>
      </x:c>
      <x:c r="Y90" s="85" t="n">
        <x:v>70</x:v>
      </x:c>
      <x:c r="Z90" s="85" t="n">
        <x:v>69</x:v>
      </x:c>
      <x:c r="AA90" s="85" t="n">
        <x:v>74</x:v>
      </x:c>
      <x:c r="AB90" s="85" t="n">
        <x:v>67</x:v>
      </x:c>
      <x:c r="AC90" s="91" t="str">
        <x:v>2026 UCI WorldTeam名簿掲載</x:v>
      </x:c>
      <x:c r="AD90" s="91" t="str">
        <x:v>https://en.wikipedia.org/wiki/List_of_2026_UCI_WorldTeams_and_riders</x:v>
      </x:c>
      <x:c r="AE90" s="91" t="str">
        <x:v>能力・適性・Credit整合済</x:v>
      </x:c>
      <x:c r="AF90" s="91" t="str">
        <x:v>https://en.wikipedia.org/wiki/Alberto_Dainese</x:v>
      </x:c>
    </x:row>
    <x:row r="91" ht="26" customHeight="1">
      <x:c r="A91" s="82" t="n">
        <x:v>87</x:v>
      </x:c>
      <x:c r="B91" s="82" t="str">
        <x:v>Andrea Vendrame</x:v>
      </x:c>
      <x:c r="C91" s="143" t="str"/>
      <x:c r="D91" s="82" t="str">
        <x:v>イタリア</x:v>
      </x:c>
      <x:c r="E91" s="82" t="str">
        <x:v>Team Jayco–AlUla</x:v>
      </x:c>
      <x:c r="F91" s="82" t="str">
        <x:v>1994-07-20</x:v>
      </x:c>
      <x:c r="G91" s="82" t="str">
        <x:v>現役確認済</x:v>
      </x:c>
      <x:c r="H91" s="82" t="str">
        <x:v>パンチャー</x:v>
      </x:c>
      <x:c r="I91" s="82" t="str">
        <x:v>クライマー</x:v>
      </x:c>
      <x:c r="J91" s="85" t="n">
        <x:v>76</x:v>
      </x:c>
      <x:c r="K91" s="85" t="n">
        <x:v>69</x:v>
      </x:c>
      <x:c r="L91" s="91" t="str">
        <x:v>ステージハンター / 山岳賞ハンター</x:v>
      </x:c>
      <x:c r="M91" s="88" t="n">
        <x:v>5300</x:v>
      </x:c>
      <x:c r="N91" s="85" t="n">
        <x:v>68</x:v>
      </x:c>
      <x:c r="O91" s="85" t="n">
        <x:v>74</x:v>
      </x:c>
      <x:c r="P91" s="85" t="n">
        <x:v>79</x:v>
      </x:c>
      <x:c r="Q91" s="85" t="n">
        <x:v>68</x:v>
      </x:c>
      <x:c r="R91" s="85" t="n">
        <x:v>73</x:v>
      </x:c>
      <x:c r="S91" s="85" t="n">
        <x:v>67</x:v>
      </x:c>
      <x:c r="T91" s="85" t="n">
        <x:v>64</x:v>
      </x:c>
      <x:c r="U91" s="85" t="n">
        <x:v>70</x:v>
      </x:c>
      <x:c r="V91" s="85" t="n">
        <x:v>73</x:v>
      </x:c>
      <x:c r="W91" s="85" t="n">
        <x:v>53</x:v>
      </x:c>
      <x:c r="X91" s="85" t="n">
        <x:v>68</x:v>
      </x:c>
      <x:c r="Y91" s="85" t="n">
        <x:v>69</x:v>
      </x:c>
      <x:c r="Z91" s="85" t="n">
        <x:v>68</x:v>
      </x:c>
      <x:c r="AA91" s="85" t="n">
        <x:v>78</x:v>
      </x:c>
      <x:c r="AB91" s="85" t="n">
        <x:v>80</x:v>
      </x:c>
      <x:c r="AC91" s="91" t="str">
        <x:v>2026 UCI WorldTeam名簿掲載</x:v>
      </x:c>
      <x:c r="AD91" s="91" t="str">
        <x:v>https://en.wikipedia.org/wiki/List_of_2026_UCI_WorldTeams_and_riders</x:v>
      </x:c>
      <x:c r="AE91" s="91" t="str">
        <x:v>能力・適性・Credit整合済</x:v>
      </x:c>
      <x:c r="AF91" s="91" t="str">
        <x:v>https://en.wikipedia.org/wiki/Andrea_Vendrame</x:v>
      </x:c>
    </x:row>
    <x:row r="92" ht="26" customHeight="1">
      <x:c r="A92" s="82" t="n">
        <x:v>88</x:v>
      </x:c>
      <x:c r="B92" s="82" t="str">
        <x:v>Amaury Capiot</x:v>
      </x:c>
      <x:c r="C92" s="143" t="str"/>
      <x:c r="D92" s="82" t="str">
        <x:v>ベルギー</x:v>
      </x:c>
      <x:c r="E92" s="82" t="str">
        <x:v>Team Jayco–AlUla</x:v>
      </x:c>
      <x:c r="F92" s="82" t="str">
        <x:v>1993-06-25</x:v>
      </x:c>
      <x:c r="G92" s="82" t="str">
        <x:v>現役確認済</x:v>
      </x:c>
      <x:c r="H92" s="82" t="str">
        <x:v>クラシック型</x:v>
      </x:c>
      <x:c r="I92" s="82" t="str">
        <x:v>クライマー</x:v>
      </x:c>
      <x:c r="J92" s="85" t="n">
        <x:v>75</x:v>
      </x:c>
      <x:c r="K92" s="85" t="n">
        <x:v>80</x:v>
      </x:c>
      <x:c r="L92" s="91" t="str">
        <x:v>山岳賞ハンター / 平坦アシスト / TT牽引 / 石畳護衛 / 横風要員 / 逃げ屋 / 横風分断</x:v>
      </x:c>
      <x:c r="M92" s="88" t="n">
        <x:v>7100</x:v>
      </x:c>
      <x:c r="N92" s="85" t="n">
        <x:v>76</x:v>
      </x:c>
      <x:c r="O92" s="85" t="n">
        <x:v>72</x:v>
      </x:c>
      <x:c r="P92" s="85" t="n">
        <x:v>74</x:v>
      </x:c>
      <x:c r="Q92" s="85" t="n">
        <x:v>80</x:v>
      </x:c>
      <x:c r="R92" s="85" t="n">
        <x:v>69</x:v>
      </x:c>
      <x:c r="S92" s="85" t="n">
        <x:v>78</x:v>
      </x:c>
      <x:c r="T92" s="85" t="n">
        <x:v>81</x:v>
      </x:c>
      <x:c r="U92" s="85" t="n">
        <x:v>83</x:v>
      </x:c>
      <x:c r="V92" s="85" t="n">
        <x:v>81</x:v>
      </x:c>
      <x:c r="W92" s="85" t="n">
        <x:v>75</x:v>
      </x:c>
      <x:c r="X92" s="85" t="n">
        <x:v>74</x:v>
      </x:c>
      <x:c r="Y92" s="85" t="n">
        <x:v>73</x:v>
      </x:c>
      <x:c r="Z92" s="85" t="n">
        <x:v>83</x:v>
      </x:c>
      <x:c r="AA92" s="85" t="n">
        <x:v>72</x:v>
      </x:c>
      <x:c r="AB92" s="85" t="n">
        <x:v>82</x:v>
      </x:c>
      <x:c r="AC92" s="91" t="str">
        <x:v>2026 UCI WorldTeam名簿掲載</x:v>
      </x:c>
      <x:c r="AD92" s="91" t="str">
        <x:v>https://en.wikipedia.org/wiki/List_of_2026_UCI_WorldTeams_and_riders</x:v>
      </x:c>
      <x:c r="AE92" s="91" t="str">
        <x:v>能力・適性・Credit整合済</x:v>
      </x:c>
      <x:c r="AF92" s="91" t="str">
        <x:v>https://en.wikipedia.org/wiki/Amaury_Capiot</x:v>
      </x:c>
    </x:row>
    <x:row r="93" ht="26" customHeight="1">
      <x:c r="A93" s="82" t="n">
        <x:v>89</x:v>
      </x:c>
      <x:c r="B93" s="82" t="str">
        <x:v>Jake Stewart (cyclist)</x:v>
      </x:c>
      <x:c r="C93" s="143" t="str"/>
      <x:c r="D93" s="82" t="str">
        <x:v>イギリス</x:v>
      </x:c>
      <x:c r="E93" s="82" t="str">
        <x:v>NSN Cycling Team</x:v>
      </x:c>
      <x:c r="F93" s="82" t="str">
        <x:v>1999-10-02</x:v>
      </x:c>
      <x:c r="G93" s="82" t="str">
        <x:v>現役確認済</x:v>
      </x:c>
      <x:c r="H93" s="82" t="str">
        <x:v>クラシック型</x:v>
      </x:c>
      <x:c r="I93" s="82" t="str">
        <x:v>パンチャー</x:v>
      </x:c>
      <x:c r="J93" s="85" t="n">
        <x:v>75</x:v>
      </x:c>
      <x:c r="K93" s="85" t="n">
        <x:v>78</x:v>
      </x:c>
      <x:c r="L93" s="91" t="str">
        <x:v>ステージハンター / 平坦アシスト / 石畳護衛 / 横風要員 / 逃げ屋 / 超ロングスパート / ブリッジャー</x:v>
      </x:c>
      <x:c r="M93" s="88" t="n">
        <x:v>7000</x:v>
      </x:c>
      <x:c r="N93" s="85" t="n">
        <x:v>74</x:v>
      </x:c>
      <x:c r="O93" s="85" t="n">
        <x:v>73</x:v>
      </x:c>
      <x:c r="P93" s="85" t="n">
        <x:v>76</x:v>
      </x:c>
      <x:c r="Q93" s="85" t="n">
        <x:v>77</x:v>
      </x:c>
      <x:c r="R93" s="85" t="n">
        <x:v>66</x:v>
      </x:c>
      <x:c r="S93" s="85" t="n">
        <x:v>75</x:v>
      </x:c>
      <x:c r="T93" s="85" t="n">
        <x:v>82</x:v>
      </x:c>
      <x:c r="U93" s="85" t="n">
        <x:v>84</x:v>
      </x:c>
      <x:c r="V93" s="85" t="n">
        <x:v>83</x:v>
      </x:c>
      <x:c r="W93" s="85" t="n">
        <x:v>76</x:v>
      </x:c>
      <x:c r="X93" s="85" t="n">
        <x:v>70</x:v>
      </x:c>
      <x:c r="Y93" s="85" t="n">
        <x:v>71</x:v>
      </x:c>
      <x:c r="Z93" s="85" t="n">
        <x:v>75</x:v>
      </x:c>
      <x:c r="AA93" s="85" t="n">
        <x:v>72</x:v>
      </x:c>
      <x:c r="AB93" s="85" t="n">
        <x:v>83</x:v>
      </x:c>
      <x:c r="AC93" s="91" t="str">
        <x:v>2026 UCI WorldTeam名簿掲載</x:v>
      </x:c>
      <x:c r="AD93" s="91" t="str">
        <x:v>https://en.wikipedia.org/wiki/List_of_2026_UCI_WorldTeams_and_riders</x:v>
      </x:c>
      <x:c r="AE93" s="91" t="str">
        <x:v>能力・適性・Credit整合済</x:v>
      </x:c>
      <x:c r="AF93" s="91" t="str">
        <x:v>https://en.wikipedia.org/wiki/Jake_Stewart_(cyclist)</x:v>
      </x:c>
    </x:row>
    <x:row r="94" ht="26" customHeight="1">
      <x:c r="A94" s="82" t="n">
        <x:v>90</x:v>
      </x:c>
      <x:c r="B94" s="82" t="str">
        <x:v>Aaron Gate</x:v>
      </x:c>
      <x:c r="C94" s="143" t="str"/>
      <x:c r="D94" s="82" t="str">
        <x:v>ニュージーランド</x:v>
      </x:c>
      <x:c r="E94" s="82" t="str">
        <x:v>XDS Astana Team</x:v>
      </x:c>
      <x:c r="F94" s="82" t="str">
        <x:v>1990-11-26</x:v>
      </x:c>
      <x:c r="G94" s="82" t="str">
        <x:v>現役確認済</x:v>
      </x:c>
      <x:c r="H94" s="82" t="str">
        <x:v>クラシック型</x:v>
      </x:c>
      <x:c r="I94" s="82" t="str">
        <x:v>TT・ルーラー型</x:v>
      </x:c>
      <x:c r="J94" s="85" t="n">
        <x:v>75</x:v>
      </x:c>
      <x:c r="K94" s="85" t="n">
        <x:v>78</x:v>
      </x:c>
      <x:c r="L94" s="91" t="str">
        <x:v>平坦アシスト / TT牽引 / 石畳護衛 / 横風要員 / 逃げ屋 / 超ロングスパート / 横風分断</x:v>
      </x:c>
      <x:c r="M94" s="88" t="n">
        <x:v>7000</x:v>
      </x:c>
      <x:c r="N94" s="85" t="n">
        <x:v>73</x:v>
      </x:c>
      <x:c r="O94" s="85" t="n">
        <x:v>71</x:v>
      </x:c>
      <x:c r="P94" s="85" t="n">
        <x:v>72</x:v>
      </x:c>
      <x:c r="Q94" s="85" t="n">
        <x:v>81</x:v>
      </x:c>
      <x:c r="R94" s="85" t="n">
        <x:v>67</x:v>
      </x:c>
      <x:c r="S94" s="85" t="n">
        <x:v>74</x:v>
      </x:c>
      <x:c r="T94" s="85" t="n">
        <x:v>83</x:v>
      </x:c>
      <x:c r="U94" s="85" t="n">
        <x:v>81</x:v>
      </x:c>
      <x:c r="V94" s="85" t="n">
        <x:v>83</x:v>
      </x:c>
      <x:c r="W94" s="85" t="n">
        <x:v>78</x:v>
      </x:c>
      <x:c r="X94" s="85" t="n">
        <x:v>70</x:v>
      </x:c>
      <x:c r="Y94" s="85" t="n">
        <x:v>68</x:v>
      </x:c>
      <x:c r="Z94" s="85" t="n">
        <x:v>75</x:v>
      </x:c>
      <x:c r="AA94" s="85" t="n">
        <x:v>70</x:v>
      </x:c>
      <x:c r="AB94" s="85" t="n">
        <x:v>84</x:v>
      </x:c>
      <x:c r="AC94" s="91" t="str">
        <x:v>2026 UCI WorldTeam名簿掲載</x:v>
      </x:c>
      <x:c r="AD94" s="91" t="str">
        <x:v>https://en.wikipedia.org/wiki/List_of_2026_UCI_WorldTeams_and_riders</x:v>
      </x:c>
      <x:c r="AE94" s="91" t="str">
        <x:v>能力・適性・Credit整合済</x:v>
      </x:c>
      <x:c r="AF94" s="91" t="str">
        <x:v>https://en.wikipedia.org/wiki/Aaron_Gate</x:v>
      </x:c>
    </x:row>
    <x:row r="95" ht="26" customHeight="1">
      <x:c r="A95" s="82" t="n">
        <x:v>91</x:v>
      </x:c>
      <x:c r="B95" s="82" t="str">
        <x:v>Jonas Abrahamsen</x:v>
      </x:c>
      <x:c r="C95" s="143" t="str"/>
      <x:c r="D95" s="82" t="str">
        <x:v>ノルウェー</x:v>
      </x:c>
      <x:c r="E95" s="82" t="str">
        <x:v>Uno-X Mobility</x:v>
      </x:c>
      <x:c r="F95" s="82" t="str">
        <x:v>1995-09-20</x:v>
      </x:c>
      <x:c r="G95" s="82" t="str">
        <x:v>現役確認済</x:v>
      </x:c>
      <x:c r="H95" s="82" t="str">
        <x:v>クラシック型</x:v>
      </x:c>
      <x:c r="I95" s="82" t="str">
        <x:v>スプリンター</x:v>
      </x:c>
      <x:c r="J95" s="85" t="n">
        <x:v>75</x:v>
      </x:c>
      <x:c r="K95" s="85" t="n">
        <x:v>78</x:v>
      </x:c>
      <x:c r="L95" s="91" t="str">
        <x:v>スプリントトレイン / 平坦アシスト / 石畳護衛 / 横風要員 / 逃げ屋 / 超ロングスパート / 横風分断</x:v>
      </x:c>
      <x:c r="M95" s="88" t="n">
        <x:v>6850</x:v>
      </x:c>
      <x:c r="N95" s="85" t="n">
        <x:v>77</x:v>
      </x:c>
      <x:c r="O95" s="85" t="n">
        <x:v>73</x:v>
      </x:c>
      <x:c r="P95" s="85" t="n">
        <x:v>73</x:v>
      </x:c>
      <x:c r="Q95" s="85" t="n">
        <x:v>79</x:v>
      </x:c>
      <x:c r="R95" s="85" t="n">
        <x:v>68</x:v>
      </x:c>
      <x:c r="S95" s="85" t="n">
        <x:v>79</x:v>
      </x:c>
      <x:c r="T95" s="85" t="n">
        <x:v>82</x:v>
      </x:c>
      <x:c r="U95" s="85" t="n">
        <x:v>80</x:v>
      </x:c>
      <x:c r="V95" s="85" t="n">
        <x:v>82</x:v>
      </x:c>
      <x:c r="W95" s="85" t="n">
        <x:v>74</x:v>
      </x:c>
      <x:c r="X95" s="85" t="n">
        <x:v>73</x:v>
      </x:c>
      <x:c r="Y95" s="85" t="n">
        <x:v>74</x:v>
      </x:c>
      <x:c r="Z95" s="85" t="n">
        <x:v>75</x:v>
      </x:c>
      <x:c r="AA95" s="85" t="n">
        <x:v>73</x:v>
      </x:c>
      <x:c r="AB95" s="85" t="n">
        <x:v>82</x:v>
      </x:c>
      <x:c r="AC95" s="91" t="str">
        <x:v>2026 UCI WorldTeam名簿掲載</x:v>
      </x:c>
      <x:c r="AD95" s="91" t="str">
        <x:v>https://en.wikipedia.org/wiki/List_of_2026_UCI_WorldTeams_and_riders</x:v>
      </x:c>
      <x:c r="AE95" s="91" t="str">
        <x:v>能力・適性・Credit整合済</x:v>
      </x:c>
      <x:c r="AF95" s="91" t="str">
        <x:v>https://en.wikipedia.org/wiki/Jonas_Abrahamsen</x:v>
      </x:c>
    </x:row>
    <x:row r="96" ht="26" customHeight="1">
      <x:c r="A96" s="82" t="n">
        <x:v>92</x:v>
      </x:c>
      <x:c r="B96" s="82" t="str">
        <x:v>Clément Russo</x:v>
      </x:c>
      <x:c r="C96" s="143" t="str"/>
      <x:c r="D96" s="82" t="str">
        <x:v>フランス</x:v>
      </x:c>
      <x:c r="E96" s="82" t="str">
        <x:v>Groupama–FDJ United</x:v>
      </x:c>
      <x:c r="F96" s="82" t="str">
        <x:v>1995-01-20</x:v>
      </x:c>
      <x:c r="G96" s="82" t="str">
        <x:v>現役確認済</x:v>
      </x:c>
      <x:c r="H96" s="82" t="str">
        <x:v>クラシック型</x:v>
      </x:c>
      <x:c r="I96" s="82" t="str">
        <x:v>TT・ルーラー型</x:v>
      </x:c>
      <x:c r="J96" s="85" t="n">
        <x:v>75</x:v>
      </x:c>
      <x:c r="K96" s="85" t="n">
        <x:v>79</x:v>
      </x:c>
      <x:c r="L96" s="91" t="str">
        <x:v>平坦アシスト / 平坦ペースメーカー / TT牽引 / 石畳護衛 / 横風要員 / 逃げ屋 / 超ロングスパート</x:v>
      </x:c>
      <x:c r="M96" s="88" t="n">
        <x:v>6650</x:v>
      </x:c>
      <x:c r="N96" s="85" t="n">
        <x:v>76</x:v>
      </x:c>
      <x:c r="O96" s="85" t="n">
        <x:v>76</x:v>
      </x:c>
      <x:c r="P96" s="85" t="n">
        <x:v>74</x:v>
      </x:c>
      <x:c r="Q96" s="85" t="n">
        <x:v>80</x:v>
      </x:c>
      <x:c r="R96" s="85" t="n">
        <x:v>69</x:v>
      </x:c>
      <x:c r="S96" s="85" t="n">
        <x:v>78</x:v>
      </x:c>
      <x:c r="T96" s="85" t="n">
        <x:v>77</x:v>
      </x:c>
      <x:c r="U96" s="85" t="n">
        <x:v>77</x:v>
      </x:c>
      <x:c r="V96" s="85" t="n">
        <x:v>79</x:v>
      </x:c>
      <x:c r="W96" s="85" t="n">
        <x:v>77</x:v>
      </x:c>
      <x:c r="X96" s="85" t="n">
        <x:v>74</x:v>
      </x:c>
      <x:c r="Y96" s="85" t="n">
        <x:v>72</x:v>
      </x:c>
      <x:c r="Z96" s="85" t="n">
        <x:v>82</x:v>
      </x:c>
      <x:c r="AA96" s="85" t="n">
        <x:v>68</x:v>
      </x:c>
      <x:c r="AB96" s="85" t="n">
        <x:v>81</x:v>
      </x:c>
      <x:c r="AC96" s="91" t="str">
        <x:v>2026 UCI WorldTeam名簿掲載</x:v>
      </x:c>
      <x:c r="AD96" s="91" t="str">
        <x:v>https://en.wikipedia.org/wiki/List_of_2026_UCI_WorldTeams_and_riders</x:v>
      </x:c>
      <x:c r="AE96" s="91" t="str">
        <x:v>能力・適性・Credit整合済</x:v>
      </x:c>
      <x:c r="AF96" s="91" t="str">
        <x:v>https://en.wikipedia.org/wiki/Cl%C3%A9ment_Russo</x:v>
      </x:c>
    </x:row>
    <x:row r="97" ht="26" customHeight="1">
      <x:c r="A97" s="82" t="n">
        <x:v>93</x:v>
      </x:c>
      <x:c r="B97" s="82" t="str">
        <x:v>Michał Kwiatkowski</x:v>
      </x:c>
      <x:c r="C97" s="143" t="str"/>
      <x:c r="D97" s="82" t="str">
        <x:v>ポーランド</x:v>
      </x:c>
      <x:c r="E97" s="82" t="str">
        <x:v>Netcompany INEOS Cycling Team</x:v>
      </x:c>
      <x:c r="F97" s="82" t="str">
        <x:v>1990-06-02</x:v>
      </x:c>
      <x:c r="G97" s="82" t="str">
        <x:v>現役確認済</x:v>
      </x:c>
      <x:c r="H97" s="82" t="str">
        <x:v>クラシック型</x:v>
      </x:c>
      <x:c r="I97" s="82" t="str">
        <x:v>TT・ルーラー型</x:v>
      </x:c>
      <x:c r="J97" s="85" t="n">
        <x:v>75</x:v>
      </x:c>
      <x:c r="K97" s="85" t="n">
        <x:v>78</x:v>
      </x:c>
      <x:c r="L97" s="91" t="str">
        <x:v>TT牽引 / 石畳護衛 / 下り牽引 / 横風要員 / 逃げ屋 / ポジションキーパー</x:v>
      </x:c>
      <x:c r="M97" s="88" t="n">
        <x:v>6550</x:v>
      </x:c>
      <x:c r="N97" s="85" t="n">
        <x:v>72</x:v>
      </x:c>
      <x:c r="O97" s="85" t="n">
        <x:v>72</x:v>
      </x:c>
      <x:c r="P97" s="85" t="n">
        <x:v>75</x:v>
      </x:c>
      <x:c r="Q97" s="85" t="n">
        <x:v>75</x:v>
      </x:c>
      <x:c r="R97" s="85" t="n">
        <x:v>62</x:v>
      </x:c>
      <x:c r="S97" s="85" t="n">
        <x:v>75</x:v>
      </x:c>
      <x:c r="T97" s="85" t="n">
        <x:v>83</x:v>
      </x:c>
      <x:c r="U97" s="85" t="n">
        <x:v>82</x:v>
      </x:c>
      <x:c r="V97" s="85" t="n">
        <x:v>84</x:v>
      </x:c>
      <x:c r="W97" s="85" t="n">
        <x:v>74</x:v>
      </x:c>
      <x:c r="X97" s="85" t="n">
        <x:v>70</x:v>
      </x:c>
      <x:c r="Y97" s="85" t="n">
        <x:v>73</x:v>
      </x:c>
      <x:c r="Z97" s="85" t="n">
        <x:v>76</x:v>
      </x:c>
      <x:c r="AA97" s="85" t="n">
        <x:v>73</x:v>
      </x:c>
      <x:c r="AB97" s="85" t="n">
        <x:v>75</x:v>
      </x:c>
      <x:c r="AC97" s="91" t="str">
        <x:v>2026 UCI WorldTeam名簿掲載</x:v>
      </x:c>
      <x:c r="AD97" s="91" t="str">
        <x:v>https://en.wikipedia.org/wiki/List_of_2026_UCI_WorldTeams_and_riders</x:v>
      </x:c>
      <x:c r="AE97" s="91" t="str">
        <x:v>能力・適性・Credit整合済</x:v>
      </x:c>
      <x:c r="AF97" s="91" t="str">
        <x:v>https://en.wikipedia.org/wiki/Micha%C5%82_Kwiatkowski</x:v>
      </x:c>
    </x:row>
    <x:row r="98" ht="26" customHeight="1">
      <x:c r="A98" s="82" t="n">
        <x:v>94</x:v>
      </x:c>
      <x:c r="B98" s="82" t="str">
        <x:v>Attila Valter</x:v>
      </x:c>
      <x:c r="C98" s="143" t="str"/>
      <x:c r="D98" s="82" t="str">
        <x:v>HUN</x:v>
      </x:c>
      <x:c r="E98" s="82" t="str">
        <x:v>Team Bahrain Victorious</x:v>
      </x:c>
      <x:c r="F98" s="82" t="str">
        <x:v>1998-06-12</x:v>
      </x:c>
      <x:c r="G98" s="82" t="str">
        <x:v>現役確認済</x:v>
      </x:c>
      <x:c r="H98" s="82" t="str">
        <x:v>クライマー</x:v>
      </x:c>
      <x:c r="I98" s="82" t="str">
        <x:v>スプリンター</x:v>
      </x:c>
      <x:c r="J98" s="85" t="n">
        <x:v>75</x:v>
      </x:c>
      <x:c r="K98" s="85" t="n">
        <x:v>78</x:v>
      </x:c>
      <x:c r="L98" s="91" t="str">
        <x:v>山岳賞ハンター / スプリントトレイン / 平坦アシスト / 山岳アシスト / 山岳番手 / サテライトライダー</x:v>
      </x:c>
      <x:c r="M98" s="88" t="n">
        <x:v>6450</x:v>
      </x:c>
      <x:c r="N98" s="85" t="n">
        <x:v>61</x:v>
      </x:c>
      <x:c r="O98" s="85" t="n">
        <x:v>69</x:v>
      </x:c>
      <x:c r="P98" s="85" t="n">
        <x:v>71</x:v>
      </x:c>
      <x:c r="Q98" s="85" t="n">
        <x:v>67</x:v>
      </x:c>
      <x:c r="R98" s="85" t="n">
        <x:v>78</x:v>
      </x:c>
      <x:c r="S98" s="85" t="n">
        <x:v>81</x:v>
      </x:c>
      <x:c r="T98" s="85" t="n">
        <x:v>73</x:v>
      </x:c>
      <x:c r="U98" s="85" t="n">
        <x:v>68</x:v>
      </x:c>
      <x:c r="V98" s="85" t="n">
        <x:v>70</x:v>
      </x:c>
      <x:c r="W98" s="85" t="n">
        <x:v>55</x:v>
      </x:c>
      <x:c r="X98" s="85" t="n">
        <x:v>79</x:v>
      </x:c>
      <x:c r="Y98" s="85" t="n">
        <x:v>79</x:v>
      </x:c>
      <x:c r="Z98" s="85" t="n">
        <x:v>78</x:v>
      </x:c>
      <x:c r="AA98" s="85" t="n">
        <x:v>72</x:v>
      </x:c>
      <x:c r="AB98" s="85" t="n">
        <x:v>78</x:v>
      </x:c>
      <x:c r="AC98" s="91" t="str">
        <x:v>2026 UCI WorldTeam名簿掲載</x:v>
      </x:c>
      <x:c r="AD98" s="91" t="str">
        <x:v>https://en.wikipedia.org/wiki/List_of_2026_UCI_WorldTeams_and_riders</x:v>
      </x:c>
      <x:c r="AE98" s="91" t="str">
        <x:v>能力・適性・Credit整合済</x:v>
      </x:c>
      <x:c r="AF98" s="91" t="str">
        <x:v>https://en.wikipedia.org/wiki/Attila_Valter</x:v>
      </x:c>
    </x:row>
    <x:row r="99" ht="26" customHeight="1">
      <x:c r="A99" s="82" t="n">
        <x:v>95</x:v>
      </x:c>
      <x:c r="B99" s="82" t="str">
        <x:v>James Knox (cyclist)</x:v>
      </x:c>
      <x:c r="C99" s="143" t="str"/>
      <x:c r="D99" s="82" t="str">
        <x:v>イギリス</x:v>
      </x:c>
      <x:c r="E99" s="82" t="str">
        <x:v>Team Picnic–PostNL</x:v>
      </x:c>
      <x:c r="F99" s="82" t="str">
        <x:v>1995-11-04</x:v>
      </x:c>
      <x:c r="G99" s="82" t="str">
        <x:v>現役確認済</x:v>
      </x:c>
      <x:c r="H99" s="82" t="str">
        <x:v>クライマー</x:v>
      </x:c>
      <x:c r="I99" s="82" t="str">
        <x:v>パンチャー</x:v>
      </x:c>
      <x:c r="J99" s="85" t="n">
        <x:v>75</x:v>
      </x:c>
      <x:c r="K99" s="85" t="n">
        <x:v>76</x:v>
      </x:c>
      <x:c r="L99" s="91" t="str">
        <x:v>山岳賞ハンター / 山岳アシスト / 逃げ屋 / サテライトライダー</x:v>
      </x:c>
      <x:c r="M99" s="88" t="n">
        <x:v>6400</x:v>
      </x:c>
      <x:c r="N99" s="85" t="n">
        <x:v>64</x:v>
      </x:c>
      <x:c r="O99" s="85" t="n">
        <x:v>69</x:v>
      </x:c>
      <x:c r="P99" s="85" t="n">
        <x:v>71</x:v>
      </x:c>
      <x:c r="Q99" s="85" t="n">
        <x:v>66</x:v>
      </x:c>
      <x:c r="R99" s="85" t="n">
        <x:v>81</x:v>
      </x:c>
      <x:c r="S99" s="85" t="n">
        <x:v>79</x:v>
      </x:c>
      <x:c r="T99" s="85" t="n">
        <x:v>77</x:v>
      </x:c>
      <x:c r="U99" s="85" t="n">
        <x:v>66</x:v>
      </x:c>
      <x:c r="V99" s="85" t="n">
        <x:v>69</x:v>
      </x:c>
      <x:c r="W99" s="85" t="n">
        <x:v>56</x:v>
      </x:c>
      <x:c r="X99" s="85" t="n">
        <x:v>78</x:v>
      </x:c>
      <x:c r="Y99" s="85" t="n">
        <x:v>77</x:v>
      </x:c>
      <x:c r="Z99" s="85" t="n">
        <x:v>71</x:v>
      </x:c>
      <x:c r="AA99" s="85" t="n">
        <x:v>67</x:v>
      </x:c>
      <x:c r="AB99" s="85" t="n">
        <x:v>78</x:v>
      </x:c>
      <x:c r="AC99" s="91" t="str">
        <x:v>2026 UCI WorldTeam名簿掲載</x:v>
      </x:c>
      <x:c r="AD99" s="91" t="str">
        <x:v>https://en.wikipedia.org/wiki/List_of_2026_UCI_WorldTeams_and_riders</x:v>
      </x:c>
      <x:c r="AE99" s="91" t="str">
        <x:v>能力・適性・Credit整合済</x:v>
      </x:c>
      <x:c r="AF99" s="91" t="str">
        <x:v>https://en.wikipedia.org/wiki/James_Knox_(cyclist)</x:v>
      </x:c>
    </x:row>
    <x:row r="100" ht="26" customHeight="1">
      <x:c r="A100" s="82" t="n">
        <x:v>96</x:v>
      </x:c>
      <x:c r="B100" s="82" t="str">
        <x:v>Léo Bisiaux</x:v>
      </x:c>
      <x:c r="C100" s="143" t="str"/>
      <x:c r="D100" s="82" t="str">
        <x:v>フランス</x:v>
      </x:c>
      <x:c r="E100" s="82" t="str">
        <x:v>Decathlon–CMA CGM</x:v>
      </x:c>
      <x:c r="F100" s="82" t="str">
        <x:v>2005-02-14</x:v>
      </x:c>
      <x:c r="G100" s="82" t="str">
        <x:v>現役確認済</x:v>
      </x:c>
      <x:c r="H100" s="82" t="str">
        <x:v>クラシック型</x:v>
      </x:c>
      <x:c r="I100" s="82" t="str">
        <x:v>TT・ルーラー型</x:v>
      </x:c>
      <x:c r="J100" s="85" t="n">
        <x:v>75</x:v>
      </x:c>
      <x:c r="K100" s="85" t="n">
        <x:v>78</x:v>
      </x:c>
      <x:c r="L100" s="91" t="str">
        <x:v>平坦アシスト / TT牽引 / 石畳護衛 / ブレイクアウェイキラー / 横風要員 / 逃げ屋 / ブリッジャー</x:v>
      </x:c>
      <x:c r="M100" s="88" t="n">
        <x:v>6300</x:v>
      </x:c>
      <x:c r="N100" s="85" t="n">
        <x:v>75</x:v>
      </x:c>
      <x:c r="O100" s="85" t="n">
        <x:v>73</x:v>
      </x:c>
      <x:c r="P100" s="85" t="n">
        <x:v>73</x:v>
      </x:c>
      <x:c r="Q100" s="85" t="n">
        <x:v>75</x:v>
      </x:c>
      <x:c r="R100" s="85" t="n">
        <x:v>70</x:v>
      </x:c>
      <x:c r="S100" s="85" t="n">
        <x:v>73</x:v>
      </x:c>
      <x:c r="T100" s="85" t="n">
        <x:v>79</x:v>
      </x:c>
      <x:c r="U100" s="85" t="n">
        <x:v>79</x:v>
      </x:c>
      <x:c r="V100" s="85" t="n">
        <x:v>79</x:v>
      </x:c>
      <x:c r="W100" s="85" t="n">
        <x:v>76</x:v>
      </x:c>
      <x:c r="X100" s="85" t="n">
        <x:v>73</x:v>
      </x:c>
      <x:c r="Y100" s="85" t="n">
        <x:v>73</x:v>
      </x:c>
      <x:c r="Z100" s="85" t="n">
        <x:v>78</x:v>
      </x:c>
      <x:c r="AA100" s="85" t="n">
        <x:v>70</x:v>
      </x:c>
      <x:c r="AB100" s="85" t="n">
        <x:v>75</x:v>
      </x:c>
      <x:c r="AC100" s="91" t="str">
        <x:v>2026 UCI WorldTeam名簿掲載</x:v>
      </x:c>
      <x:c r="AD100" s="91" t="str">
        <x:v>https://en.wikipedia.org/wiki/List_of_2026_UCI_WorldTeams_and_riders</x:v>
      </x:c>
      <x:c r="AE100" s="91" t="str">
        <x:v>能力・適性・Credit整合済</x:v>
      </x:c>
      <x:c r="AF100" s="91" t="str">
        <x:v>https://en.wikipedia.org/wiki/L%C3%A9o_Bisiaux</x:v>
      </x:c>
    </x:row>
    <x:row r="101" ht="26" customHeight="1">
      <x:c r="A101" s="82" t="n">
        <x:v>97</x:v>
      </x:c>
      <x:c r="B101" s="82" t="str">
        <x:v>Julien Bernard</x:v>
      </x:c>
      <x:c r="C101" s="143" t="str"/>
      <x:c r="D101" s="82" t="str">
        <x:v>フランス</x:v>
      </x:c>
      <x:c r="E101" s="82" t="str">
        <x:v>Lidl–Trek</x:v>
      </x:c>
      <x:c r="F101" s="82" t="str">
        <x:v>1992-03-17</x:v>
      </x:c>
      <x:c r="G101" s="82" t="str">
        <x:v>現役確認済</x:v>
      </x:c>
      <x:c r="H101" s="82" t="str">
        <x:v>総合型</x:v>
      </x:c>
      <x:c r="I101" s="82" t="str">
        <x:v>スプリンター</x:v>
      </x:c>
      <x:c r="J101" s="85" t="n">
        <x:v>75</x:v>
      </x:c>
      <x:c r="K101" s="85" t="n">
        <x:v>75</x:v>
      </x:c>
      <x:c r="L101" s="91" t="str">
        <x:v>山岳賞ハンター / スプリントトレイン / 山岳アシスト / ブリッジャー</x:v>
      </x:c>
      <x:c r="M101" s="88" t="n">
        <x:v>6200</x:v>
      </x:c>
      <x:c r="N101" s="85" t="n">
        <x:v>64</x:v>
      </x:c>
      <x:c r="O101" s="85" t="n">
        <x:v>70</x:v>
      </x:c>
      <x:c r="P101" s="85" t="n">
        <x:v>71</x:v>
      </x:c>
      <x:c r="Q101" s="85" t="n">
        <x:v>71</x:v>
      </x:c>
      <x:c r="R101" s="85" t="n">
        <x:v>79</x:v>
      </x:c>
      <x:c r="S101" s="85" t="n">
        <x:v>76</x:v>
      </x:c>
      <x:c r="T101" s="85" t="n">
        <x:v>78</x:v>
      </x:c>
      <x:c r="U101" s="85" t="n">
        <x:v>66</x:v>
      </x:c>
      <x:c r="V101" s="85" t="n">
        <x:v>69</x:v>
      </x:c>
      <x:c r="W101" s="85" t="n">
        <x:v>54</x:v>
      </x:c>
      <x:c r="X101" s="85" t="n">
        <x:v>82</x:v>
      </x:c>
      <x:c r="Y101" s="85" t="n">
        <x:v>80</x:v>
      </x:c>
      <x:c r="Z101" s="85" t="n">
        <x:v>70</x:v>
      </x:c>
      <x:c r="AA101" s="85" t="n">
        <x:v>80</x:v>
      </x:c>
      <x:c r="AB101" s="85" t="n">
        <x:v>71</x:v>
      </x:c>
      <x:c r="AC101" s="91" t="str">
        <x:v>2026 UCI WorldTeam名簿掲載</x:v>
      </x:c>
      <x:c r="AD101" s="91" t="str">
        <x:v>https://en.wikipedia.org/wiki/List_of_2026_UCI_WorldTeams_and_riders</x:v>
      </x:c>
      <x:c r="AE101" s="91" t="str">
        <x:v>能力・適性・Credit整合済</x:v>
      </x:c>
      <x:c r="AF101" s="91" t="str">
        <x:v>https://en.wikipedia.org/wiki/Julien_Bernard</x:v>
      </x:c>
    </x:row>
    <x:row r="102" ht="26" customHeight="1">
      <x:c r="A102" s="82" t="n">
        <x:v>98</x:v>
      </x:c>
      <x:c r="B102" s="82" t="str">
        <x:v>Jørgen Nordhagen</x:v>
      </x:c>
      <x:c r="C102" s="143" t="str"/>
      <x:c r="D102" s="82" t="str">
        <x:v>ノルウェー</x:v>
      </x:c>
      <x:c r="E102" s="82" t="str">
        <x:v>Visma–Lease a Bike</x:v>
      </x:c>
      <x:c r="F102" s="82" t="str">
        <x:v>2005-01-10</x:v>
      </x:c>
      <x:c r="G102" s="82" t="str">
        <x:v>現役確認済</x:v>
      </x:c>
      <x:c r="H102" s="82" t="str">
        <x:v>パンチャー</x:v>
      </x:c>
      <x:c r="I102" s="82" t="str">
        <x:v>スプリンター</x:v>
      </x:c>
      <x:c r="J102" s="85" t="n">
        <x:v>75</x:v>
      </x:c>
      <x:c r="K102" s="85" t="n">
        <x:v>72</x:v>
      </x:c>
      <x:c r="L102" s="91" t="str">
        <x:v>ステージハンター / 山岳賞ハンター / スプリントトレイン / 下り牽引 / 逃げ屋 / カウンターアタッカー / 無賃乗車</x:v>
      </x:c>
      <x:c r="M102" s="88" t="n">
        <x:v>6150</x:v>
      </x:c>
      <x:c r="N102" s="85" t="n">
        <x:v>71</x:v>
      </x:c>
      <x:c r="O102" s="85" t="n">
        <x:v>81</x:v>
      </x:c>
      <x:c r="P102" s="85" t="n">
        <x:v>82</x:v>
      </x:c>
      <x:c r="Q102" s="85" t="n">
        <x:v>69</x:v>
      </x:c>
      <x:c r="R102" s="85" t="n">
        <x:v>73</x:v>
      </x:c>
      <x:c r="S102" s="85" t="n">
        <x:v>67</x:v>
      </x:c>
      <x:c r="T102" s="85" t="n">
        <x:v>70</x:v>
      </x:c>
      <x:c r="U102" s="85" t="n">
        <x:v>74</x:v>
      </x:c>
      <x:c r="V102" s="85" t="n">
        <x:v>79</x:v>
      </x:c>
      <x:c r="W102" s="85" t="n">
        <x:v>60</x:v>
      </x:c>
      <x:c r="X102" s="85" t="n">
        <x:v>72</x:v>
      </x:c>
      <x:c r="Y102" s="85" t="n">
        <x:v>71</x:v>
      </x:c>
      <x:c r="Z102" s="85" t="n">
        <x:v>64</x:v>
      </x:c>
      <x:c r="AA102" s="85" t="n">
        <x:v>77</x:v>
      </x:c>
      <x:c r="AB102" s="85" t="n">
        <x:v>80</x:v>
      </x:c>
      <x:c r="AC102" s="91" t="str">
        <x:v>2026 UCI WorldTeam名簿掲載</x:v>
      </x:c>
      <x:c r="AD102" s="91" t="str">
        <x:v>https://en.wikipedia.org/wiki/List_of_2026_UCI_WorldTeams_and_riders</x:v>
      </x:c>
      <x:c r="AE102" s="91" t="str">
        <x:v>能力・適性・Credit整合済</x:v>
      </x:c>
      <x:c r="AF102" s="91" t="str">
        <x:v>https://en.wikipedia.org/wiki/J%C3%B8rgen_Nordhagen</x:v>
      </x:c>
    </x:row>
    <x:row r="103" ht="26" customHeight="1">
      <x:c r="A103" s="82" t="n">
        <x:v>99</x:v>
      </x:c>
      <x:c r="B103" s="82" t="str">
        <x:v>Alessandro Pinarello</x:v>
      </x:c>
      <x:c r="C103" s="143" t="str"/>
      <x:c r="D103" s="82" t="str">
        <x:v>イタリア</x:v>
      </x:c>
      <x:c r="E103" s="82" t="str">
        <x:v>NSN Cycling Team</x:v>
      </x:c>
      <x:c r="F103" s="82" t="str">
        <x:v>2003-07-12</x:v>
      </x:c>
      <x:c r="G103" s="82" t="str">
        <x:v>現役確認済</x:v>
      </x:c>
      <x:c r="H103" s="82" t="str">
        <x:v>クラシック型</x:v>
      </x:c>
      <x:c r="I103" s="82" t="str">
        <x:v>総合型</x:v>
      </x:c>
      <x:c r="J103" s="85" t="n">
        <x:v>75</x:v>
      </x:c>
      <x:c r="K103" s="85" t="n">
        <x:v>75</x:v>
      </x:c>
      <x:c r="L103" s="91" t="str">
        <x:v>石畳護衛 / 集団コントローラー / 逃げ屋</x:v>
      </x:c>
      <x:c r="M103" s="88" t="n">
        <x:v>5900</x:v>
      </x:c>
      <x:c r="N103" s="85" t="n">
        <x:v>74</x:v>
      </x:c>
      <x:c r="O103" s="85" t="n">
        <x:v>69</x:v>
      </x:c>
      <x:c r="P103" s="85" t="n">
        <x:v>71</x:v>
      </x:c>
      <x:c r="Q103" s="85" t="n">
        <x:v>73</x:v>
      </x:c>
      <x:c r="R103" s="85" t="n">
        <x:v>64</x:v>
      </x:c>
      <x:c r="S103" s="85" t="n">
        <x:v>77</x:v>
      </x:c>
      <x:c r="T103" s="85" t="n">
        <x:v>78</x:v>
      </x:c>
      <x:c r="U103" s="85" t="n">
        <x:v>77</x:v>
      </x:c>
      <x:c r="V103" s="85" t="n">
        <x:v>75</x:v>
      </x:c>
      <x:c r="W103" s="85" t="n">
        <x:v>73</x:v>
      </x:c>
      <x:c r="X103" s="85" t="n">
        <x:v>67</x:v>
      </x:c>
      <x:c r="Y103" s="85" t="n">
        <x:v>69</x:v>
      </x:c>
      <x:c r="Z103" s="85" t="n">
        <x:v>72</x:v>
      </x:c>
      <x:c r="AA103" s="85" t="n">
        <x:v>69</x:v>
      </x:c>
      <x:c r="AB103" s="85" t="n">
        <x:v>78</x:v>
      </x:c>
      <x:c r="AC103" s="91" t="str">
        <x:v>2026 UCI WorldTeam名簿掲載</x:v>
      </x:c>
      <x:c r="AD103" s="91" t="str">
        <x:v>https://en.wikipedia.org/wiki/List_of_2026_UCI_WorldTeams_and_riders</x:v>
      </x:c>
      <x:c r="AE103" s="91" t="str">
        <x:v>能力・適性・Credit整合済</x:v>
      </x:c>
      <x:c r="AF103" s="91" t="str">
        <x:v>https://en.wikipedia.org/wiki/Alessandro_Pinarello</x:v>
      </x:c>
    </x:row>
    <x:row r="104" ht="26" customHeight="1">
      <x:c r="A104" s="82" t="n">
        <x:v>100</x:v>
      </x:c>
      <x:c r="B104" s="82" t="str">
        <x:v>Ilan Van Wilder</x:v>
      </x:c>
      <x:c r="C104" s="143" t="str"/>
      <x:c r="D104" s="82" t="str">
        <x:v>ベルギー</x:v>
      </x:c>
      <x:c r="E104" s="82" t="str">
        <x:v>Soudal–Quick-Step</x:v>
      </x:c>
      <x:c r="F104" s="82" t="str">
        <x:v>2000-05-14</x:v>
      </x:c>
      <x:c r="G104" s="82" t="str">
        <x:v>現役確認済</x:v>
      </x:c>
      <x:c r="H104" s="82" t="str">
        <x:v>総合型</x:v>
      </x:c>
      <x:c r="I104" s="82" t="str">
        <x:v>クライマー</x:v>
      </x:c>
      <x:c r="J104" s="85" t="n">
        <x:v>75</x:v>
      </x:c>
      <x:c r="K104" s="85" t="n">
        <x:v>75</x:v>
      </x:c>
      <x:c r="L104" s="91" t="str">
        <x:v>山岳賞ハンター / 山岳アシスト / 山岳ペースメーカー</x:v>
      </x:c>
      <x:c r="M104" s="88" t="n">
        <x:v>5900</x:v>
      </x:c>
      <x:c r="N104" s="85" t="n">
        <x:v>65</x:v>
      </x:c>
      <x:c r="O104" s="85" t="n">
        <x:v>65</x:v>
      </x:c>
      <x:c r="P104" s="85" t="n">
        <x:v>70</x:v>
      </x:c>
      <x:c r="Q104" s="85" t="n">
        <x:v>69</x:v>
      </x:c>
      <x:c r="R104" s="85" t="n">
        <x:v>80</x:v>
      </x:c>
      <x:c r="S104" s="85" t="n">
        <x:v>82</x:v>
      </x:c>
      <x:c r="T104" s="85" t="n">
        <x:v>77</x:v>
      </x:c>
      <x:c r="U104" s="85" t="n">
        <x:v>66</x:v>
      </x:c>
      <x:c r="V104" s="85" t="n">
        <x:v>69</x:v>
      </x:c>
      <x:c r="W104" s="85" t="n">
        <x:v>55</x:v>
      </x:c>
      <x:c r="X104" s="85" t="n">
        <x:v>76</x:v>
      </x:c>
      <x:c r="Y104" s="85" t="n">
        <x:v>79</x:v>
      </x:c>
      <x:c r="Z104" s="85" t="n">
        <x:v>69</x:v>
      </x:c>
      <x:c r="AA104" s="85" t="n">
        <x:v>71</x:v>
      </x:c>
      <x:c r="AB104" s="85" t="n">
        <x:v>68</x:v>
      </x:c>
      <x:c r="AC104" s="91" t="str">
        <x:v>2026 UCI WorldTeam名簿掲載</x:v>
      </x:c>
      <x:c r="AD104" s="91" t="str">
        <x:v>https://en.wikipedia.org/wiki/List_of_2026_UCI_WorldTeams_and_riders</x:v>
      </x:c>
      <x:c r="AE104" s="91" t="str">
        <x:v>能力・適性・Credit整合済</x:v>
      </x:c>
      <x:c r="AF104" s="91" t="str">
        <x:v>https://en.wikipedia.org/wiki/Ilan_Van_Wilder</x:v>
      </x:c>
    </x:row>
    <x:row r="105" ht="26" customHeight="1">
      <x:c r="A105" s="82" t="n">
        <x:v>101</x:v>
      </x:c>
      <x:c r="B105" s="82" t="str">
        <x:v>Felix Ørn-Kristoff</x:v>
      </x:c>
      <x:c r="C105" s="143" t="str"/>
      <x:c r="D105" s="82" t="str">
        <x:v>ノルウェー</x:v>
      </x:c>
      <x:c r="E105" s="82" t="str">
        <x:v>Lotto–Intermarché</x:v>
      </x:c>
      <x:c r="F105" s="82" t="str">
        <x:v>2006-03-15</x:v>
      </x:c>
      <x:c r="G105" s="82" t="str">
        <x:v>現役確認済</x:v>
      </x:c>
      <x:c r="H105" s="82" t="str">
        <x:v>クラシック型</x:v>
      </x:c>
      <x:c r="I105" s="82" t="str">
        <x:v>パンチャー</x:v>
      </x:c>
      <x:c r="J105" s="85" t="n">
        <x:v>75</x:v>
      </x:c>
      <x:c r="K105" s="85" t="n">
        <x:v>75</x:v>
      </x:c>
      <x:c r="L105" s="91" t="str">
        <x:v>石畳護衛 / 横風要員 / 逃げ屋</x:v>
      </x:c>
      <x:c r="M105" s="88" t="n">
        <x:v>5800</x:v>
      </x:c>
      <x:c r="N105" s="85" t="n">
        <x:v>71</x:v>
      </x:c>
      <x:c r="O105" s="85" t="n">
        <x:v>72</x:v>
      </x:c>
      <x:c r="P105" s="85" t="n">
        <x:v>72</x:v>
      </x:c>
      <x:c r="Q105" s="85" t="n">
        <x:v>77</x:v>
      </x:c>
      <x:c r="R105" s="85" t="n">
        <x:v>62</x:v>
      </x:c>
      <x:c r="S105" s="85" t="n">
        <x:v>71</x:v>
      </x:c>
      <x:c r="T105" s="85" t="n">
        <x:v>75</x:v>
      </x:c>
      <x:c r="U105" s="85" t="n">
        <x:v>76</x:v>
      </x:c>
      <x:c r="V105" s="85" t="n">
        <x:v>81</x:v>
      </x:c>
      <x:c r="W105" s="85" t="n">
        <x:v>71</x:v>
      </x:c>
      <x:c r="X105" s="85" t="n">
        <x:v>70</x:v>
      </x:c>
      <x:c r="Y105" s="85" t="n">
        <x:v>69</x:v>
      </x:c>
      <x:c r="Z105" s="85" t="n">
        <x:v>73</x:v>
      </x:c>
      <x:c r="AA105" s="85" t="n">
        <x:v>72</x:v>
      </x:c>
      <x:c r="AB105" s="85" t="n">
        <x:v>77</x:v>
      </x:c>
      <x:c r="AC105" s="91" t="str">
        <x:v>2026 UCI WorldTeam名簿掲載</x:v>
      </x:c>
      <x:c r="AD105" s="91" t="str">
        <x:v>https://en.wikipedia.org/wiki/List_of_2026_UCI_WorldTeams_and_riders</x:v>
      </x:c>
      <x:c r="AE105" s="91" t="str">
        <x:v>能力・適性・Credit整合済</x:v>
      </x:c>
      <x:c r="AF105" s="91" t="str">
        <x:v>https://en.wikipedia.org/wiki/Felix_%C3%98rn-Kristoff</x:v>
      </x:c>
    </x:row>
    <x:row r="106" ht="26" customHeight="1">
      <x:c r="A106" s="82" t="n">
        <x:v>102</x:v>
      </x:c>
      <x:c r="B106" s="82" t="str">
        <x:v>Jan Hirt</x:v>
      </x:c>
      <x:c r="C106" s="143" t="str"/>
      <x:c r="D106" s="82" t="str">
        <x:v>チェコ</x:v>
      </x:c>
      <x:c r="E106" s="82" t="str">
        <x:v>NSN Cycling Team</x:v>
      </x:c>
      <x:c r="F106" s="82" t="str">
        <x:v>1991-01-21</x:v>
      </x:c>
      <x:c r="G106" s="82" t="str">
        <x:v>現役確認済</x:v>
      </x:c>
      <x:c r="H106" s="82" t="str">
        <x:v>クライマー</x:v>
      </x:c>
      <x:c r="I106" s="82" t="str">
        <x:v>パンチャー</x:v>
      </x:c>
      <x:c r="J106" s="85" t="n">
        <x:v>75</x:v>
      </x:c>
      <x:c r="K106" s="85" t="n">
        <x:v>75</x:v>
      </x:c>
      <x:c r="L106" s="91" t="str">
        <x:v>山岳賞ハンター / 山岳アシスト / 山岳ペースメーカー</x:v>
      </x:c>
      <x:c r="M106" s="88" t="n">
        <x:v>5750</x:v>
      </x:c>
      <x:c r="N106" s="85" t="n">
        <x:v>57</x:v>
      </x:c>
      <x:c r="O106" s="85" t="n">
        <x:v>66</x:v>
      </x:c>
      <x:c r="P106" s="85" t="n">
        <x:v>70</x:v>
      </x:c>
      <x:c r="Q106" s="85" t="n">
        <x:v>66</x:v>
      </x:c>
      <x:c r="R106" s="85" t="n">
        <x:v>76</x:v>
      </x:c>
      <x:c r="S106" s="85" t="n">
        <x:v>80</x:v>
      </x:c>
      <x:c r="T106" s="85" t="n">
        <x:v>71</x:v>
      </x:c>
      <x:c r="U106" s="85" t="n">
        <x:v>64</x:v>
      </x:c>
      <x:c r="V106" s="85" t="n">
        <x:v>66</x:v>
      </x:c>
      <x:c r="W106" s="85" t="n">
        <x:v>55</x:v>
      </x:c>
      <x:c r="X106" s="85" t="n">
        <x:v>77</x:v>
      </x:c>
      <x:c r="Y106" s="85" t="n">
        <x:v>75</x:v>
      </x:c>
      <x:c r="Z106" s="85" t="n">
        <x:v>72</x:v>
      </x:c>
      <x:c r="AA106" s="85" t="n">
        <x:v>67</x:v>
      </x:c>
      <x:c r="AB106" s="85" t="n">
        <x:v>74</x:v>
      </x:c>
      <x:c r="AC106" s="91" t="str">
        <x:v>2026 UCI WorldTeam名簿掲載</x:v>
      </x:c>
      <x:c r="AD106" s="91" t="str">
        <x:v>https://en.wikipedia.org/wiki/List_of_2026_UCI_WorldTeams_and_riders</x:v>
      </x:c>
      <x:c r="AE106" s="91" t="str">
        <x:v>能力・適性・Credit整合済</x:v>
      </x:c>
      <x:c r="AF106" s="91" t="str">
        <x:v>https://en.wikipedia.org/wiki/Jan_Hirt</x:v>
      </x:c>
    </x:row>
    <x:row r="107" ht="26" customHeight="1">
      <x:c r="A107" s="82" t="n">
        <x:v>103</x:v>
      </x:c>
      <x:c r="B107" s="82" t="str">
        <x:v>Cian Uijtdebroeks</x:v>
      </x:c>
      <x:c r="C107" s="143" t="str"/>
      <x:c r="D107" s="82" t="str">
        <x:v>ベルギー</x:v>
      </x:c>
      <x:c r="E107" s="82" t="str">
        <x:v>Movistar Team</x:v>
      </x:c>
      <x:c r="F107" s="82" t="str">
        <x:v>2003-02-28</x:v>
      </x:c>
      <x:c r="G107" s="82" t="str">
        <x:v>現役確認済</x:v>
      </x:c>
      <x:c r="H107" s="82" t="str">
        <x:v>総合型</x:v>
      </x:c>
      <x:c r="I107" s="82" t="str">
        <x:v>クライマー</x:v>
      </x:c>
      <x:c r="J107" s="85" t="n">
        <x:v>75</x:v>
      </x:c>
      <x:c r="K107" s="85" t="n">
        <x:v>72</x:v>
      </x:c>
      <x:c r="L107" s="91" t="str">
        <x:v>山岳賞ハンター / 山岳アシスト / 集団コントローラー</x:v>
      </x:c>
      <x:c r="M107" s="88" t="n">
        <x:v>5550</x:v>
      </x:c>
      <x:c r="N107" s="85" t="n">
        <x:v>66</x:v>
      </x:c>
      <x:c r="O107" s="85" t="n">
        <x:v>69</x:v>
      </x:c>
      <x:c r="P107" s="85" t="n">
        <x:v>72</x:v>
      </x:c>
      <x:c r="Q107" s="85" t="n">
        <x:v>69</x:v>
      </x:c>
      <x:c r="R107" s="85" t="n">
        <x:v>74</x:v>
      </x:c>
      <x:c r="S107" s="85" t="n">
        <x:v>75</x:v>
      </x:c>
      <x:c r="T107" s="85" t="n">
        <x:v>73</x:v>
      </x:c>
      <x:c r="U107" s="85" t="n">
        <x:v>68</x:v>
      </x:c>
      <x:c r="V107" s="85" t="n">
        <x:v>67</x:v>
      </x:c>
      <x:c r="W107" s="85" t="n">
        <x:v>57</x:v>
      </x:c>
      <x:c r="X107" s="85" t="n">
        <x:v>82</x:v>
      </x:c>
      <x:c r="Y107" s="85" t="n">
        <x:v>80</x:v>
      </x:c>
      <x:c r="Z107" s="85" t="n">
        <x:v>66</x:v>
      </x:c>
      <x:c r="AA107" s="85" t="n">
        <x:v>72</x:v>
      </x:c>
      <x:c r="AB107" s="85" t="n">
        <x:v>66</x:v>
      </x:c>
      <x:c r="AC107" s="91" t="str">
        <x:v>2026 UCI WorldTeam名簿掲載</x:v>
      </x:c>
      <x:c r="AD107" s="91" t="str">
        <x:v>https://en.wikipedia.org/wiki/List_of_2026_UCI_WorldTeams_and_riders</x:v>
      </x:c>
      <x:c r="AE107" s="91" t="str">
        <x:v>能力・適性・Credit整合済</x:v>
      </x:c>
      <x:c r="AF107" s="91" t="str">
        <x:v>https://en.wikipedia.org/wiki/Cian_Uijtdebroeks</x:v>
      </x:c>
    </x:row>
    <x:row r="108" ht="26" customHeight="1">
      <x:c r="A108" s="82" t="n">
        <x:v>104</x:v>
      </x:c>
      <x:c r="B108" s="82" t="str">
        <x:v>Ben Healy (cyclist)</x:v>
      </x:c>
      <x:c r="C108" s="143" t="str"/>
      <x:c r="D108" s="82" t="str">
        <x:v>アイルランド</x:v>
      </x:c>
      <x:c r="E108" s="82" t="str">
        <x:v>EF Education–EasyPost</x:v>
      </x:c>
      <x:c r="F108" s="82" t="str">
        <x:v>2000-09-11</x:v>
      </x:c>
      <x:c r="G108" s="82" t="str">
        <x:v>現役確認済</x:v>
      </x:c>
      <x:c r="H108" s="82" t="str">
        <x:v>パンチャー</x:v>
      </x:c>
      <x:c r="I108" s="82" t="str">
        <x:v>クラシック型</x:v>
      </x:c>
      <x:c r="J108" s="85" t="n">
        <x:v>75</x:v>
      </x:c>
      <x:c r="K108" s="85" t="n">
        <x:v>71</x:v>
      </x:c>
      <x:c r="L108" s="91" t="str">
        <x:v>ステージハンター / 山岳賞ハンター / カウンターアタッカー</x:v>
      </x:c>
      <x:c r="M108" s="88" t="n">
        <x:v>5500</x:v>
      </x:c>
      <x:c r="N108" s="85" t="n">
        <x:v>74</x:v>
      </x:c>
      <x:c r="O108" s="85" t="n">
        <x:v>76</x:v>
      </x:c>
      <x:c r="P108" s="85" t="n">
        <x:v>79</x:v>
      </x:c>
      <x:c r="Q108" s="85" t="n">
        <x:v>69</x:v>
      </x:c>
      <x:c r="R108" s="85" t="n">
        <x:v>73</x:v>
      </x:c>
      <x:c r="S108" s="85" t="n">
        <x:v>67</x:v>
      </x:c>
      <x:c r="T108" s="85" t="n">
        <x:v>68</x:v>
      </x:c>
      <x:c r="U108" s="85" t="n">
        <x:v>75</x:v>
      </x:c>
      <x:c r="V108" s="85" t="n">
        <x:v>76</x:v>
      </x:c>
      <x:c r="W108" s="85" t="n">
        <x:v>60</x:v>
      </x:c>
      <x:c r="X108" s="85" t="n">
        <x:v>73</x:v>
      </x:c>
      <x:c r="Y108" s="85" t="n">
        <x:v>70</x:v>
      </x:c>
      <x:c r="Z108" s="85" t="n">
        <x:v>68</x:v>
      </x:c>
      <x:c r="AA108" s="85" t="n">
        <x:v>81</x:v>
      </x:c>
      <x:c r="AB108" s="85" t="n">
        <x:v>73</x:v>
      </x:c>
      <x:c r="AC108" s="91" t="str">
        <x:v>2026 UCI WorldTeam名簿掲載</x:v>
      </x:c>
      <x:c r="AD108" s="91" t="str">
        <x:v>https://en.wikipedia.org/wiki/List_of_2026_UCI_WorldTeams_and_riders</x:v>
      </x:c>
      <x:c r="AE108" s="91" t="str">
        <x:v>能力・適性・Credit整合済</x:v>
      </x:c>
      <x:c r="AF108" s="91" t="str">
        <x:v>https://en.wikipedia.org/wiki/Ben_Healy_(cyclist)</x:v>
      </x:c>
    </x:row>
    <x:row r="109" ht="26" customHeight="1">
      <x:c r="A109" s="82" t="n">
        <x:v>105</x:v>
      </x:c>
      <x:c r="B109" s="82" t="str">
        <x:v>Enzo Paleni</x:v>
      </x:c>
      <x:c r="C109" s="143" t="str"/>
      <x:c r="D109" s="82" t="str">
        <x:v>フランス</x:v>
      </x:c>
      <x:c r="E109" s="82" t="str">
        <x:v>Groupama–FDJ United</x:v>
      </x:c>
      <x:c r="F109" s="82" t="str">
        <x:v>2002-05-30</x:v>
      </x:c>
      <x:c r="G109" s="82" t="str">
        <x:v>現役確認済</x:v>
      </x:c>
      <x:c r="H109" s="82" t="str">
        <x:v>パンチャー</x:v>
      </x:c>
      <x:c r="I109" s="82" t="str">
        <x:v>スプリンター</x:v>
      </x:c>
      <x:c r="J109" s="85" t="n">
        <x:v>75</x:v>
      </x:c>
      <x:c r="K109" s="85" t="n">
        <x:v>70</x:v>
      </x:c>
      <x:c r="L109" s="91" t="str">
        <x:v>ステージハンター / 山岳賞ハンター / スプリントトレイン / カウンターアタッカー / 無賃乗車 / ポジションキーパー</x:v>
      </x:c>
      <x:c r="M109" s="88" t="n">
        <x:v>5450</x:v>
      </x:c>
      <x:c r="N109" s="85" t="n">
        <x:v>72</x:v>
      </x:c>
      <x:c r="O109" s="85" t="n">
        <x:v>80</x:v>
      </x:c>
      <x:c r="P109" s="85" t="n">
        <x:v>81</x:v>
      </x:c>
      <x:c r="Q109" s="85" t="n">
        <x:v>68</x:v>
      </x:c>
      <x:c r="R109" s="85" t="n">
        <x:v>72</x:v>
      </x:c>
      <x:c r="S109" s="85" t="n">
        <x:v>66</x:v>
      </x:c>
      <x:c r="T109" s="85" t="n">
        <x:v>65</x:v>
      </x:c>
      <x:c r="U109" s="85" t="n">
        <x:v>76</x:v>
      </x:c>
      <x:c r="V109" s="85" t="n">
        <x:v>78</x:v>
      </x:c>
      <x:c r="W109" s="85" t="n">
        <x:v>53</x:v>
      </x:c>
      <x:c r="X109" s="85" t="n">
        <x:v>69</x:v>
      </x:c>
      <x:c r="Y109" s="85" t="n">
        <x:v>66</x:v>
      </x:c>
      <x:c r="Z109" s="85" t="n">
        <x:v>65</x:v>
      </x:c>
      <x:c r="AA109" s="85" t="n">
        <x:v>76</x:v>
      </x:c>
      <x:c r="AB109" s="85" t="n">
        <x:v>73</x:v>
      </x:c>
      <x:c r="AC109" s="91" t="str">
        <x:v>2026 UCI WorldTeam名簿掲載</x:v>
      </x:c>
      <x:c r="AD109" s="91" t="str">
        <x:v>https://en.wikipedia.org/wiki/List_of_2026_UCI_WorldTeams_and_riders</x:v>
      </x:c>
      <x:c r="AE109" s="91" t="str">
        <x:v>能力・適性・Credit整合済</x:v>
      </x:c>
      <x:c r="AF109" s="91" t="str">
        <x:v>https://en.wikipedia.org/wiki/Enzo_Paleni</x:v>
      </x:c>
    </x:row>
    <x:row r="110" ht="26" customHeight="1">
      <x:c r="A110" s="82" t="n">
        <x:v>106</x:v>
      </x:c>
      <x:c r="B110" s="82" t="str">
        <x:v>Corbin Strong</x:v>
      </x:c>
      <x:c r="C110" s="143" t="str"/>
      <x:c r="D110" s="82" t="str">
        <x:v>ニュージーランド</x:v>
      </x:c>
      <x:c r="E110" s="82" t="str">
        <x:v>NSN Cycling Team</x:v>
      </x:c>
      <x:c r="F110" s="82" t="str">
        <x:v>2000-04-30</x:v>
      </x:c>
      <x:c r="G110" s="82" t="str">
        <x:v>現役確認済</x:v>
      </x:c>
      <x:c r="H110" s="82" t="str">
        <x:v>スプリンター</x:v>
      </x:c>
      <x:c r="I110" s="82" t="str">
        <x:v>総合型</x:v>
      </x:c>
      <x:c r="J110" s="85" t="n">
        <x:v>75</x:v>
      </x:c>
      <x:c r="K110" s="85" t="n">
        <x:v>68</x:v>
      </x:c>
      <x:c r="L110" s="91" t="str">
        <x:v>リードアウト / 最終発射台 / 集団コントローラー / ブリッジャー / 無賃乗車</x:v>
      </x:c>
      <x:c r="M110" s="88" t="n">
        <x:v>5400</x:v>
      </x:c>
      <x:c r="N110" s="85" t="n">
        <x:v>84</x:v>
      </x:c>
      <x:c r="O110" s="85" t="n">
        <x:v>77</x:v>
      </x:c>
      <x:c r="P110" s="85" t="n">
        <x:v>66</x:v>
      </x:c>
      <x:c r="Q110" s="85" t="n">
        <x:v>73</x:v>
      </x:c>
      <x:c r="R110" s="85" t="n">
        <x:v>64</x:v>
      </x:c>
      <x:c r="S110" s="85" t="n">
        <x:v>68</x:v>
      </x:c>
      <x:c r="T110" s="85" t="n">
        <x:v>65</x:v>
      </x:c>
      <x:c r="U110" s="85" t="n">
        <x:v>70</x:v>
      </x:c>
      <x:c r="V110" s="85" t="n">
        <x:v>73</x:v>
      </x:c>
      <x:c r="W110" s="85" t="n">
        <x:v>54</x:v>
      </x:c>
      <x:c r="X110" s="85" t="n">
        <x:v>69</x:v>
      </x:c>
      <x:c r="Y110" s="85" t="n">
        <x:v>66</x:v>
      </x:c>
      <x:c r="Z110" s="85" t="n">
        <x:v>64</x:v>
      </x:c>
      <x:c r="AA110" s="85" t="n">
        <x:v>77</x:v>
      </x:c>
      <x:c r="AB110" s="85" t="n">
        <x:v>70</x:v>
      </x:c>
      <x:c r="AC110" s="91" t="str">
        <x:v>2026 UCI WorldTeam名簿掲載</x:v>
      </x:c>
      <x:c r="AD110" s="91" t="str">
        <x:v>https://en.wikipedia.org/wiki/List_of_2026_UCI_WorldTeams_and_riders</x:v>
      </x:c>
      <x:c r="AE110" s="91" t="str">
        <x:v>能力・適性・Credit整合済</x:v>
      </x:c>
      <x:c r="AF110" s="91" t="str">
        <x:v>https://en.wikipedia.org/wiki/Corbin_Strong</x:v>
      </x:c>
    </x:row>
    <x:row r="111" ht="26" customHeight="1">
      <x:c r="A111" s="82" t="n">
        <x:v>107</x:v>
      </x:c>
      <x:c r="B111" s="82" t="str">
        <x:v>Lorenzo Rota</x:v>
      </x:c>
      <x:c r="C111" s="143" t="str"/>
      <x:c r="D111" s="82" t="str">
        <x:v>イタリア</x:v>
      </x:c>
      <x:c r="E111" s="82" t="str">
        <x:v>Lotto–Intermarché</x:v>
      </x:c>
      <x:c r="F111" s="82" t="str">
        <x:v>1995-05-23</x:v>
      </x:c>
      <x:c r="G111" s="82" t="str">
        <x:v>現役確認済</x:v>
      </x:c>
      <x:c r="H111" s="82" t="str">
        <x:v>パンチャー</x:v>
      </x:c>
      <x:c r="I111" s="82" t="str">
        <x:v>クライマー</x:v>
      </x:c>
      <x:c r="J111" s="85" t="n">
        <x:v>75</x:v>
      </x:c>
      <x:c r="K111" s="85" t="n">
        <x:v>71</x:v>
      </x:c>
      <x:c r="L111" s="91" t="str">
        <x:v>ステージハンター / 山岳賞ハンター</x:v>
      </x:c>
      <x:c r="M111" s="88" t="n">
        <x:v>5150</x:v>
      </x:c>
      <x:c r="N111" s="85" t="n">
        <x:v>70</x:v>
      </x:c>
      <x:c r="O111" s="85" t="n">
        <x:v>73</x:v>
      </x:c>
      <x:c r="P111" s="85" t="n">
        <x:v>80</x:v>
      </x:c>
      <x:c r="Q111" s="85" t="n">
        <x:v>66</x:v>
      </x:c>
      <x:c r="R111" s="85" t="n">
        <x:v>73</x:v>
      </x:c>
      <x:c r="S111" s="85" t="n">
        <x:v>68</x:v>
      </x:c>
      <x:c r="T111" s="85" t="n">
        <x:v>63</x:v>
      </x:c>
      <x:c r="U111" s="85" t="n">
        <x:v>72</x:v>
      </x:c>
      <x:c r="V111" s="85" t="n">
        <x:v>75</x:v>
      </x:c>
      <x:c r="W111" s="85" t="n">
        <x:v>54</x:v>
      </x:c>
      <x:c r="X111" s="85" t="n">
        <x:v>72</x:v>
      </x:c>
      <x:c r="Y111" s="85" t="n">
        <x:v>71</x:v>
      </x:c>
      <x:c r="Z111" s="85" t="n">
        <x:v>65</x:v>
      </x:c>
      <x:c r="AA111" s="85" t="n">
        <x:v>77</x:v>
      </x:c>
      <x:c r="AB111" s="85" t="n">
        <x:v>75</x:v>
      </x:c>
      <x:c r="AC111" s="91" t="str">
        <x:v>2026 UCI WorldTeam名簿掲載</x:v>
      </x:c>
      <x:c r="AD111" s="91" t="str">
        <x:v>https://en.wikipedia.org/wiki/List_of_2026_UCI_WorldTeams_and_riders</x:v>
      </x:c>
      <x:c r="AE111" s="91" t="str">
        <x:v>能力・適性・Credit整合済</x:v>
      </x:c>
      <x:c r="AF111" s="91" t="str">
        <x:v>https://en.wikipedia.org/wiki/Lorenzo_Rota</x:v>
      </x:c>
    </x:row>
    <x:row r="112" ht="26" customHeight="1">
      <x:c r="A112" s="82" t="n">
        <x:v>108</x:v>
      </x:c>
      <x:c r="B112" s="82" t="str">
        <x:v>Anders Skaarseth</x:v>
      </x:c>
      <x:c r="C112" s="143" t="str"/>
      <x:c r="D112" s="82" t="str">
        <x:v>ノルウェー</x:v>
      </x:c>
      <x:c r="E112" s="82" t="str">
        <x:v>Uno-X Mobility</x:v>
      </x:c>
      <x:c r="F112" s="82" t="str">
        <x:v>1995-05-07</x:v>
      </x:c>
      <x:c r="G112" s="82" t="str">
        <x:v>現役確認済</x:v>
      </x:c>
      <x:c r="H112" s="82" t="str">
        <x:v>総合型</x:v>
      </x:c>
      <x:c r="I112" s="82" t="str">
        <x:v>TT・ルーラー型</x:v>
      </x:c>
      <x:c r="J112" s="85" t="n">
        <x:v>75</x:v>
      </x:c>
      <x:c r="K112" s="85" t="n">
        <x:v>71</x:v>
      </x:c>
      <x:c r="L112" s="91" t="str">
        <x:v>山岳賞ハンター / 山岳アシスト / 山岳番手</x:v>
      </x:c>
      <x:c r="M112" s="88" t="n">
        <x:v>5100</x:v>
      </x:c>
      <x:c r="N112" s="85" t="n">
        <x:v>62</x:v>
      </x:c>
      <x:c r="O112" s="85" t="n">
        <x:v>68</x:v>
      </x:c>
      <x:c r="P112" s="85" t="n">
        <x:v>71</x:v>
      </x:c>
      <x:c r="Q112" s="85" t="n">
        <x:v>67</x:v>
      </x:c>
      <x:c r="R112" s="85" t="n">
        <x:v>76</x:v>
      </x:c>
      <x:c r="S112" s="85" t="n">
        <x:v>71</x:v>
      </x:c>
      <x:c r="T112" s="85" t="n">
        <x:v>77</x:v>
      </x:c>
      <x:c r="U112" s="85" t="n">
        <x:v>64</x:v>
      </x:c>
      <x:c r="V112" s="85" t="n">
        <x:v>63</x:v>
      </x:c>
      <x:c r="W112" s="85" t="n">
        <x:v>50</x:v>
      </x:c>
      <x:c r="X112" s="85" t="n">
        <x:v>79</x:v>
      </x:c>
      <x:c r="Y112" s="85" t="n">
        <x:v>76</x:v>
      </x:c>
      <x:c r="Z112" s="85" t="n">
        <x:v>67</x:v>
      </x:c>
      <x:c r="AA112" s="85" t="n">
        <x:v>74</x:v>
      </x:c>
      <x:c r="AB112" s="85" t="n">
        <x:v>70</x:v>
      </x:c>
      <x:c r="AC112" s="91" t="str">
        <x:v>2026 UCI WorldTeam名簿掲載</x:v>
      </x:c>
      <x:c r="AD112" s="91" t="str">
        <x:v>https://en.wikipedia.org/wiki/List_of_2026_UCI_WorldTeams_and_riders</x:v>
      </x:c>
      <x:c r="AE112" s="91" t="str">
        <x:v>能力・適性・Credit整合済</x:v>
      </x:c>
      <x:c r="AF112" s="91" t="str">
        <x:v>https://en.wikipedia.org/wiki/Anders_Skaarseth</x:v>
      </x:c>
    </x:row>
    <x:row r="113" ht="26" customHeight="1">
      <x:c r="A113" s="82" t="n">
        <x:v>109</x:v>
      </x:c>
      <x:c r="B113" s="82" t="str">
        <x:v>Johan Jacobs</x:v>
      </x:c>
      <x:c r="C113" s="143" t="str"/>
      <x:c r="D113" s="82" t="str">
        <x:v>スイス</x:v>
      </x:c>
      <x:c r="E113" s="82" t="str">
        <x:v>Groupama–FDJ United</x:v>
      </x:c>
      <x:c r="F113" s="82" t="str">
        <x:v>1997-03-01</x:v>
      </x:c>
      <x:c r="G113" s="82" t="str">
        <x:v>現役確認済</x:v>
      </x:c>
      <x:c r="H113" s="82" t="str">
        <x:v>スプリンター</x:v>
      </x:c>
      <x:c r="I113" s="82" t="str">
        <x:v>クライマー</x:v>
      </x:c>
      <x:c r="J113" s="85" t="n">
        <x:v>75</x:v>
      </x:c>
      <x:c r="K113" s="85" t="n">
        <x:v>68</x:v>
      </x:c>
      <x:c r="L113" s="91" t="str">
        <x:v>山岳賞ハンター / リードアウト / スプリントトレイン</x:v>
      </x:c>
      <x:c r="M113" s="88" t="n">
        <x:v>4300</x:v>
      </x:c>
      <x:c r="N113" s="85" t="n">
        <x:v>77</x:v>
      </x:c>
      <x:c r="O113" s="85" t="n">
        <x:v>74</x:v>
      </x:c>
      <x:c r="P113" s="85" t="n">
        <x:v>63</x:v>
      </x:c>
      <x:c r="Q113" s="85" t="n">
        <x:v>71</x:v>
      </x:c>
      <x:c r="R113" s="85" t="n">
        <x:v>56</x:v>
      </x:c>
      <x:c r="S113" s="85" t="n">
        <x:v>64</x:v>
      </x:c>
      <x:c r="T113" s="85" t="n">
        <x:v>65</x:v>
      </x:c>
      <x:c r="U113" s="85" t="n">
        <x:v>67</x:v>
      </x:c>
      <x:c r="V113" s="85" t="n">
        <x:v>68</x:v>
      </x:c>
      <x:c r="W113" s="85" t="n">
        <x:v>52</x:v>
      </x:c>
      <x:c r="X113" s="85" t="n">
        <x:v>69</x:v>
      </x:c>
      <x:c r="Y113" s="85" t="n">
        <x:v>63</x:v>
      </x:c>
      <x:c r="Z113" s="85" t="n">
        <x:v>63</x:v>
      </x:c>
      <x:c r="AA113" s="85" t="n">
        <x:v>78</x:v>
      </x:c>
      <x:c r="AB113" s="85" t="n">
        <x:v>67</x:v>
      </x:c>
      <x:c r="AC113" s="91" t="str">
        <x:v>2026 UCI WorldTeam名簿掲載</x:v>
      </x:c>
      <x:c r="AD113" s="91" t="str">
        <x:v>https://en.wikipedia.org/wiki/List_of_2026_UCI_WorldTeams_and_riders</x:v>
      </x:c>
      <x:c r="AE113" s="91" t="str">
        <x:v>能力・適性・Credit整合済</x:v>
      </x:c>
      <x:c r="AF113" s="91" t="str">
        <x:v>https://en.wikipedia.org/wiki/Johan_Jacobs</x:v>
      </x:c>
    </x:row>
    <x:row r="114" ht="26" customHeight="1">
      <x:c r="A114" s="82" t="n">
        <x:v>110</x:v>
      </x:c>
      <x:c r="B114" s="82" t="str">
        <x:v>Callum Scotson</x:v>
      </x:c>
      <x:c r="C114" s="143" t="str"/>
      <x:c r="D114" s="82" t="str">
        <x:v>オーストラリア</x:v>
      </x:c>
      <x:c r="E114" s="82" t="str">
        <x:v>Decathlon–CMA CGM</x:v>
      </x:c>
      <x:c r="F114" s="82" t="str">
        <x:v>1996-08-10</x:v>
      </x:c>
      <x:c r="G114" s="82" t="str">
        <x:v>現役確認済</x:v>
      </x:c>
      <x:c r="H114" s="82" t="str">
        <x:v>クラシック型</x:v>
      </x:c>
      <x:c r="I114" s="82" t="str">
        <x:v>スプリンター</x:v>
      </x:c>
      <x:c r="J114" s="85" t="n">
        <x:v>74</x:v>
      </x:c>
      <x:c r="K114" s="85" t="n">
        <x:v>78</x:v>
      </x:c>
      <x:c r="L114" s="91" t="str">
        <x:v>スプリントトレイン / 平坦アシスト / 石畳護衛 / ブレイクアウェイキラー / 横風要員 / 逃げ屋 / ブリッジャー</x:v>
      </x:c>
      <x:c r="M114" s="88" t="n">
        <x:v>6400</x:v>
      </x:c>
      <x:c r="N114" s="85" t="n">
        <x:v>76</x:v>
      </x:c>
      <x:c r="O114" s="85" t="n">
        <x:v>74</x:v>
      </x:c>
      <x:c r="P114" s="85" t="n">
        <x:v>76</x:v>
      </x:c>
      <x:c r="Q114" s="85" t="n">
        <x:v>78</x:v>
      </x:c>
      <x:c r="R114" s="85" t="n">
        <x:v>69</x:v>
      </x:c>
      <x:c r="S114" s="85" t="n">
        <x:v>79</x:v>
      </x:c>
      <x:c r="T114" s="85" t="n">
        <x:v>82</x:v>
      </x:c>
      <x:c r="U114" s="85" t="n">
        <x:v>76</x:v>
      </x:c>
      <x:c r="V114" s="85" t="n">
        <x:v>80</x:v>
      </x:c>
      <x:c r="W114" s="85" t="n">
        <x:v>74</x:v>
      </x:c>
      <x:c r="X114" s="85" t="n">
        <x:v>69</x:v>
      </x:c>
      <x:c r="Y114" s="85" t="n">
        <x:v>72</x:v>
      </x:c>
      <x:c r="Z114" s="85" t="n">
        <x:v>82</x:v>
      </x:c>
      <x:c r="AA114" s="85" t="n">
        <x:v>70</x:v>
      </x:c>
      <x:c r="AB114" s="85" t="n">
        <x:v>74</x:v>
      </x:c>
      <x:c r="AC114" s="91" t="str">
        <x:v>2026 UCI WorldTeam名簿掲載</x:v>
      </x:c>
      <x:c r="AD114" s="91" t="str">
        <x:v>https://en.wikipedia.org/wiki/List_of_2026_UCI_WorldTeams_and_riders</x:v>
      </x:c>
      <x:c r="AE114" s="91" t="str">
        <x:v>能力・適性・Credit整合済</x:v>
      </x:c>
      <x:c r="AF114" s="91" t="str">
        <x:v>https://en.wikipedia.org/wiki/Callum_Scotson</x:v>
      </x:c>
    </x:row>
    <x:row r="115" ht="26" customHeight="1">
      <x:c r="A115" s="82" t="n">
        <x:v>111</x:v>
      </x:c>
      <x:c r="B115" s="82" t="str">
        <x:v>Lukas Nerurkar</x:v>
      </x:c>
      <x:c r="C115" s="143" t="str"/>
      <x:c r="D115" s="82" t="str">
        <x:v>イギリス</x:v>
      </x:c>
      <x:c r="E115" s="82" t="str">
        <x:v>EF Education–EasyPost</x:v>
      </x:c>
      <x:c r="F115" s="82" t="str">
        <x:v>2003-11-14</x:v>
      </x:c>
      <x:c r="G115" s="82" t="str">
        <x:v>現役確認済</x:v>
      </x:c>
      <x:c r="H115" s="82" t="str">
        <x:v>クラシック型</x:v>
      </x:c>
      <x:c r="I115" s="82" t="str">
        <x:v>TT・ルーラー型</x:v>
      </x:c>
      <x:c r="J115" s="85" t="n">
        <x:v>74</x:v>
      </x:c>
      <x:c r="K115" s="85" t="n">
        <x:v>76</x:v>
      </x:c>
      <x:c r="L115" s="91" t="str">
        <x:v>TT牽引 / 石畳護衛 / 逃げ屋 / ブリッジャー</x:v>
      </x:c>
      <x:c r="M115" s="88" t="n">
        <x:v>6250</x:v>
      </x:c>
      <x:c r="N115" s="85" t="n">
        <x:v>73</x:v>
      </x:c>
      <x:c r="O115" s="85" t="n">
        <x:v>73</x:v>
      </x:c>
      <x:c r="P115" s="85" t="n">
        <x:v>73</x:v>
      </x:c>
      <x:c r="Q115" s="85" t="n">
        <x:v>75</x:v>
      </x:c>
      <x:c r="R115" s="85" t="n">
        <x:v>62</x:v>
      </x:c>
      <x:c r="S115" s="85" t="n">
        <x:v>79</x:v>
      </x:c>
      <x:c r="T115" s="85" t="n">
        <x:v>76</x:v>
      </x:c>
      <x:c r="U115" s="85" t="n">
        <x:v>82</x:v>
      </x:c>
      <x:c r="V115" s="85" t="n">
        <x:v>76</x:v>
      </x:c>
      <x:c r="W115" s="85" t="n">
        <x:v>74</x:v>
      </x:c>
      <x:c r="X115" s="85" t="n">
        <x:v>68</x:v>
      </x:c>
      <x:c r="Y115" s="85" t="n">
        <x:v>68</x:v>
      </x:c>
      <x:c r="Z115" s="85" t="n">
        <x:v>73</x:v>
      </x:c>
      <x:c r="AA115" s="85" t="n">
        <x:v>67</x:v>
      </x:c>
      <x:c r="AB115" s="85" t="n">
        <x:v>82</x:v>
      </x:c>
      <x:c r="AC115" s="91" t="str">
        <x:v>2026 UCI WorldTeam名簿掲載</x:v>
      </x:c>
      <x:c r="AD115" s="91" t="str">
        <x:v>https://en.wikipedia.org/wiki/List_of_2026_UCI_WorldTeams_and_riders</x:v>
      </x:c>
      <x:c r="AE115" s="91" t="str">
        <x:v>能力・適性・Credit整合済</x:v>
      </x:c>
      <x:c r="AF115" s="91" t="str">
        <x:v>https://en.wikipedia.org/wiki/Lukas_Nerurkar</x:v>
      </x:c>
    </x:row>
    <x:row r="116" ht="26" customHeight="1">
      <x:c r="A116" s="82" t="n">
        <x:v>112</x:v>
      </x:c>
      <x:c r="B116" s="82" t="str">
        <x:v>Filippo Zana</x:v>
      </x:c>
      <x:c r="C116" s="143" t="str"/>
      <x:c r="D116" s="82" t="str">
        <x:v>イタリア</x:v>
      </x:c>
      <x:c r="E116" s="82" t="str">
        <x:v>Soudal–Quick-Step</x:v>
      </x:c>
      <x:c r="F116" s="82" t="str">
        <x:v>1999-03-18</x:v>
      </x:c>
      <x:c r="G116" s="82" t="str">
        <x:v>現役確認済</x:v>
      </x:c>
      <x:c r="H116" s="82" t="str">
        <x:v>クライマー</x:v>
      </x:c>
      <x:c r="I116" s="82" t="str">
        <x:v>TT・ルーラー型</x:v>
      </x:c>
      <x:c r="J116" s="85" t="n">
        <x:v>74</x:v>
      </x:c>
      <x:c r="K116" s="85" t="n">
        <x:v>74</x:v>
      </x:c>
      <x:c r="L116" s="91" t="str">
        <x:v>山岳賞ハンター / 山岳アシスト</x:v>
      </x:c>
      <x:c r="M116" s="88" t="n">
        <x:v>6100</x:v>
      </x:c>
      <x:c r="N116" s="85" t="n">
        <x:v>57</x:v>
      </x:c>
      <x:c r="O116" s="85" t="n">
        <x:v>69</x:v>
      </x:c>
      <x:c r="P116" s="85" t="n">
        <x:v>70</x:v>
      </x:c>
      <x:c r="Q116" s="85" t="n">
        <x:v>65</x:v>
      </x:c>
      <x:c r="R116" s="85" t="n">
        <x:v>83</x:v>
      </x:c>
      <x:c r="S116" s="85" t="n">
        <x:v>78</x:v>
      </x:c>
      <x:c r="T116" s="85" t="n">
        <x:v>74</x:v>
      </x:c>
      <x:c r="U116" s="85" t="n">
        <x:v>64</x:v>
      </x:c>
      <x:c r="V116" s="85" t="n">
        <x:v>67</x:v>
      </x:c>
      <x:c r="W116" s="85" t="n">
        <x:v>59</x:v>
      </x:c>
      <x:c r="X116" s="85" t="n">
        <x:v>76</x:v>
      </x:c>
      <x:c r="Y116" s="85" t="n">
        <x:v>76</x:v>
      </x:c>
      <x:c r="Z116" s="85" t="n">
        <x:v>74</x:v>
      </x:c>
      <x:c r="AA116" s="85" t="n">
        <x:v>69</x:v>
      </x:c>
      <x:c r="AB116" s="85" t="n">
        <x:v>72</x:v>
      </x:c>
      <x:c r="AC116" s="91" t="str">
        <x:v>2026 UCI WorldTeam名簿掲載</x:v>
      </x:c>
      <x:c r="AD116" s="91" t="str">
        <x:v>https://en.wikipedia.org/wiki/List_of_2026_UCI_WorldTeams_and_riders</x:v>
      </x:c>
      <x:c r="AE116" s="91" t="str">
        <x:v>能力・適性・Credit整合済</x:v>
      </x:c>
      <x:c r="AF116" s="91" t="str">
        <x:v>https://en.wikipedia.org/wiki/Filippo_Zana</x:v>
      </x:c>
    </x:row>
    <x:row r="117" ht="26" customHeight="1">
      <x:c r="A117" s="82" t="n">
        <x:v>113</x:v>
      </x:c>
      <x:c r="B117" s="82" t="str">
        <x:v>Filippo Conca</x:v>
      </x:c>
      <x:c r="C117" s="143" t="str"/>
      <x:c r="D117" s="82" t="str">
        <x:v>イタリア</x:v>
      </x:c>
      <x:c r="E117" s="82" t="str">
        <x:v>Team Jayco–AlUla</x:v>
      </x:c>
      <x:c r="F117" s="82" t="str">
        <x:v>1998-09-22</x:v>
      </x:c>
      <x:c r="G117" s="82" t="str">
        <x:v>現役確認済</x:v>
      </x:c>
      <x:c r="H117" s="82" t="str">
        <x:v>クラシック型</x:v>
      </x:c>
      <x:c r="I117" s="82" t="str">
        <x:v>スプリンター</x:v>
      </x:c>
      <x:c r="J117" s="85" t="n">
        <x:v>74</x:v>
      </x:c>
      <x:c r="K117" s="85" t="n">
        <x:v>76</x:v>
      </x:c>
      <x:c r="L117" s="91" t="str">
        <x:v>スプリントトレイン / 石畳護衛 / ブレイクアウェイキラー / 横風要員 / 超ロングスパート / ブリッジャー / ポジションキーパー</x:v>
      </x:c>
      <x:c r="M117" s="88" t="n">
        <x:v>6000</x:v>
      </x:c>
      <x:c r="N117" s="85" t="n">
        <x:v>75</x:v>
      </x:c>
      <x:c r="O117" s="85" t="n">
        <x:v>73</x:v>
      </x:c>
      <x:c r="P117" s="85" t="n">
        <x:v>72</x:v>
      </x:c>
      <x:c r="Q117" s="85" t="n">
        <x:v>76</x:v>
      </x:c>
      <x:c r="R117" s="85" t="n">
        <x:v>69</x:v>
      </x:c>
      <x:c r="S117" s="85" t="n">
        <x:v>73</x:v>
      </x:c>
      <x:c r="T117" s="85" t="n">
        <x:v>80</x:v>
      </x:c>
      <x:c r="U117" s="85" t="n">
        <x:v>78</x:v>
      </x:c>
      <x:c r="V117" s="85" t="n">
        <x:v>77</x:v>
      </x:c>
      <x:c r="W117" s="85" t="n">
        <x:v>73</x:v>
      </x:c>
      <x:c r="X117" s="85" t="n">
        <x:v>66</x:v>
      </x:c>
      <x:c r="Y117" s="85" t="n">
        <x:v>72</x:v>
      </x:c>
      <x:c r="Z117" s="85" t="n">
        <x:v>77</x:v>
      </x:c>
      <x:c r="AA117" s="85" t="n">
        <x:v>69</x:v>
      </x:c>
      <x:c r="AB117" s="85" t="n">
        <x:v>77</x:v>
      </x:c>
      <x:c r="AC117" s="91" t="str">
        <x:v>2026 UCI WorldTeam名簿掲載</x:v>
      </x:c>
      <x:c r="AD117" s="91" t="str">
        <x:v>https://en.wikipedia.org/wiki/List_of_2026_UCI_WorldTeams_and_riders</x:v>
      </x:c>
      <x:c r="AE117" s="91" t="str">
        <x:v>能力・適性・Credit整合済</x:v>
      </x:c>
      <x:c r="AF117" s="91" t="str">
        <x:v>https://en.wikipedia.org/wiki/Filippo_Conca</x:v>
      </x:c>
    </x:row>
    <x:row r="118" ht="26" customHeight="1">
      <x:c r="A118" s="82" t="n">
        <x:v>114</x:v>
      </x:c>
      <x:c r="B118" s="82" t="str">
        <x:v>James Shaw (cyclist)</x:v>
      </x:c>
      <x:c r="C118" s="143" t="str"/>
      <x:c r="D118" s="82" t="str">
        <x:v>イギリス</x:v>
      </x:c>
      <x:c r="E118" s="82" t="str">
        <x:v>EF Education–EasyPost</x:v>
      </x:c>
      <x:c r="F118" s="82" t="str">
        <x:v>1996-06-13</x:v>
      </x:c>
      <x:c r="G118" s="82" t="str">
        <x:v>現役確認済</x:v>
      </x:c>
      <x:c r="H118" s="82" t="str">
        <x:v>パンチャー</x:v>
      </x:c>
      <x:c r="I118" s="82" t="str">
        <x:v>総合型</x:v>
      </x:c>
      <x:c r="J118" s="85" t="n">
        <x:v>74</x:v>
      </x:c>
      <x:c r="K118" s="85" t="n">
        <x:v>72</x:v>
      </x:c>
      <x:c r="L118" s="91" t="str">
        <x:v>ステージハンター / 山岳賞ハンター / 集団コントローラー / 逃げ屋 / カウンターアタッカー</x:v>
      </x:c>
      <x:c r="M118" s="88" t="n">
        <x:v>5850</x:v>
      </x:c>
      <x:c r="N118" s="85" t="n">
        <x:v>72</x:v>
      </x:c>
      <x:c r="O118" s="85" t="n">
        <x:v>78</x:v>
      </x:c>
      <x:c r="P118" s="85" t="n">
        <x:v>83</x:v>
      </x:c>
      <x:c r="Q118" s="85" t="n">
        <x:v>69</x:v>
      </x:c>
      <x:c r="R118" s="85" t="n">
        <x:v>73</x:v>
      </x:c>
      <x:c r="S118" s="85" t="n">
        <x:v>71</x:v>
      </x:c>
      <x:c r="T118" s="85" t="n">
        <x:v>67</x:v>
      </x:c>
      <x:c r="U118" s="85" t="n">
        <x:v>72</x:v>
      </x:c>
      <x:c r="V118" s="85" t="n">
        <x:v>75</x:v>
      </x:c>
      <x:c r="W118" s="85" t="n">
        <x:v>62</x:v>
      </x:c>
      <x:c r="X118" s="85" t="n">
        <x:v>71</x:v>
      </x:c>
      <x:c r="Y118" s="85" t="n">
        <x:v>74</x:v>
      </x:c>
      <x:c r="Z118" s="85" t="n">
        <x:v>65</x:v>
      </x:c>
      <x:c r="AA118" s="85" t="n">
        <x:v>75</x:v>
      </x:c>
      <x:c r="AB118" s="85" t="n">
        <x:v>80</x:v>
      </x:c>
      <x:c r="AC118" s="91" t="str">
        <x:v>2026 UCI WorldTeam名簿掲載</x:v>
      </x:c>
      <x:c r="AD118" s="91" t="str">
        <x:v>https://en.wikipedia.org/wiki/List_of_2026_UCI_WorldTeams_and_riders</x:v>
      </x:c>
      <x:c r="AE118" s="91" t="str">
        <x:v>能力・適性・Credit整合済</x:v>
      </x:c>
      <x:c r="AF118" s="91" t="str">
        <x:v>https://en.wikipedia.org/wiki/James_Shaw_(cyclist)</x:v>
      </x:c>
    </x:row>
    <x:row r="119" ht="26" customHeight="1">
      <x:c r="A119" s="82" t="n">
        <x:v>115</x:v>
      </x:c>
      <x:c r="B119" s="82" t="str">
        <x:v>Alex Baudin</x:v>
      </x:c>
      <x:c r="C119" s="143" t="str"/>
      <x:c r="D119" s="82" t="str">
        <x:v>フランス</x:v>
      </x:c>
      <x:c r="E119" s="82" t="str">
        <x:v>EF Education–EasyPost</x:v>
      </x:c>
      <x:c r="F119" s="82" t="str">
        <x:v>2001-05-25</x:v>
      </x:c>
      <x:c r="G119" s="82" t="str">
        <x:v>現役確認済</x:v>
      </x:c>
      <x:c r="H119" s="82" t="str">
        <x:v>クライマー</x:v>
      </x:c>
      <x:c r="I119" s="82" t="str">
        <x:v>スプリンター</x:v>
      </x:c>
      <x:c r="J119" s="85" t="n">
        <x:v>74</x:v>
      </x:c>
      <x:c r="K119" s="85" t="n">
        <x:v>74</x:v>
      </x:c>
      <x:c r="L119" s="91" t="str">
        <x:v>山岳賞ハンター / スプリントトレイン / 山岳アシスト / 山岳ペースメーカー</x:v>
      </x:c>
      <x:c r="M119" s="88" t="n">
        <x:v>5700</x:v>
      </x:c>
      <x:c r="N119" s="85" t="n">
        <x:v>54</x:v>
      </x:c>
      <x:c r="O119" s="85" t="n">
        <x:v>68</x:v>
      </x:c>
      <x:c r="P119" s="85" t="n">
        <x:v>69</x:v>
      </x:c>
      <x:c r="Q119" s="85" t="n">
        <x:v>63</x:v>
      </x:c>
      <x:c r="R119" s="85" t="n">
        <x:v>80</x:v>
      </x:c>
      <x:c r="S119" s="85" t="n">
        <x:v>77</x:v>
      </x:c>
      <x:c r="T119" s="85" t="n">
        <x:v>72</x:v>
      </x:c>
      <x:c r="U119" s="85" t="n">
        <x:v>66</x:v>
      </x:c>
      <x:c r="V119" s="85" t="n">
        <x:v>71</x:v>
      </x:c>
      <x:c r="W119" s="85" t="n">
        <x:v>55</x:v>
      </x:c>
      <x:c r="X119" s="85" t="n">
        <x:v>77</x:v>
      </x:c>
      <x:c r="Y119" s="85" t="n">
        <x:v>75</x:v>
      </x:c>
      <x:c r="Z119" s="85" t="n">
        <x:v>72</x:v>
      </x:c>
      <x:c r="AA119" s="85" t="n">
        <x:v>71</x:v>
      </x:c>
      <x:c r="AB119" s="85" t="n">
        <x:v>70</x:v>
      </x:c>
      <x:c r="AC119" s="91" t="str">
        <x:v>2026 UCI WorldTeam名簿掲載</x:v>
      </x:c>
      <x:c r="AD119" s="91" t="str">
        <x:v>https://en.wikipedia.org/wiki/List_of_2026_UCI_WorldTeams_and_riders</x:v>
      </x:c>
      <x:c r="AE119" s="91" t="str">
        <x:v>能力・適性・Credit整合済</x:v>
      </x:c>
      <x:c r="AF119" s="91" t="str">
        <x:v>https://en.wikipedia.org/wiki/Alex_Baudin</x:v>
      </x:c>
    </x:row>
    <x:row r="120" ht="26" customHeight="1">
      <x:c r="A120" s="82" t="n">
        <x:v>116</x:v>
      </x:c>
      <x:c r="B120" s="82" t="str">
        <x:v>Alexander Kamp</x:v>
      </x:c>
      <x:c r="C120" s="143" t="str"/>
      <x:c r="D120" s="82" t="str">
        <x:v>デンマーク</x:v>
      </x:c>
      <x:c r="E120" s="82" t="str">
        <x:v>Uno-X Mobility</x:v>
      </x:c>
      <x:c r="F120" s="82" t="str">
        <x:v>1993-12-14</x:v>
      </x:c>
      <x:c r="G120" s="82" t="str">
        <x:v>現役確認済</x:v>
      </x:c>
      <x:c r="H120" s="82" t="str">
        <x:v>スプリンター</x:v>
      </x:c>
      <x:c r="I120" s="82" t="str">
        <x:v>総合型</x:v>
      </x:c>
      <x:c r="J120" s="85" t="n">
        <x:v>74</x:v>
      </x:c>
      <x:c r="K120" s="85" t="n">
        <x:v>72</x:v>
      </x:c>
      <x:c r="L120" s="91" t="str">
        <x:v>リードアウト / 最終発射台 / スプリントトレイン / 集団コントローラー / ブリッジャー</x:v>
      </x:c>
      <x:c r="M120" s="88" t="n">
        <x:v>5550</x:v>
      </x:c>
      <x:c r="N120" s="85" t="n">
        <x:v>83</x:v>
      </x:c>
      <x:c r="O120" s="85" t="n">
        <x:v>77</x:v>
      </x:c>
      <x:c r="P120" s="85" t="n">
        <x:v>69</x:v>
      </x:c>
      <x:c r="Q120" s="85" t="n">
        <x:v>72</x:v>
      </x:c>
      <x:c r="R120" s="85" t="n">
        <x:v>63</x:v>
      </x:c>
      <x:c r="S120" s="85" t="n">
        <x:v>69</x:v>
      </x:c>
      <x:c r="T120" s="85" t="n">
        <x:v>70</x:v>
      </x:c>
      <x:c r="U120" s="85" t="n">
        <x:v>71</x:v>
      </x:c>
      <x:c r="V120" s="85" t="n">
        <x:v>70</x:v>
      </x:c>
      <x:c r="W120" s="85" t="n">
        <x:v>54</x:v>
      </x:c>
      <x:c r="X120" s="85" t="n">
        <x:v>71</x:v>
      </x:c>
      <x:c r="Y120" s="85" t="n">
        <x:v>71</x:v>
      </x:c>
      <x:c r="Z120" s="85" t="n">
        <x:v>71</x:v>
      </x:c>
      <x:c r="AA120" s="85" t="n">
        <x:v>81</x:v>
      </x:c>
      <x:c r="AB120" s="85" t="n">
        <x:v>68</x:v>
      </x:c>
      <x:c r="AC120" s="91" t="str">
        <x:v>2026 UCI WorldTeam名簿掲載</x:v>
      </x:c>
      <x:c r="AD120" s="91" t="str">
        <x:v>https://en.wikipedia.org/wiki/List_of_2026_UCI_WorldTeams_and_riders</x:v>
      </x:c>
      <x:c r="AE120" s="91" t="str">
        <x:v>能力・適性・Credit整合済</x:v>
      </x:c>
      <x:c r="AF120" s="91" t="str">
        <x:v>https://en.wikipedia.org/wiki/Alexander_Kamp</x:v>
      </x:c>
    </x:row>
    <x:row r="121" ht="26" customHeight="1">
      <x:c r="A121" s="82" t="n">
        <x:v>117</x:v>
      </x:c>
      <x:c r="B121" s="82" t="str">
        <x:v>Jorge Arcas</x:v>
      </x:c>
      <x:c r="C121" s="143" t="str"/>
      <x:c r="D121" s="82" t="str">
        <x:v>スペイン</x:v>
      </x:c>
      <x:c r="E121" s="82" t="str">
        <x:v>Movistar Team</x:v>
      </x:c>
      <x:c r="F121" s="82" t="str">
        <x:v>1992-07-08</x:v>
      </x:c>
      <x:c r="G121" s="82" t="str">
        <x:v>現役確認済</x:v>
      </x:c>
      <x:c r="H121" s="82" t="str">
        <x:v>クラシック型</x:v>
      </x:c>
      <x:c r="I121" s="82" t="str">
        <x:v>TT・ルーラー型</x:v>
      </x:c>
      <x:c r="J121" s="85" t="n">
        <x:v>74</x:v>
      </x:c>
      <x:c r="K121" s="85" t="n">
        <x:v>76</x:v>
      </x:c>
      <x:c r="L121" s="91" t="str">
        <x:v>TT牽引 / 石畳護衛 / ブレイクアウェイキラー / 逃げ屋</x:v>
      </x:c>
      <x:c r="M121" s="88" t="n">
        <x:v>5500</x:v>
      </x:c>
      <x:c r="N121" s="85" t="n">
        <x:v>72</x:v>
      </x:c>
      <x:c r="O121" s="85" t="n">
        <x:v>71</x:v>
      </x:c>
      <x:c r="P121" s="85" t="n">
        <x:v>73</x:v>
      </x:c>
      <x:c r="Q121" s="85" t="n">
        <x:v>75</x:v>
      </x:c>
      <x:c r="R121" s="85" t="n">
        <x:v>67</x:v>
      </x:c>
      <x:c r="S121" s="85" t="n">
        <x:v>72</x:v>
      </x:c>
      <x:c r="T121" s="85" t="n">
        <x:v>76</x:v>
      </x:c>
      <x:c r="U121" s="85" t="n">
        <x:v>72</x:v>
      </x:c>
      <x:c r="V121" s="85" t="n">
        <x:v>78</x:v>
      </x:c>
      <x:c r="W121" s="85" t="n">
        <x:v>70</x:v>
      </x:c>
      <x:c r="X121" s="85" t="n">
        <x:v>68</x:v>
      </x:c>
      <x:c r="Y121" s="85" t="n">
        <x:v>71</x:v>
      </x:c>
      <x:c r="Z121" s="85" t="n">
        <x:v>78</x:v>
      </x:c>
      <x:c r="AA121" s="85" t="n">
        <x:v>70</x:v>
      </x:c>
      <x:c r="AB121" s="85" t="n">
        <x:v>78</x:v>
      </x:c>
      <x:c r="AC121" s="91" t="str">
        <x:v>2026 UCI WorldTeam名簿掲載</x:v>
      </x:c>
      <x:c r="AD121" s="91" t="str">
        <x:v>https://en.wikipedia.org/wiki/List_of_2026_UCI_WorldTeams_and_riders</x:v>
      </x:c>
      <x:c r="AE121" s="91" t="str">
        <x:v>能力・適性・Credit整合済</x:v>
      </x:c>
      <x:c r="AF121" s="91" t="str">
        <x:v>https://en.wikipedia.org/wiki/Jorge_Arcas</x:v>
      </x:c>
    </x:row>
    <x:row r="122" ht="26" customHeight="1">
      <x:c r="A122" s="82" t="n">
        <x:v>118</x:v>
      </x:c>
      <x:c r="B122" s="82" t="str">
        <x:v>Jon Barrenetxea</x:v>
      </x:c>
      <x:c r="C122" s="143" t="str"/>
      <x:c r="D122" s="82" t="str">
        <x:v>スペイン</x:v>
      </x:c>
      <x:c r="E122" s="82" t="str">
        <x:v>Movistar Team</x:v>
      </x:c>
      <x:c r="F122" s="82" t="str">
        <x:v>2000-04-20</x:v>
      </x:c>
      <x:c r="G122" s="82" t="str">
        <x:v>現役確認済</x:v>
      </x:c>
      <x:c r="H122" s="82" t="str">
        <x:v>総合型</x:v>
      </x:c>
      <x:c r="I122" s="82" t="str">
        <x:v>スプリンター</x:v>
      </x:c>
      <x:c r="J122" s="85" t="n">
        <x:v>74</x:v>
      </x:c>
      <x:c r="K122" s="85" t="n">
        <x:v>73</x:v>
      </x:c>
      <x:c r="L122" s="91" t="str">
        <x:v>スプリントトレイン / 山岳アシスト / 集団コントローラー</x:v>
      </x:c>
      <x:c r="M122" s="88" t="n">
        <x:v>5450</x:v>
      </x:c>
      <x:c r="N122" s="85" t="n">
        <x:v>65</x:v>
      </x:c>
      <x:c r="O122" s="85" t="n">
        <x:v>64</x:v>
      </x:c>
      <x:c r="P122" s="85" t="n">
        <x:v>73</x:v>
      </x:c>
      <x:c r="Q122" s="85" t="n">
        <x:v>71</x:v>
      </x:c>
      <x:c r="R122" s="85" t="n">
        <x:v>75</x:v>
      </x:c>
      <x:c r="S122" s="85" t="n">
        <x:v>77</x:v>
      </x:c>
      <x:c r="T122" s="85" t="n">
        <x:v>75</x:v>
      </x:c>
      <x:c r="U122" s="85" t="n">
        <x:v>68</x:v>
      </x:c>
      <x:c r="V122" s="85" t="n">
        <x:v>71</x:v>
      </x:c>
      <x:c r="W122" s="85" t="n">
        <x:v>54</x:v>
      </x:c>
      <x:c r="X122" s="85" t="n">
        <x:v>78</x:v>
      </x:c>
      <x:c r="Y122" s="85" t="n">
        <x:v>78</x:v>
      </x:c>
      <x:c r="Z122" s="85" t="n">
        <x:v>66</x:v>
      </x:c>
      <x:c r="AA122" s="85" t="n">
        <x:v>75</x:v>
      </x:c>
      <x:c r="AB122" s="85" t="n">
        <x:v>67</x:v>
      </x:c>
      <x:c r="AC122" s="91" t="str">
        <x:v>2026 UCI WorldTeam名簿掲載</x:v>
      </x:c>
      <x:c r="AD122" s="91" t="str">
        <x:v>https://en.wikipedia.org/wiki/List_of_2026_UCI_WorldTeams_and_riders</x:v>
      </x:c>
      <x:c r="AE122" s="91" t="str">
        <x:v>能力・適性・Credit整合済</x:v>
      </x:c>
      <x:c r="AF122" s="91" t="str">
        <x:v>https://en.wikipedia.org/wiki/Jon_Barrenetxea</x:v>
      </x:c>
    </x:row>
    <x:row r="123" ht="26" customHeight="1">
      <x:c r="A123" s="82" t="n">
        <x:v>119</x:v>
      </x:c>
      <x:c r="B123" s="82" t="str">
        <x:v>Jefferson Alexander Cepeda</x:v>
      </x:c>
      <x:c r="C123" s="143" t="str"/>
      <x:c r="D123" s="82" t="str">
        <x:v>エクアドル</x:v>
      </x:c>
      <x:c r="E123" s="82" t="str">
        <x:v>EF Education–EasyPost</x:v>
      </x:c>
      <x:c r="F123" s="82" t="str">
        <x:v>1998-06-16</x:v>
      </x:c>
      <x:c r="G123" s="82" t="str">
        <x:v>現役確認済</x:v>
      </x:c>
      <x:c r="H123" s="82" t="str">
        <x:v>クライマー</x:v>
      </x:c>
      <x:c r="I123" s="82" t="str">
        <x:v>クラシック型</x:v>
      </x:c>
      <x:c r="J123" s="85" t="n">
        <x:v>74</x:v>
      </x:c>
      <x:c r="K123" s="85" t="n">
        <x:v>74</x:v>
      </x:c>
      <x:c r="L123" s="91" t="str">
        <x:v>山岳賞ハンター / 山岳アシスト</x:v>
      </x:c>
      <x:c r="M123" s="88" t="n">
        <x:v>5400</x:v>
      </x:c>
      <x:c r="N123" s="85" t="n">
        <x:v>61</x:v>
      </x:c>
      <x:c r="O123" s="85" t="n">
        <x:v>69</x:v>
      </x:c>
      <x:c r="P123" s="85" t="n">
        <x:v>68</x:v>
      </x:c>
      <x:c r="Q123" s="85" t="n">
        <x:v>62</x:v>
      </x:c>
      <x:c r="R123" s="85" t="n">
        <x:v>79</x:v>
      </x:c>
      <x:c r="S123" s="85" t="n">
        <x:v>74</x:v>
      </x:c>
      <x:c r="T123" s="85" t="n">
        <x:v>71</x:v>
      </x:c>
      <x:c r="U123" s="85" t="n">
        <x:v>66</x:v>
      </x:c>
      <x:c r="V123" s="85" t="n">
        <x:v>63</x:v>
      </x:c>
      <x:c r="W123" s="85" t="n">
        <x:v>50</x:v>
      </x:c>
      <x:c r="X123" s="85" t="n">
        <x:v>75</x:v>
      </x:c>
      <x:c r="Y123" s="85" t="n">
        <x:v>76</x:v>
      </x:c>
      <x:c r="Z123" s="85" t="n">
        <x:v>74</x:v>
      </x:c>
      <x:c r="AA123" s="85" t="n">
        <x:v>70</x:v>
      </x:c>
      <x:c r="AB123" s="85" t="n">
        <x:v>71</x:v>
      </x:c>
      <x:c r="AC123" s="91" t="str">
        <x:v>2026 UCI WorldTeam名簿掲載</x:v>
      </x:c>
      <x:c r="AD123" s="91" t="str">
        <x:v>https://en.wikipedia.org/wiki/List_of_2026_UCI_WorldTeams_and_riders</x:v>
      </x:c>
      <x:c r="AE123" s="91" t="str">
        <x:v>能力・適性・Credit整合済</x:v>
      </x:c>
      <x:c r="AF123" s="91" t="str">
        <x:v>https://en.wikipedia.org/wiki/Jefferson_Alexander_Cepeda</x:v>
      </x:c>
    </x:row>
    <x:row r="124" ht="26" customHeight="1">
      <x:c r="A124" s="82" t="n">
        <x:v>120</x:v>
      </x:c>
      <x:c r="B124" s="82" t="str">
        <x:v>Aaron Dockx</x:v>
      </x:c>
      <x:c r="C124" s="143" t="str"/>
      <x:c r="D124" s="82" t="str">
        <x:v>ベルギー</x:v>
      </x:c>
      <x:c r="E124" s="82" t="str">
        <x:v>Alpecin–Premier Tech</x:v>
      </x:c>
      <x:c r="F124" s="82" t="str">
        <x:v>2004-06-28</x:v>
      </x:c>
      <x:c r="G124" s="82" t="str">
        <x:v>現役確認済</x:v>
      </x:c>
      <x:c r="H124" s="82" t="str">
        <x:v>総合型</x:v>
      </x:c>
      <x:c r="I124" s="82" t="str">
        <x:v>スプリンター</x:v>
      </x:c>
      <x:c r="J124" s="85" t="n">
        <x:v>74</x:v>
      </x:c>
      <x:c r="K124" s="85" t="n">
        <x:v>74</x:v>
      </x:c>
      <x:c r="L124" s="91" t="str">
        <x:v>スプリントトレイン / 山岳アシスト / 山岳番手</x:v>
      </x:c>
      <x:c r="M124" s="88" t="n">
        <x:v>5350</x:v>
      </x:c>
      <x:c r="N124" s="85" t="n">
        <x:v>57</x:v>
      </x:c>
      <x:c r="O124" s="85" t="n">
        <x:v>65</x:v>
      </x:c>
      <x:c r="P124" s="85" t="n">
        <x:v>70</x:v>
      </x:c>
      <x:c r="Q124" s="85" t="n">
        <x:v>71</x:v>
      </x:c>
      <x:c r="R124" s="85" t="n">
        <x:v>77</x:v>
      </x:c>
      <x:c r="S124" s="85" t="n">
        <x:v>74</x:v>
      </x:c>
      <x:c r="T124" s="85" t="n">
        <x:v>75</x:v>
      </x:c>
      <x:c r="U124" s="85" t="n">
        <x:v>70</x:v>
      </x:c>
      <x:c r="V124" s="85" t="n">
        <x:v>67</x:v>
      </x:c>
      <x:c r="W124" s="85" t="n">
        <x:v>59</x:v>
      </x:c>
      <x:c r="X124" s="85" t="n">
        <x:v>79</x:v>
      </x:c>
      <x:c r="Y124" s="85" t="n">
        <x:v>78</x:v>
      </x:c>
      <x:c r="Z124" s="85" t="n">
        <x:v>66</x:v>
      </x:c>
      <x:c r="AA124" s="85" t="n">
        <x:v>75</x:v>
      </x:c>
      <x:c r="AB124" s="85" t="n">
        <x:v>66</x:v>
      </x:c>
      <x:c r="AC124" s="91" t="str">
        <x:v>2026 UCI WorldTeam名簿掲載</x:v>
      </x:c>
      <x:c r="AD124" s="91" t="str">
        <x:v>https://en.wikipedia.org/wiki/List_of_2026_UCI_WorldTeams_and_riders</x:v>
      </x:c>
      <x:c r="AE124" s="91" t="str">
        <x:v>能力・適性・Credit整合済</x:v>
      </x:c>
      <x:c r="AF124" s="91" t="str">
        <x:v>https://en.wikipedia.org/wiki/Aaron_Dockx</x:v>
      </x:c>
    </x:row>
    <x:row r="125" ht="26" customHeight="1">
      <x:c r="A125" s="82" t="n">
        <x:v>121</x:v>
      </x:c>
      <x:c r="B125" s="82" t="str">
        <x:v>Filippo Fiorelli</x:v>
      </x:c>
      <x:c r="C125" s="143" t="str"/>
      <x:c r="D125" s="82" t="str">
        <x:v>イタリア</x:v>
      </x:c>
      <x:c r="E125" s="82" t="str">
        <x:v>Visma–Lease a Bike</x:v>
      </x:c>
      <x:c r="F125" s="82" t="str">
        <x:v>1994-11-19</x:v>
      </x:c>
      <x:c r="G125" s="82" t="str">
        <x:v>現役確認済</x:v>
      </x:c>
      <x:c r="H125" s="82" t="str">
        <x:v>クラシック型</x:v>
      </x:c>
      <x:c r="I125" s="82" t="str">
        <x:v>スプリンター</x:v>
      </x:c>
      <x:c r="J125" s="85" t="n">
        <x:v>74</x:v>
      </x:c>
      <x:c r="K125" s="85" t="n">
        <x:v>75</x:v>
      </x:c>
      <x:c r="L125" s="91" t="str">
        <x:v>スプリントトレイン / 石畳護衛</x:v>
      </x:c>
      <x:c r="M125" s="88" t="n">
        <x:v>5250</x:v>
      </x:c>
      <x:c r="N125" s="85" t="n">
        <x:v>74</x:v>
      </x:c>
      <x:c r="O125" s="85" t="n">
        <x:v>70</x:v>
      </x:c>
      <x:c r="P125" s="85" t="n">
        <x:v>75</x:v>
      </x:c>
      <x:c r="Q125" s="85" t="n">
        <x:v>75</x:v>
      </x:c>
      <x:c r="R125" s="85" t="n">
        <x:v>61</x:v>
      </x:c>
      <x:c r="S125" s="85" t="n">
        <x:v>72</x:v>
      </x:c>
      <x:c r="T125" s="85" t="n">
        <x:v>75</x:v>
      </x:c>
      <x:c r="U125" s="85" t="n">
        <x:v>74</x:v>
      </x:c>
      <x:c r="V125" s="85" t="n">
        <x:v>76</x:v>
      </x:c>
      <x:c r="W125" s="85" t="n">
        <x:v>70</x:v>
      </x:c>
      <x:c r="X125" s="85" t="n">
        <x:v>69</x:v>
      </x:c>
      <x:c r="Y125" s="85" t="n">
        <x:v>72</x:v>
      </x:c>
      <x:c r="Z125" s="85" t="n">
        <x:v>73</x:v>
      </x:c>
      <x:c r="AA125" s="85" t="n">
        <x:v>67</x:v>
      </x:c>
      <x:c r="AB125" s="85" t="n">
        <x:v>72</x:v>
      </x:c>
      <x:c r="AC125" s="91" t="str">
        <x:v>2026 UCI WorldTeam名簿掲載</x:v>
      </x:c>
      <x:c r="AD125" s="91" t="str">
        <x:v>https://en.wikipedia.org/wiki/List_of_2026_UCI_WorldTeams_and_riders</x:v>
      </x:c>
      <x:c r="AE125" s="91" t="str">
        <x:v>能力・適性・Credit整合済</x:v>
      </x:c>
      <x:c r="AF125" s="91" t="str">
        <x:v>https://en.wikipedia.org/wiki/Filippo_Fiorelli</x:v>
      </x:c>
    </x:row>
    <x:row r="126" ht="26" customHeight="1">
      <x:c r="A126" s="82" t="n">
        <x:v>122</x:v>
      </x:c>
      <x:c r="B126" s="82" t="str">
        <x:v>Axel Zingle</x:v>
      </x:c>
      <x:c r="C126" s="143" t="str"/>
      <x:c r="D126" s="82" t="str">
        <x:v>フランス</x:v>
      </x:c>
      <x:c r="E126" s="82" t="str">
        <x:v>Visma–Lease a Bike</x:v>
      </x:c>
      <x:c r="F126" s="82" t="str">
        <x:v>1998-12-18</x:v>
      </x:c>
      <x:c r="G126" s="82" t="str">
        <x:v>現役確認済</x:v>
      </x:c>
      <x:c r="H126" s="82" t="str">
        <x:v>スプリンター</x:v>
      </x:c>
      <x:c r="I126" s="82" t="str">
        <x:v>総合型</x:v>
      </x:c>
      <x:c r="J126" s="85" t="n">
        <x:v>74</x:v>
      </x:c>
      <x:c r="K126" s="85" t="n">
        <x:v>70</x:v>
      </x:c>
      <x:c r="L126" s="91" t="str">
        <x:v>リードアウト / 最終発射台 / スプリントトレイン / 集団コントローラー / ポジションキーパー</x:v>
      </x:c>
      <x:c r="M126" s="88" t="n">
        <x:v>5200</x:v>
      </x:c>
      <x:c r="N126" s="85" t="n">
        <x:v>81</x:v>
      </x:c>
      <x:c r="O126" s="85" t="n">
        <x:v>79</x:v>
      </x:c>
      <x:c r="P126" s="85" t="n">
        <x:v>65</x:v>
      </x:c>
      <x:c r="Q126" s="85" t="n">
        <x:v>74</x:v>
      </x:c>
      <x:c r="R126" s="85" t="n">
        <x:v>57</x:v>
      </x:c>
      <x:c r="S126" s="85" t="n">
        <x:v>63</x:v>
      </x:c>
      <x:c r="T126" s="85" t="n">
        <x:v>67</x:v>
      </x:c>
      <x:c r="U126" s="85" t="n">
        <x:v>73</x:v>
      </x:c>
      <x:c r="V126" s="85" t="n">
        <x:v>73</x:v>
      </x:c>
      <x:c r="W126" s="85" t="n">
        <x:v>54</x:v>
      </x:c>
      <x:c r="X126" s="85" t="n">
        <x:v>71</x:v>
      </x:c>
      <x:c r="Y126" s="85" t="n">
        <x:v>68</x:v>
      </x:c>
      <x:c r="Z126" s="85" t="n">
        <x:v>70</x:v>
      </x:c>
      <x:c r="AA126" s="85" t="n">
        <x:v>80</x:v>
      </x:c>
      <x:c r="AB126" s="85" t="n">
        <x:v>66</x:v>
      </x:c>
      <x:c r="AC126" s="91" t="str">
        <x:v>2026 UCI WorldTeam名簿掲載</x:v>
      </x:c>
      <x:c r="AD126" s="91" t="str">
        <x:v>https://en.wikipedia.org/wiki/List_of_2026_UCI_WorldTeams_and_riders</x:v>
      </x:c>
      <x:c r="AE126" s="91" t="str">
        <x:v>能力・適性・Credit整合済</x:v>
      </x:c>
      <x:c r="AF126" s="91" t="str">
        <x:v>https://en.wikipedia.org/wiki/Axel_Zingle</x:v>
      </x:c>
    </x:row>
    <x:row r="127" ht="26" customHeight="1">
      <x:c r="A127" s="82" t="n">
        <x:v>123</x:v>
      </x:c>
      <x:c r="B127" s="82" t="str">
        <x:v>Ben Swift</x:v>
      </x:c>
      <x:c r="C127" s="143" t="str"/>
      <x:c r="D127" s="82" t="str">
        <x:v>イギリス</x:v>
      </x:c>
      <x:c r="E127" s="82" t="str">
        <x:v>Netcompany INEOS Cycling Team</x:v>
      </x:c>
      <x:c r="F127" s="82" t="str">
        <x:v>1987-11-05</x:v>
      </x:c>
      <x:c r="G127" s="82" t="str">
        <x:v>現役確認済</x:v>
      </x:c>
      <x:c r="H127" s="82" t="str">
        <x:v>スプリンター</x:v>
      </x:c>
      <x:c r="I127" s="82" t="str">
        <x:v>クラシック型</x:v>
      </x:c>
      <x:c r="J127" s="85" t="n">
        <x:v>74</x:v>
      </x:c>
      <x:c r="K127" s="85" t="n">
        <x:v>70</x:v>
      </x:c>
      <x:c r="L127" s="91" t="str">
        <x:v>リードアウト / 最終発射台 / スプリントトレイン</x:v>
      </x:c>
      <x:c r="M127" s="88" t="n">
        <x:v>5150</x:v>
      </x:c>
      <x:c r="N127" s="85" t="n">
        <x:v>84</x:v>
      </x:c>
      <x:c r="O127" s="85" t="n">
        <x:v>77</x:v>
      </x:c>
      <x:c r="P127" s="85" t="n">
        <x:v>69</x:v>
      </x:c>
      <x:c r="Q127" s="85" t="n">
        <x:v>72</x:v>
      </x:c>
      <x:c r="R127" s="85" t="n">
        <x:v>61</x:v>
      </x:c>
      <x:c r="S127" s="85" t="n">
        <x:v>65</x:v>
      </x:c>
      <x:c r="T127" s="85" t="n">
        <x:v>65</x:v>
      </x:c>
      <x:c r="U127" s="85" t="n">
        <x:v>71</x:v>
      </x:c>
      <x:c r="V127" s="85" t="n">
        <x:v>69</x:v>
      </x:c>
      <x:c r="W127" s="85" t="n">
        <x:v>59</x:v>
      </x:c>
      <x:c r="X127" s="85" t="n">
        <x:v>69</x:v>
      </x:c>
      <x:c r="Y127" s="85" t="n">
        <x:v>68</x:v>
      </x:c>
      <x:c r="Z127" s="85" t="n">
        <x:v>69</x:v>
      </x:c>
      <x:c r="AA127" s="85" t="n">
        <x:v>75</x:v>
      </x:c>
      <x:c r="AB127" s="85" t="n">
        <x:v>66</x:v>
      </x:c>
      <x:c r="AC127" s="91" t="str">
        <x:v>2026 UCI WorldTeam名簿掲載</x:v>
      </x:c>
      <x:c r="AD127" s="91" t="str">
        <x:v>https://en.wikipedia.org/wiki/List_of_2026_UCI_WorldTeams_and_riders</x:v>
      </x:c>
      <x:c r="AE127" s="91" t="str">
        <x:v>能力・適性・Credit整合済</x:v>
      </x:c>
      <x:c r="AF127" s="91" t="str">
        <x:v>https://en.wikipedia.org/wiki/Ben_Swift</x:v>
      </x:c>
    </x:row>
    <x:row r="128" ht="26" customHeight="1">
      <x:c r="A128" s="82" t="n">
        <x:v>124</x:v>
      </x:c>
      <x:c r="B128" s="82" t="str">
        <x:v>Juan Guillermo Martínez</x:v>
      </x:c>
      <x:c r="C128" s="143" t="str"/>
      <x:c r="D128" s="82" t="str">
        <x:v>コロンビア</x:v>
      </x:c>
      <x:c r="E128" s="82" t="str">
        <x:v>Team Picnic–PostNL</x:v>
      </x:c>
      <x:c r="F128" s="82" t="str">
        <x:v>2004-11-21</x:v>
      </x:c>
      <x:c r="G128" s="82" t="str">
        <x:v>現役確認済</x:v>
      </x:c>
      <x:c r="H128" s="82" t="str">
        <x:v>クライマー</x:v>
      </x:c>
      <x:c r="I128" s="82" t="str">
        <x:v>パンチャー</x:v>
      </x:c>
      <x:c r="J128" s="85" t="n">
        <x:v>74</x:v>
      </x:c>
      <x:c r="K128" s="85" t="n">
        <x:v>73</x:v>
      </x:c>
      <x:c r="L128" s="91" t="str">
        <x:v>山岳賞ハンター / 山岳アシスト</x:v>
      </x:c>
      <x:c r="M128" s="88" t="n">
        <x:v>5100</x:v>
      </x:c>
      <x:c r="N128" s="85" t="n">
        <x:v>56</x:v>
      </x:c>
      <x:c r="O128" s="85" t="n">
        <x:v>69</x:v>
      </x:c>
      <x:c r="P128" s="85" t="n">
        <x:v>67</x:v>
      </x:c>
      <x:c r="Q128" s="85" t="n">
        <x:v>61</x:v>
      </x:c>
      <x:c r="R128" s="85" t="n">
        <x:v>77</x:v>
      </x:c>
      <x:c r="S128" s="85" t="n">
        <x:v>72</x:v>
      </x:c>
      <x:c r="T128" s="85" t="n">
        <x:v>73</x:v>
      </x:c>
      <x:c r="U128" s="85" t="n">
        <x:v>67</x:v>
      </x:c>
      <x:c r="V128" s="85" t="n">
        <x:v>65</x:v>
      </x:c>
      <x:c r="W128" s="85" t="n">
        <x:v>56</x:v>
      </x:c>
      <x:c r="X128" s="85" t="n">
        <x:v>76</x:v>
      </x:c>
      <x:c r="Y128" s="85" t="n">
        <x:v>74</x:v>
      </x:c>
      <x:c r="Z128" s="85" t="n">
        <x:v>70</x:v>
      </x:c>
      <x:c r="AA128" s="85" t="n">
        <x:v>69</x:v>
      </x:c>
      <x:c r="AB128" s="85" t="n">
        <x:v>71</x:v>
      </x:c>
      <x:c r="AC128" s="91" t="str">
        <x:v>2026 UCI WorldTeam名簿掲載</x:v>
      </x:c>
      <x:c r="AD128" s="91" t="str">
        <x:v>https://en.wikipedia.org/wiki/List_of_2026_UCI_WorldTeams_and_riders</x:v>
      </x:c>
      <x:c r="AE128" s="91" t="str">
        <x:v>能力・適性・Credit整合済</x:v>
      </x:c>
      <x:c r="AF128" s="91" t="str">
        <x:v>https://en.wikipedia.org/wiki/Juan_Guillermo_Mart%C3%ADnez</x:v>
      </x:c>
    </x:row>
    <x:row r="129" ht="26" customHeight="1">
      <x:c r="A129" s="82" t="n">
        <x:v>125</x:v>
      </x:c>
      <x:c r="B129" s="82" t="str">
        <x:v>Bjoern Koerdt</x:v>
      </x:c>
      <x:c r="C129" s="143" t="str"/>
      <x:c r="D129" s="82" t="str">
        <x:v>イギリス</x:v>
      </x:c>
      <x:c r="E129" s="82" t="str">
        <x:v>Team Picnic–PostNL</x:v>
      </x:c>
      <x:c r="F129" s="82" t="str">
        <x:v>2004-07-20</x:v>
      </x:c>
      <x:c r="G129" s="82" t="str">
        <x:v>現役確認済</x:v>
      </x:c>
      <x:c r="H129" s="82" t="str">
        <x:v>パンチャー</x:v>
      </x:c>
      <x:c r="I129" s="82" t="str">
        <x:v>スプリンター</x:v>
      </x:c>
      <x:c r="J129" s="85" t="n">
        <x:v>74</x:v>
      </x:c>
      <x:c r="K129" s="85" t="n">
        <x:v>71</x:v>
      </x:c>
      <x:c r="L129" s="91" t="str">
        <x:v>ステージハンター / スプリントトレイン / 下り牽引 / カウンターアタッカー / 無賃乗車</x:v>
      </x:c>
      <x:c r="M129" s="88" t="n">
        <x:v>5000</x:v>
      </x:c>
      <x:c r="N129" s="85" t="n">
        <x:v>69</x:v>
      </x:c>
      <x:c r="O129" s="85" t="n">
        <x:v>77</x:v>
      </x:c>
      <x:c r="P129" s="85" t="n">
        <x:v>77</x:v>
      </x:c>
      <x:c r="Q129" s="85" t="n">
        <x:v>68</x:v>
      </x:c>
      <x:c r="R129" s="85" t="n">
        <x:v>71</x:v>
      </x:c>
      <x:c r="S129" s="85" t="n">
        <x:v>67</x:v>
      </x:c>
      <x:c r="T129" s="85" t="n">
        <x:v>68</x:v>
      </x:c>
      <x:c r="U129" s="85" t="n">
        <x:v>74</x:v>
      </x:c>
      <x:c r="V129" s="85" t="n">
        <x:v>74</x:v>
      </x:c>
      <x:c r="W129" s="85" t="n">
        <x:v>54</x:v>
      </x:c>
      <x:c r="X129" s="85" t="n">
        <x:v>67</x:v>
      </x:c>
      <x:c r="Y129" s="85" t="n">
        <x:v>72</x:v>
      </x:c>
      <x:c r="Z129" s="85" t="n">
        <x:v>63</x:v>
      </x:c>
      <x:c r="AA129" s="85" t="n">
        <x:v>79</x:v>
      </x:c>
      <x:c r="AB129" s="85" t="n">
        <x:v>79</x:v>
      </x:c>
      <x:c r="AC129" s="91" t="str">
        <x:v>2026 UCI WorldTeam名簿掲載</x:v>
      </x:c>
      <x:c r="AD129" s="91" t="str">
        <x:v>https://en.wikipedia.org/wiki/List_of_2026_UCI_WorldTeams_and_riders</x:v>
      </x:c>
      <x:c r="AE129" s="91" t="str">
        <x:v>能力・適性・Credit整合済</x:v>
      </x:c>
      <x:c r="AF129" s="91" t="str">
        <x:v>https://en.wikipedia.org/wiki/Bjoern_Koerdt</x:v>
      </x:c>
    </x:row>
    <x:row r="130" ht="26" customHeight="1">
      <x:c r="A130" s="82" t="n">
        <x:v>126</x:v>
      </x:c>
      <x:c r="B130" s="82" t="str">
        <x:v>Marijn van den Berg</x:v>
      </x:c>
      <x:c r="C130" s="143" t="str"/>
      <x:c r="D130" s="82" t="str">
        <x:v>オランダ</x:v>
      </x:c>
      <x:c r="E130" s="82" t="str">
        <x:v>EF Education–EasyPost</x:v>
      </x:c>
      <x:c r="F130" s="82" t="str">
        <x:v>1999-07-19</x:v>
      </x:c>
      <x:c r="G130" s="82" t="str">
        <x:v>現役確認済</x:v>
      </x:c>
      <x:c r="H130" s="82" t="str">
        <x:v>スプリンター</x:v>
      </x:c>
      <x:c r="I130" s="82" t="str">
        <x:v>クライマー</x:v>
      </x:c>
      <x:c r="J130" s="85" t="n">
        <x:v>74</x:v>
      </x:c>
      <x:c r="K130" s="85" t="n">
        <x:v>69</x:v>
      </x:c>
      <x:c r="L130" s="91" t="str">
        <x:v>山岳賞ハンター / リードアウト / 最終発射台 / スプリントトレイン</x:v>
      </x:c>
      <x:c r="M130" s="88" t="n">
        <x:v>4950</x:v>
      </x:c>
      <x:c r="N130" s="85" t="n">
        <x:v>82</x:v>
      </x:c>
      <x:c r="O130" s="85" t="n">
        <x:v>80</x:v>
      </x:c>
      <x:c r="P130" s="85" t="n">
        <x:v>66</x:v>
      </x:c>
      <x:c r="Q130" s="85" t="n">
        <x:v>71</x:v>
      </x:c>
      <x:c r="R130" s="85" t="n">
        <x:v>61</x:v>
      </x:c>
      <x:c r="S130" s="85" t="n">
        <x:v>64</x:v>
      </x:c>
      <x:c r="T130" s="85" t="n">
        <x:v>63</x:v>
      </x:c>
      <x:c r="U130" s="85" t="n">
        <x:v>67</x:v>
      </x:c>
      <x:c r="V130" s="85" t="n">
        <x:v>70</x:v>
      </x:c>
      <x:c r="W130" s="85" t="n">
        <x:v>58</x:v>
      </x:c>
      <x:c r="X130" s="85" t="n">
        <x:v>64</x:v>
      </x:c>
      <x:c r="Y130" s="85" t="n">
        <x:v>63</x:v>
      </x:c>
      <x:c r="Z130" s="85" t="n">
        <x:v>70</x:v>
      </x:c>
      <x:c r="AA130" s="85" t="n">
        <x:v>73</x:v>
      </x:c>
      <x:c r="AB130" s="85" t="n">
        <x:v>68</x:v>
      </x:c>
      <x:c r="AC130" s="91" t="str">
        <x:v>2026 UCI WorldTeam名簿掲載</x:v>
      </x:c>
      <x:c r="AD130" s="91" t="str">
        <x:v>https://en.wikipedia.org/wiki/List_of_2026_UCI_WorldTeams_and_riders</x:v>
      </x:c>
      <x:c r="AE130" s="91" t="str">
        <x:v>能力・適性・Credit整合済</x:v>
      </x:c>
      <x:c r="AF130" s="91" t="str">
        <x:v>https://en.wikipedia.org/wiki/Marijn_van_den_Berg</x:v>
      </x:c>
    </x:row>
    <x:row r="131" ht="26" customHeight="1">
      <x:c r="A131" s="82" t="n">
        <x:v>127</x:v>
      </x:c>
      <x:c r="B131" s="82" t="str">
        <x:v>Huub Artz</x:v>
      </x:c>
      <x:c r="C131" s="143" t="str"/>
      <x:c r="D131" s="82" t="str">
        <x:v>オランダ</x:v>
      </x:c>
      <x:c r="E131" s="82" t="str">
        <x:v>Lotto–Intermarché</x:v>
      </x:c>
      <x:c r="F131" s="82" t="str">
        <x:v>2002-05-14</x:v>
      </x:c>
      <x:c r="G131" s="82" t="str">
        <x:v>現役確認済</x:v>
      </x:c>
      <x:c r="H131" s="82" t="str">
        <x:v>パンチャー</x:v>
      </x:c>
      <x:c r="I131" s="82" t="str">
        <x:v>クライマー</x:v>
      </x:c>
      <x:c r="J131" s="85" t="n">
        <x:v>74</x:v>
      </x:c>
      <x:c r="K131" s="85" t="n">
        <x:v>70</x:v>
      </x:c>
      <x:c r="L131" s="91" t="str">
        <x:v>ステージハンター / 山岳賞ハンター / 逃げ屋</x:v>
      </x:c>
      <x:c r="M131" s="88" t="n">
        <x:v>4800</x:v>
      </x:c>
      <x:c r="N131" s="85" t="n">
        <x:v>68</x:v>
      </x:c>
      <x:c r="O131" s="85" t="n">
        <x:v>74</x:v>
      </x:c>
      <x:c r="P131" s="85" t="n">
        <x:v>78</x:v>
      </x:c>
      <x:c r="Q131" s="85" t="n">
        <x:v>67</x:v>
      </x:c>
      <x:c r="R131" s="85" t="n">
        <x:v>71</x:v>
      </x:c>
      <x:c r="S131" s="85" t="n">
        <x:v>69</x:v>
      </x:c>
      <x:c r="T131" s="85" t="n">
        <x:v>64</x:v>
      </x:c>
      <x:c r="U131" s="85" t="n">
        <x:v>69</x:v>
      </x:c>
      <x:c r="V131" s="85" t="n">
        <x:v>71</x:v>
      </x:c>
      <x:c r="W131" s="85" t="n">
        <x:v>60</x:v>
      </x:c>
      <x:c r="X131" s="85" t="n">
        <x:v>69</x:v>
      </x:c>
      <x:c r="Y131" s="85" t="n">
        <x:v>71</x:v>
      </x:c>
      <x:c r="Z131" s="85" t="n">
        <x:v>68</x:v>
      </x:c>
      <x:c r="AA131" s="85" t="n">
        <x:v>73</x:v>
      </x:c>
      <x:c r="AB131" s="85" t="n">
        <x:v>76</x:v>
      </x:c>
      <x:c r="AC131" s="91" t="str">
        <x:v>2026 UCI WorldTeam名簿掲載</x:v>
      </x:c>
      <x:c r="AD131" s="91" t="str">
        <x:v>https://en.wikipedia.org/wiki/List_of_2026_UCI_WorldTeams_and_riders</x:v>
      </x:c>
      <x:c r="AE131" s="91" t="str">
        <x:v>能力・適性・Credit整合済</x:v>
      </x:c>
      <x:c r="AF131" s="91" t="str">
        <x:v>https://en.wikipedia.org/wiki/Huub_Artz</x:v>
      </x:c>
    </x:row>
    <x:row r="132" ht="26" customHeight="1">
      <x:c r="A132" s="82" t="n">
        <x:v>128</x:v>
      </x:c>
      <x:c r="B132" s="82" t="str">
        <x:v>Jonas Iversby Hvideberg</x:v>
      </x:c>
      <x:c r="C132" s="143" t="str"/>
      <x:c r="D132" s="82" t="str">
        <x:v>ノルウェー</x:v>
      </x:c>
      <x:c r="E132" s="82" t="str">
        <x:v>Uno-X Mobility</x:v>
      </x:c>
      <x:c r="F132" s="82" t="str">
        <x:v>1999-02-09</x:v>
      </x:c>
      <x:c r="G132" s="82" t="str">
        <x:v>現役確認済</x:v>
      </x:c>
      <x:c r="H132" s="82" t="str">
        <x:v>総合型</x:v>
      </x:c>
      <x:c r="I132" s="82" t="str">
        <x:v>TT・ルーラー型</x:v>
      </x:c>
      <x:c r="J132" s="85" t="n">
        <x:v>74</x:v>
      </x:c>
      <x:c r="K132" s="85" t="n">
        <x:v>72</x:v>
      </x:c>
      <x:c r="L132" s="91" t="str">
        <x:v>ロードキャプテン / 山岳アシスト / 山岳番手</x:v>
      </x:c>
      <x:c r="M132" s="88" t="n">
        <x:v>4800</x:v>
      </x:c>
      <x:c r="N132" s="85" t="n">
        <x:v>58</x:v>
      </x:c>
      <x:c r="O132" s="85" t="n">
        <x:v>68</x:v>
      </x:c>
      <x:c r="P132" s="85" t="n">
        <x:v>71</x:v>
      </x:c>
      <x:c r="Q132" s="85" t="n">
        <x:v>68</x:v>
      </x:c>
      <x:c r="R132" s="85" t="n">
        <x:v>74</x:v>
      </x:c>
      <x:c r="S132" s="85" t="n">
        <x:v>72</x:v>
      </x:c>
      <x:c r="T132" s="85" t="n">
        <x:v>74</x:v>
      </x:c>
      <x:c r="U132" s="85" t="n">
        <x:v>67</x:v>
      </x:c>
      <x:c r="V132" s="85" t="n">
        <x:v>67</x:v>
      </x:c>
      <x:c r="W132" s="85" t="n">
        <x:v>54</x:v>
      </x:c>
      <x:c r="X132" s="85" t="n">
        <x:v>75</x:v>
      </x:c>
      <x:c r="Y132" s="85" t="n">
        <x:v>77</x:v>
      </x:c>
      <x:c r="Z132" s="85" t="n">
        <x:v>69</x:v>
      </x:c>
      <x:c r="AA132" s="85" t="n">
        <x:v>72</x:v>
      </x:c>
      <x:c r="AB132" s="85" t="n">
        <x:v>65</x:v>
      </x:c>
      <x:c r="AC132" s="91" t="str">
        <x:v>2026 UCI WorldTeam名簿掲載</x:v>
      </x:c>
      <x:c r="AD132" s="91" t="str">
        <x:v>https://en.wikipedia.org/wiki/List_of_2026_UCI_WorldTeams_and_riders</x:v>
      </x:c>
      <x:c r="AE132" s="91" t="str">
        <x:v>能力・適性・Credit整合済</x:v>
      </x:c>
      <x:c r="AF132" s="91" t="str">
        <x:v>https://en.wikipedia.org/wiki/Jonas_Iversby_Hvideberg</x:v>
      </x:c>
    </x:row>
    <x:row r="133" ht="26" customHeight="1">
      <x:c r="A133" s="82" t="n">
        <x:v>129</x:v>
      </x:c>
      <x:c r="B133" s="82" t="str">
        <x:v>Julius van den Berg</x:v>
      </x:c>
      <x:c r="C133" s="143" t="str"/>
      <x:c r="D133" s="82" t="str">
        <x:v>オランダ</x:v>
      </x:c>
      <x:c r="E133" s="82" t="str">
        <x:v>Team Picnic–PostNL</x:v>
      </x:c>
      <x:c r="F133" s="82" t="str">
        <x:v>1996-10-23</x:v>
      </x:c>
      <x:c r="G133" s="82" t="str">
        <x:v>現役確認済</x:v>
      </x:c>
      <x:c r="H133" s="82" t="str">
        <x:v>スプリンター</x:v>
      </x:c>
      <x:c r="I133" s="82" t="str">
        <x:v>クラシック型</x:v>
      </x:c>
      <x:c r="J133" s="85" t="n">
        <x:v>74</x:v>
      </x:c>
      <x:c r="K133" s="85" t="n">
        <x:v>70</x:v>
      </x:c>
      <x:c r="L133" s="91" t="str">
        <x:v>リードアウト / 最終発射台 / スプリントトレイン / 下り牽引 / ポジションキーパー</x:v>
      </x:c>
      <x:c r="M133" s="88" t="n">
        <x:v>4700</x:v>
      </x:c>
      <x:c r="N133" s="85" t="n">
        <x:v>80</x:v>
      </x:c>
      <x:c r="O133" s="85" t="n">
        <x:v>76</x:v>
      </x:c>
      <x:c r="P133" s="85" t="n">
        <x:v>65</x:v>
      </x:c>
      <x:c r="Q133" s="85" t="n">
        <x:v>71</x:v>
      </x:c>
      <x:c r="R133" s="85" t="n">
        <x:v>55</x:v>
      </x:c>
      <x:c r="S133" s="85" t="n">
        <x:v>63</x:v>
      </x:c>
      <x:c r="T133" s="85" t="n">
        <x:v>66</x:v>
      </x:c>
      <x:c r="U133" s="85" t="n">
        <x:v>70</x:v>
      </x:c>
      <x:c r="V133" s="85" t="n">
        <x:v>73</x:v>
      </x:c>
      <x:c r="W133" s="85" t="n">
        <x:v>54</x:v>
      </x:c>
      <x:c r="X133" s="85" t="n">
        <x:v>70</x:v>
      </x:c>
      <x:c r="Y133" s="85" t="n">
        <x:v>62</x:v>
      </x:c>
      <x:c r="Z133" s="85" t="n">
        <x:v>68</x:v>
      </x:c>
      <x:c r="AA133" s="85" t="n">
        <x:v>74</x:v>
      </x:c>
      <x:c r="AB133" s="85" t="n">
        <x:v>65</x:v>
      </x:c>
      <x:c r="AC133" s="91" t="str">
        <x:v>2026 UCI WorldTeam名簿掲載</x:v>
      </x:c>
      <x:c r="AD133" s="91" t="str">
        <x:v>https://en.wikipedia.org/wiki/List_of_2026_UCI_WorldTeams_and_riders</x:v>
      </x:c>
      <x:c r="AE133" s="91" t="str">
        <x:v>能力・適性・Credit整合済</x:v>
      </x:c>
      <x:c r="AF133" s="91" t="str">
        <x:v>https://en.wikipedia.org/wiki/Julius_van_den_Berg</x:v>
      </x:c>
    </x:row>
    <x:row r="134" ht="26" customHeight="1">
      <x:c r="A134" s="82" t="n">
        <x:v>130</x:v>
      </x:c>
      <x:c r="B134" s="82" t="str">
        <x:v>Iván Romeo</x:v>
      </x:c>
      <x:c r="C134" s="143" t="str"/>
      <x:c r="D134" s="82" t="str">
        <x:v>スペイン</x:v>
      </x:c>
      <x:c r="E134" s="82" t="str">
        <x:v>Movistar Team</x:v>
      </x:c>
      <x:c r="F134" s="82" t="str">
        <x:v>2003-08-16</x:v>
      </x:c>
      <x:c r="G134" s="82" t="str">
        <x:v>現役確認済</x:v>
      </x:c>
      <x:c r="H134" s="82" t="str">
        <x:v>パンチャー</x:v>
      </x:c>
      <x:c r="I134" s="82" t="str">
        <x:v>総合型</x:v>
      </x:c>
      <x:c r="J134" s="85" t="n">
        <x:v>74</x:v>
      </x:c>
      <x:c r="K134" s="85" t="n">
        <x:v>70</x:v>
      </x:c>
      <x:c r="L134" s="91" t="str">
        <x:v>ステージハンター / 山岳賞ハンター / 下り牽引 / 集団コントローラー / カウンターアタッカー / 無賃乗車 / ポジションキーパー</x:v>
      </x:c>
      <x:c r="M134" s="88" t="n">
        <x:v>4650</x:v>
      </x:c>
      <x:c r="N134" s="85" t="n">
        <x:v>67</x:v>
      </x:c>
      <x:c r="O134" s="85" t="n">
        <x:v>74</x:v>
      </x:c>
      <x:c r="P134" s="85" t="n">
        <x:v>77</x:v>
      </x:c>
      <x:c r="Q134" s="85" t="n">
        <x:v>67</x:v>
      </x:c>
      <x:c r="R134" s="85" t="n">
        <x:v>71</x:v>
      </x:c>
      <x:c r="S134" s="85" t="n">
        <x:v>64</x:v>
      </x:c>
      <x:c r="T134" s="85" t="n">
        <x:v>67</x:v>
      </x:c>
      <x:c r="U134" s="85" t="n">
        <x:v>76</x:v>
      </x:c>
      <x:c r="V134" s="85" t="n">
        <x:v>74</x:v>
      </x:c>
      <x:c r="W134" s="85" t="n">
        <x:v>55</x:v>
      </x:c>
      <x:c r="X134" s="85" t="n">
        <x:v>70</x:v>
      </x:c>
      <x:c r="Y134" s="85" t="n">
        <x:v>70</x:v>
      </x:c>
      <x:c r="Z134" s="85" t="n">
        <x:v>62</x:v>
      </x:c>
      <x:c r="AA134" s="85" t="n">
        <x:v>75</x:v>
      </x:c>
      <x:c r="AB134" s="85" t="n">
        <x:v>74</x:v>
      </x:c>
      <x:c r="AC134" s="91" t="str">
        <x:v>2026 UCI WorldTeam名簿掲載</x:v>
      </x:c>
      <x:c r="AD134" s="91" t="str">
        <x:v>https://en.wikipedia.org/wiki/List_of_2026_UCI_WorldTeams_and_riders</x:v>
      </x:c>
      <x:c r="AE134" s="91" t="str">
        <x:v>能力・適性・Credit整合済</x:v>
      </x:c>
      <x:c r="AF134" s="91" t="str">
        <x:v>https://en.wikipedia.org/wiki/Iv%C3%A1n_Romeo</x:v>
      </x:c>
    </x:row>
    <x:row r="135" ht="26" customHeight="1">
      <x:c r="A135" s="82" t="n">
        <x:v>131</x:v>
      </x:c>
      <x:c r="B135" s="82" t="str">
        <x:v>Casper van Uden</x:v>
      </x:c>
      <x:c r="C135" s="143" t="str"/>
      <x:c r="D135" s="82" t="str">
        <x:v>オランダ</x:v>
      </x:c>
      <x:c r="E135" s="82" t="str">
        <x:v>Team Picnic–PostNL</x:v>
      </x:c>
      <x:c r="F135" s="82" t="str">
        <x:v>2001-07-22</x:v>
      </x:c>
      <x:c r="G135" s="82" t="str">
        <x:v>現役確認済</x:v>
      </x:c>
      <x:c r="H135" s="82" t="str">
        <x:v>スプリンター</x:v>
      </x:c>
      <x:c r="I135" s="82" t="str">
        <x:v>総合型</x:v>
      </x:c>
      <x:c r="J135" s="85" t="n">
        <x:v>74</x:v>
      </x:c>
      <x:c r="K135" s="85" t="n">
        <x:v>70</x:v>
      </x:c>
      <x:c r="L135" s="91" t="str">
        <x:v>リードアウト / 最終発射台 / スプリントトレイン / 集団コントローラー</x:v>
      </x:c>
      <x:c r="M135" s="88" t="n">
        <x:v>4550</x:v>
      </x:c>
      <x:c r="N135" s="85" t="n">
        <x:v>80</x:v>
      </x:c>
      <x:c r="O135" s="85" t="n">
        <x:v>75</x:v>
      </x:c>
      <x:c r="P135" s="85" t="n">
        <x:v>63</x:v>
      </x:c>
      <x:c r="Q135" s="85" t="n">
        <x:v>72</x:v>
      </x:c>
      <x:c r="R135" s="85" t="n">
        <x:v>54</x:v>
      </x:c>
      <x:c r="S135" s="85" t="n">
        <x:v>65</x:v>
      </x:c>
      <x:c r="T135" s="85" t="n">
        <x:v>65</x:v>
      </x:c>
      <x:c r="U135" s="85" t="n">
        <x:v>69</x:v>
      </x:c>
      <x:c r="V135" s="85" t="n">
        <x:v>69</x:v>
      </x:c>
      <x:c r="W135" s="85" t="n">
        <x:v>58</x:v>
      </x:c>
      <x:c r="X135" s="85" t="n">
        <x:v>62</x:v>
      </x:c>
      <x:c r="Y135" s="85" t="n">
        <x:v>66</x:v>
      </x:c>
      <x:c r="Z135" s="85" t="n">
        <x:v>69</x:v>
      </x:c>
      <x:c r="AA135" s="85" t="n">
        <x:v>71</x:v>
      </x:c>
      <x:c r="AB135" s="85" t="n">
        <x:v>65</x:v>
      </x:c>
      <x:c r="AC135" s="91" t="str">
        <x:v>2026 UCI WorldTeam名簿掲載</x:v>
      </x:c>
      <x:c r="AD135" s="91" t="str">
        <x:v>https://en.wikipedia.org/wiki/List_of_2026_UCI_WorldTeams_and_riders</x:v>
      </x:c>
      <x:c r="AE135" s="91" t="str">
        <x:v>能力・適性・Credit整合済</x:v>
      </x:c>
      <x:c r="AF135" s="91" t="str">
        <x:v>https://en.wikipedia.org/wiki/Casper_van_Uden</x:v>
      </x:c>
    </x:row>
    <x:row r="136" ht="26" customHeight="1">
      <x:c r="A136" s="82" t="n">
        <x:v>132</x:v>
      </x:c>
      <x:c r="B136" s="82" t="str">
        <x:v>Andreas Kron</x:v>
      </x:c>
      <x:c r="C136" s="143" t="str"/>
      <x:c r="D136" s="82" t="str">
        <x:v>デンマーク</x:v>
      </x:c>
      <x:c r="E136" s="82" t="str">
        <x:v>Uno-X Mobility</x:v>
      </x:c>
      <x:c r="F136" s="82" t="str">
        <x:v>1998-06-01</x:v>
      </x:c>
      <x:c r="G136" s="82" t="str">
        <x:v>現役確認済</x:v>
      </x:c>
      <x:c r="H136" s="82" t="str">
        <x:v>パンチャー</x:v>
      </x:c>
      <x:c r="I136" s="82" t="str">
        <x:v>総合型</x:v>
      </x:c>
      <x:c r="J136" s="85" t="n">
        <x:v>74</x:v>
      </x:c>
      <x:c r="K136" s="85" t="n">
        <x:v>69</x:v>
      </x:c>
      <x:c r="L136" s="91" t="str">
        <x:v>ステージハンター / 山岳賞ハンター / 下り牽引 / 集団コントローラー</x:v>
      </x:c>
      <x:c r="M136" s="88" t="n">
        <x:v>4500</x:v>
      </x:c>
      <x:c r="N136" s="85" t="n">
        <x:v>67</x:v>
      </x:c>
      <x:c r="O136" s="85" t="n">
        <x:v>73</x:v>
      </x:c>
      <x:c r="P136" s="85" t="n">
        <x:v>78</x:v>
      </x:c>
      <x:c r="Q136" s="85" t="n">
        <x:v>65</x:v>
      </x:c>
      <x:c r="R136" s="85" t="n">
        <x:v>72</x:v>
      </x:c>
      <x:c r="S136" s="85" t="n">
        <x:v>64</x:v>
      </x:c>
      <x:c r="T136" s="85" t="n">
        <x:v>64</x:v>
      </x:c>
      <x:c r="U136" s="85" t="n">
        <x:v>73</x:v>
      </x:c>
      <x:c r="V136" s="85" t="n">
        <x:v>75</x:v>
      </x:c>
      <x:c r="W136" s="85" t="n">
        <x:v>57</x:v>
      </x:c>
      <x:c r="X136" s="85" t="n">
        <x:v>66</x:v>
      </x:c>
      <x:c r="Y136" s="85" t="n">
        <x:v>70</x:v>
      </x:c>
      <x:c r="Z136" s="85" t="n">
        <x:v>68</x:v>
      </x:c>
      <x:c r="AA136" s="85" t="n">
        <x:v>74</x:v>
      </x:c>
      <x:c r="AB136" s="85" t="n">
        <x:v>74</x:v>
      </x:c>
      <x:c r="AC136" s="91" t="str">
        <x:v>2026 UCI WorldTeam名簿掲載</x:v>
      </x:c>
      <x:c r="AD136" s="91" t="str">
        <x:v>https://en.wikipedia.org/wiki/List_of_2026_UCI_WorldTeams_and_riders</x:v>
      </x:c>
      <x:c r="AE136" s="91" t="str">
        <x:v>能力・適性・Credit整合済</x:v>
      </x:c>
      <x:c r="AF136" s="91" t="str">
        <x:v>https://en.wikipedia.org/wiki/Andreas_Kron</x:v>
      </x:c>
    </x:row>
    <x:row r="137" ht="26" customHeight="1">
      <x:c r="A137" s="82" t="n">
        <x:v>133</x:v>
      </x:c>
      <x:c r="B137" s="82" t="str">
        <x:v>Cees Bol</x:v>
      </x:c>
      <x:c r="C137" s="143" t="str"/>
      <x:c r="D137" s="82" t="str">
        <x:v>オランダ</x:v>
      </x:c>
      <x:c r="E137" s="82" t="str">
        <x:v>Decathlon–CMA CGM</x:v>
      </x:c>
      <x:c r="F137" s="82" t="str">
        <x:v>1995-07-27</x:v>
      </x:c>
      <x:c r="G137" s="82" t="str">
        <x:v>現役確認済</x:v>
      </x:c>
      <x:c r="H137" s="82" t="str">
        <x:v>スプリンター</x:v>
      </x:c>
      <x:c r="I137" s="82" t="str">
        <x:v>TT・ルーラー型</x:v>
      </x:c>
      <x:c r="J137" s="85" t="n">
        <x:v>74</x:v>
      </x:c>
      <x:c r="K137" s="85" t="n">
        <x:v>68</x:v>
      </x:c>
      <x:c r="L137" s="91" t="str">
        <x:v>ロードキャプテン / リードアウト / 最終発射台 / 下り牽引</x:v>
      </x:c>
      <x:c r="M137" s="88" t="n">
        <x:v>4400</x:v>
      </x:c>
      <x:c r="N137" s="85" t="n">
        <x:v>78</x:v>
      </x:c>
      <x:c r="O137" s="85" t="n">
        <x:v>77</x:v>
      </x:c>
      <x:c r="P137" s="85" t="n">
        <x:v>64</x:v>
      </x:c>
      <x:c r="Q137" s="85" t="n">
        <x:v>70</x:v>
      </x:c>
      <x:c r="R137" s="85" t="n">
        <x:v>55</x:v>
      </x:c>
      <x:c r="S137" s="85" t="n">
        <x:v>62</x:v>
      </x:c>
      <x:c r="T137" s="85" t="n">
        <x:v>63</x:v>
      </x:c>
      <x:c r="U137" s="85" t="n">
        <x:v>68</x:v>
      </x:c>
      <x:c r="V137" s="85" t="n">
        <x:v>73</x:v>
      </x:c>
      <x:c r="W137" s="85" t="n">
        <x:v>59</x:v>
      </x:c>
      <x:c r="X137" s="85" t="n">
        <x:v>70</x:v>
      </x:c>
      <x:c r="Y137" s="85" t="n">
        <x:v>67</x:v>
      </x:c>
      <x:c r="Z137" s="85" t="n">
        <x:v>65</x:v>
      </x:c>
      <x:c r="AA137" s="85" t="n">
        <x:v>74</x:v>
      </x:c>
      <x:c r="AB137" s="85" t="n">
        <x:v>68</x:v>
      </x:c>
      <x:c r="AC137" s="91" t="str">
        <x:v>2026 UCI WorldTeam名簿掲載</x:v>
      </x:c>
      <x:c r="AD137" s="91" t="str">
        <x:v>https://en.wikipedia.org/wiki/List_of_2026_UCI_WorldTeams_and_riders</x:v>
      </x:c>
      <x:c r="AE137" s="91" t="str">
        <x:v>能力・適性・Credit整合済</x:v>
      </x:c>
      <x:c r="AF137" s="91" t="str">
        <x:v>https://en.wikipedia.org/wiki/Cees_Bol</x:v>
      </x:c>
    </x:row>
    <x:row r="138" ht="26" customHeight="1">
      <x:c r="A138" s="82" t="n">
        <x:v>134</x:v>
      </x:c>
      <x:c r="B138" s="82" t="str">
        <x:v>Darren Rafferty</x:v>
      </x:c>
      <x:c r="C138" s="143" t="str"/>
      <x:c r="D138" s="82" t="str">
        <x:v>アイルランド</x:v>
      </x:c>
      <x:c r="E138" s="82" t="str">
        <x:v>EF Education–EasyPost</x:v>
      </x:c>
      <x:c r="F138" s="82" t="str">
        <x:v>2003-07-01</x:v>
      </x:c>
      <x:c r="G138" s="82" t="str">
        <x:v>現役確認済</x:v>
      </x:c>
      <x:c r="H138" s="82" t="str">
        <x:v>スプリンター</x:v>
      </x:c>
      <x:c r="I138" s="82" t="str">
        <x:v>総合型</x:v>
      </x:c>
      <x:c r="J138" s="85" t="n">
        <x:v>74</x:v>
      </x:c>
      <x:c r="K138" s="85" t="n">
        <x:v>67</x:v>
      </x:c>
      <x:c r="L138" s="91" t="str">
        <x:v>リードアウト / 最終発射台 / スプリントトレイン / 集団コントローラー</x:v>
      </x:c>
      <x:c r="M138" s="88" t="n">
        <x:v>4150</x:v>
      </x:c>
      <x:c r="N138" s="85" t="n">
        <x:v>79</x:v>
      </x:c>
      <x:c r="O138" s="85" t="n">
        <x:v>76</x:v>
      </x:c>
      <x:c r="P138" s="85" t="n">
        <x:v>67</x:v>
      </x:c>
      <x:c r="Q138" s="85" t="n">
        <x:v>69</x:v>
      </x:c>
      <x:c r="R138" s="85" t="n">
        <x:v>60</x:v>
      </x:c>
      <x:c r="S138" s="85" t="n">
        <x:v>61</x:v>
      </x:c>
      <x:c r="T138" s="85" t="n">
        <x:v>64</x:v>
      </x:c>
      <x:c r="U138" s="85" t="n">
        <x:v>66</x:v>
      </x:c>
      <x:c r="V138" s="85" t="n">
        <x:v>67</x:v>
      </x:c>
      <x:c r="W138" s="85" t="n">
        <x:v>54</x:v>
      </x:c>
      <x:c r="X138" s="85" t="n">
        <x:v>66</x:v>
      </x:c>
      <x:c r="Y138" s="85" t="n">
        <x:v>67</x:v>
      </x:c>
      <x:c r="Z138" s="85" t="n">
        <x:v>64</x:v>
      </x:c>
      <x:c r="AA138" s="85" t="n">
        <x:v>71</x:v>
      </x:c>
      <x:c r="AB138" s="85" t="n">
        <x:v>65</x:v>
      </x:c>
      <x:c r="AC138" s="91" t="str">
        <x:v>2026 UCI WorldTeam名簿掲載</x:v>
      </x:c>
      <x:c r="AD138" s="91" t="str">
        <x:v>https://en.wikipedia.org/wiki/List_of_2026_UCI_WorldTeams_and_riders</x:v>
      </x:c>
      <x:c r="AE138" s="91" t="str">
        <x:v>能力・適性・Credit整合済</x:v>
      </x:c>
      <x:c r="AF138" s="91" t="str">
        <x:v>https://en.wikipedia.org/wiki/Darren_Rafferty</x:v>
      </x:c>
    </x:row>
    <x:row r="139" ht="26" customHeight="1">
      <x:c r="A139" s="82" t="n">
        <x:v>135</x:v>
      </x:c>
      <x:c r="B139" s="82" t="str">
        <x:v>Amanuel Ghebreigzabhier</x:v>
      </x:c>
      <x:c r="C139" s="143" t="str"/>
      <x:c r="D139" s="82" t="str">
        <x:v>エリトリア</x:v>
      </x:c>
      <x:c r="E139" s="82" t="str">
        <x:v>Lidl–Trek</x:v>
      </x:c>
      <x:c r="F139" s="82" t="str">
        <x:v>1994-08-17</x:v>
      </x:c>
      <x:c r="G139" s="82" t="str">
        <x:v>現役確認済</x:v>
      </x:c>
      <x:c r="H139" s="82" t="str">
        <x:v>クラシック型</x:v>
      </x:c>
      <x:c r="I139" s="82" t="str">
        <x:v>パンチャー</x:v>
      </x:c>
      <x:c r="J139" s="85" t="n">
        <x:v>73</x:v>
      </x:c>
      <x:c r="K139" s="85" t="n">
        <x:v>77</x:v>
      </x:c>
      <x:c r="L139" s="91" t="str">
        <x:v>平坦アシスト / TT牽引 / 石畳護衛 / 横風要員 / 逃げ屋 / 超ロングスパート</x:v>
      </x:c>
      <x:c r="M139" s="88" t="n">
        <x:v>6400</x:v>
      </x:c>
      <x:c r="N139" s="85" t="n">
        <x:v>76</x:v>
      </x:c>
      <x:c r="O139" s="85" t="n">
        <x:v>72</x:v>
      </x:c>
      <x:c r="P139" s="85" t="n">
        <x:v>76</x:v>
      </x:c>
      <x:c r="Q139" s="85" t="n">
        <x:v>79</x:v>
      </x:c>
      <x:c r="R139" s="85" t="n">
        <x:v>63</x:v>
      </x:c>
      <x:c r="S139" s="85" t="n">
        <x:v>78</x:v>
      </x:c>
      <x:c r="T139" s="85" t="n">
        <x:v>81</x:v>
      </x:c>
      <x:c r="U139" s="85" t="n">
        <x:v>83</x:v>
      </x:c>
      <x:c r="V139" s="85" t="n">
        <x:v>78</x:v>
      </x:c>
      <x:c r="W139" s="85" t="n">
        <x:v>76</x:v>
      </x:c>
      <x:c r="X139" s="85" t="n">
        <x:v>67</x:v>
      </x:c>
      <x:c r="Y139" s="85" t="n">
        <x:v>69</x:v>
      </x:c>
      <x:c r="Z139" s="85" t="n">
        <x:v>78</x:v>
      </x:c>
      <x:c r="AA139" s="85" t="n">
        <x:v>71</x:v>
      </x:c>
      <x:c r="AB139" s="85" t="n">
        <x:v>76</x:v>
      </x:c>
      <x:c r="AC139" s="91" t="str">
        <x:v>2026 UCI WorldTeam名簿掲載</x:v>
      </x:c>
      <x:c r="AD139" s="91" t="str">
        <x:v>https://en.wikipedia.org/wiki/List_of_2026_UCI_WorldTeams_and_riders</x:v>
      </x:c>
      <x:c r="AE139" s="91" t="str">
        <x:v>能力・適性・Credit整合済</x:v>
      </x:c>
      <x:c r="AF139" s="91" t="str">
        <x:v>https://en.wikipedia.org/wiki/Amanuel_Ghebreigzabhier</x:v>
      </x:c>
    </x:row>
    <x:row r="140" ht="26" customHeight="1">
      <x:c r="A140" s="82" t="n">
        <x:v>136</x:v>
      </x:c>
      <x:c r="B140" s="82" t="str">
        <x:v>Jay Vine</x:v>
      </x:c>
      <x:c r="C140" s="143" t="str"/>
      <x:c r="D140" s="82" t="str">
        <x:v>オーストラリア</x:v>
      </x:c>
      <x:c r="E140" s="82" t="str">
        <x:v>UAE Team Emirates XRG</x:v>
      </x:c>
      <x:c r="F140" s="82" t="str">
        <x:v>1995-11-16</x:v>
      </x:c>
      <x:c r="G140" s="82" t="str">
        <x:v>現役確認済</x:v>
      </x:c>
      <x:c r="H140" s="82" t="str">
        <x:v>クライマー</x:v>
      </x:c>
      <x:c r="I140" s="82" t="str">
        <x:v>総合型</x:v>
      </x:c>
      <x:c r="J140" s="85" t="n">
        <x:v>73</x:v>
      </x:c>
      <x:c r="K140" s="85" t="n">
        <x:v>75</x:v>
      </x:c>
      <x:c r="L140" s="91" t="str">
        <x:v>山岳賞ハンター / 山岳アシスト / 集団コントローラー</x:v>
      </x:c>
      <x:c r="M140" s="88" t="n">
        <x:v>6300</x:v>
      </x:c>
      <x:c r="N140" s="85" t="n">
        <x:v>64</x:v>
      </x:c>
      <x:c r="O140" s="85" t="n">
        <x:v>66</x:v>
      </x:c>
      <x:c r="P140" s="85" t="n">
        <x:v>70</x:v>
      </x:c>
      <x:c r="Q140" s="85" t="n">
        <x:v>66</x:v>
      </x:c>
      <x:c r="R140" s="85" t="n">
        <x:v>84</x:v>
      </x:c>
      <x:c r="S140" s="85" t="n">
        <x:v>81</x:v>
      </x:c>
      <x:c r="T140" s="85" t="n">
        <x:v>73</x:v>
      </x:c>
      <x:c r="U140" s="85" t="n">
        <x:v>65</x:v>
      </x:c>
      <x:c r="V140" s="85" t="n">
        <x:v>69</x:v>
      </x:c>
      <x:c r="W140" s="85" t="n">
        <x:v>57</x:v>
      </x:c>
      <x:c r="X140" s="85" t="n">
        <x:v>79</x:v>
      </x:c>
      <x:c r="Y140" s="85" t="n">
        <x:v>79</x:v>
      </x:c>
      <x:c r="Z140" s="85" t="n">
        <x:v>74</x:v>
      </x:c>
      <x:c r="AA140" s="85" t="n">
        <x:v>69</x:v>
      </x:c>
      <x:c r="AB140" s="85" t="n">
        <x:v>74</x:v>
      </x:c>
      <x:c r="AC140" s="91" t="str">
        <x:v>2026 UCI WorldTeam名簿掲載</x:v>
      </x:c>
      <x:c r="AD140" s="91" t="str">
        <x:v>https://en.wikipedia.org/wiki/List_of_2026_UCI_WorldTeams_and_riders</x:v>
      </x:c>
      <x:c r="AE140" s="91" t="str">
        <x:v>能力・適性・Credit整合済</x:v>
      </x:c>
      <x:c r="AF140" s="91" t="str">
        <x:v>https://en.wikipedia.org/wiki/Jay_Vine</x:v>
      </x:c>
    </x:row>
    <x:row r="141" ht="26" customHeight="1">
      <x:c r="A141" s="82" t="n">
        <x:v>137</x:v>
      </x:c>
      <x:c r="B141" s="82" t="str">
        <x:v>António Morgado</x:v>
      </x:c>
      <x:c r="C141" s="143" t="str"/>
      <x:c r="D141" s="82" t="str">
        <x:v>ポルトガル</x:v>
      </x:c>
      <x:c r="E141" s="82" t="str">
        <x:v>UAE Team Emirates XRG</x:v>
      </x:c>
      <x:c r="F141" s="82" t="str">
        <x:v>2004-01-28</x:v>
      </x:c>
      <x:c r="G141" s="82" t="str">
        <x:v>現役確認済</x:v>
      </x:c>
      <x:c r="H141" s="82" t="str">
        <x:v>クラシック型</x:v>
      </x:c>
      <x:c r="I141" s="82" t="str">
        <x:v>パンチャー</x:v>
      </x:c>
      <x:c r="J141" s="85" t="n">
        <x:v>73</x:v>
      </x:c>
      <x:c r="K141" s="85" t="n">
        <x:v>75</x:v>
      </x:c>
      <x:c r="L141" s="91" t="str">
        <x:v>ステージハンター / 石畳護衛 / 下り牽引 / 逃げ屋</x:v>
      </x:c>
      <x:c r="M141" s="88" t="n">
        <x:v>6000</x:v>
      </x:c>
      <x:c r="N141" s="85" t="n">
        <x:v>75</x:v>
      </x:c>
      <x:c r="O141" s="85" t="n">
        <x:v>72</x:v>
      </x:c>
      <x:c r="P141" s="85" t="n">
        <x:v>73</x:v>
      </x:c>
      <x:c r="Q141" s="85" t="n">
        <x:v>73</x:v>
      </x:c>
      <x:c r="R141" s="85" t="n">
        <x:v>65</x:v>
      </x:c>
      <x:c r="S141" s="85" t="n">
        <x:v>72</x:v>
      </x:c>
      <x:c r="T141" s="85" t="n">
        <x:v>79</x:v>
      </x:c>
      <x:c r="U141" s="85" t="n">
        <x:v>75</x:v>
      </x:c>
      <x:c r="V141" s="85" t="n">
        <x:v>82</x:v>
      </x:c>
      <x:c r="W141" s="85" t="n">
        <x:v>77</x:v>
      </x:c>
      <x:c r="X141" s="85" t="n">
        <x:v>72</x:v>
      </x:c>
      <x:c r="Y141" s="85" t="n">
        <x:v>73</x:v>
      </x:c>
      <x:c r="Z141" s="85" t="n">
        <x:v>75</x:v>
      </x:c>
      <x:c r="AA141" s="85" t="n">
        <x:v>72</x:v>
      </x:c>
      <x:c r="AB141" s="85" t="n">
        <x:v>79</x:v>
      </x:c>
      <x:c r="AC141" s="91" t="str">
        <x:v>2026 UCI WorldTeam名簿掲載</x:v>
      </x:c>
      <x:c r="AD141" s="91" t="str">
        <x:v>https://en.wikipedia.org/wiki/List_of_2026_UCI_WorldTeams_and_riders</x:v>
      </x:c>
      <x:c r="AE141" s="91" t="str">
        <x:v>能力・適性・Credit整合済</x:v>
      </x:c>
      <x:c r="AF141" s="91" t="str">
        <x:v>https://en.wikipedia.org/wiki/Ant%C3%B3nio_Morgado</x:v>
      </x:c>
    </x:row>
    <x:row r="142" ht="26" customHeight="1">
      <x:c r="A142" s="82" t="n">
        <x:v>138</x:v>
      </x:c>
      <x:c r="B142" s="82" t="str">
        <x:v>Joshua Giddings (cyclist)</x:v>
      </x:c>
      <x:c r="C142" s="143" t="str"/>
      <x:c r="D142" s="82" t="str">
        <x:v>イギリス</x:v>
      </x:c>
      <x:c r="E142" s="82" t="str">
        <x:v>Lotto–Intermarché</x:v>
      </x:c>
      <x:c r="F142" s="82" t="str">
        <x:v>2003-07-20</x:v>
      </x:c>
      <x:c r="G142" s="82" t="str">
        <x:v>現役確認済</x:v>
      </x:c>
      <x:c r="H142" s="82" t="str">
        <x:v>クラシック型</x:v>
      </x:c>
      <x:c r="I142" s="82" t="str">
        <x:v>TT・ルーラー型</x:v>
      </x:c>
      <x:c r="J142" s="85" t="n">
        <x:v>73</x:v>
      </x:c>
      <x:c r="K142" s="85" t="n">
        <x:v>77</x:v>
      </x:c>
      <x:c r="L142" s="91" t="str">
        <x:v>平坦アシスト / TT牽引 / 石畳護衛 / 横風要員 / 逃げ屋 / 横風分断</x:v>
      </x:c>
      <x:c r="M142" s="88" t="n">
        <x:v>5850</x:v>
      </x:c>
      <x:c r="N142" s="85" t="n">
        <x:v>75</x:v>
      </x:c>
      <x:c r="O142" s="85" t="n">
        <x:v>70</x:v>
      </x:c>
      <x:c r="P142" s="85" t="n">
        <x:v>72</x:v>
      </x:c>
      <x:c r="Q142" s="85" t="n">
        <x:v>73</x:v>
      </x:c>
      <x:c r="R142" s="85" t="n">
        <x:v>68</x:v>
      </x:c>
      <x:c r="S142" s="85" t="n">
        <x:v>75</x:v>
      </x:c>
      <x:c r="T142" s="85" t="n">
        <x:v>76</x:v>
      </x:c>
      <x:c r="U142" s="85" t="n">
        <x:v>73</x:v>
      </x:c>
      <x:c r="V142" s="85" t="n">
        <x:v>81</x:v>
      </x:c>
      <x:c r="W142" s="85" t="n">
        <x:v>76</x:v>
      </x:c>
      <x:c r="X142" s="85" t="n">
        <x:v>68</x:v>
      </x:c>
      <x:c r="Y142" s="85" t="n">
        <x:v>70</x:v>
      </x:c>
      <x:c r="Z142" s="85" t="n">
        <x:v>77</x:v>
      </x:c>
      <x:c r="AA142" s="85" t="n">
        <x:v>67</x:v>
      </x:c>
      <x:c r="AB142" s="85" t="n">
        <x:v>78</x:v>
      </x:c>
      <x:c r="AC142" s="91" t="str">
        <x:v>2026 UCI WorldTeam名簿掲載</x:v>
      </x:c>
      <x:c r="AD142" s="91" t="str">
        <x:v>https://en.wikipedia.org/wiki/List_of_2026_UCI_WorldTeams_and_riders</x:v>
      </x:c>
      <x:c r="AE142" s="91" t="str">
        <x:v>能力・適性・Credit整合済</x:v>
      </x:c>
      <x:c r="AF142" s="91" t="str">
        <x:v>https://en.wikipedia.org/wiki/Joshua_Giddings_(cyclist)</x:v>
      </x:c>
    </x:row>
    <x:row r="143" ht="26" customHeight="1">
      <x:c r="A143" s="82" t="n">
        <x:v>139</x:v>
      </x:c>
      <x:c r="B143" s="82" t="str">
        <x:v>Edward Planckaert</x:v>
      </x:c>
      <x:c r="C143" s="143" t="str"/>
      <x:c r="D143" s="82" t="str">
        <x:v>ベルギー</x:v>
      </x:c>
      <x:c r="E143" s="82" t="str">
        <x:v>Alpecin–Premier Tech</x:v>
      </x:c>
      <x:c r="F143" s="82" t="str">
        <x:v>1995-02-01</x:v>
      </x:c>
      <x:c r="G143" s="82" t="str">
        <x:v>現役確認済</x:v>
      </x:c>
      <x:c r="H143" s="82" t="str">
        <x:v>クラシック型</x:v>
      </x:c>
      <x:c r="I143" s="82" t="str">
        <x:v>TT・ルーラー型</x:v>
      </x:c>
      <x:c r="J143" s="85" t="n">
        <x:v>73</x:v>
      </x:c>
      <x:c r="K143" s="85" t="n">
        <x:v>76</x:v>
      </x:c>
      <x:c r="L143" s="91" t="str">
        <x:v>TT牽引 / 石畳護衛 / 横風分断</x:v>
      </x:c>
      <x:c r="M143" s="88" t="n">
        <x:v>5800</x:v>
      </x:c>
      <x:c r="N143" s="85" t="n">
        <x:v>75</x:v>
      </x:c>
      <x:c r="O143" s="85" t="n">
        <x:v>70</x:v>
      </x:c>
      <x:c r="P143" s="85" t="n">
        <x:v>71</x:v>
      </x:c>
      <x:c r="Q143" s="85" t="n">
        <x:v>72</x:v>
      </x:c>
      <x:c r="R143" s="85" t="n">
        <x:v>65</x:v>
      </x:c>
      <x:c r="S143" s="85" t="n">
        <x:v>76</x:v>
      </x:c>
      <x:c r="T143" s="85" t="n">
        <x:v>80</x:v>
      </x:c>
      <x:c r="U143" s="85" t="n">
        <x:v>80</x:v>
      </x:c>
      <x:c r="V143" s="85" t="n">
        <x:v>76</x:v>
      </x:c>
      <x:c r="W143" s="85" t="n">
        <x:v>75</x:v>
      </x:c>
      <x:c r="X143" s="85" t="n">
        <x:v>71</x:v>
      </x:c>
      <x:c r="Y143" s="85" t="n">
        <x:v>67</x:v>
      </x:c>
      <x:c r="Z143" s="85" t="n">
        <x:v>73</x:v>
      </x:c>
      <x:c r="AA143" s="85" t="n">
        <x:v>67</x:v>
      </x:c>
      <x:c r="AB143" s="85" t="n">
        <x:v>74</x:v>
      </x:c>
      <x:c r="AC143" s="91" t="str">
        <x:v>2026 UCI WorldTeam名簿掲載</x:v>
      </x:c>
      <x:c r="AD143" s="91" t="str">
        <x:v>https://en.wikipedia.org/wiki/List_of_2026_UCI_WorldTeams_and_riders</x:v>
      </x:c>
      <x:c r="AE143" s="91" t="str">
        <x:v>能力・適性・Credit整合済</x:v>
      </x:c>
      <x:c r="AF143" s="91" t="str">
        <x:v>https://en.wikipedia.org/wiki/Edward_Planckaert</x:v>
      </x:c>
    </x:row>
    <x:row r="144" ht="26" customHeight="1">
      <x:c r="A144" s="82" t="n">
        <x:v>140</x:v>
      </x:c>
      <x:c r="B144" s="82" t="str">
        <x:v>Colby Simmons</x:v>
      </x:c>
      <x:c r="C144" s="143" t="str"/>
      <x:c r="D144" s="82" t="str">
        <x:v>アメリカ</x:v>
      </x:c>
      <x:c r="E144" s="82" t="str">
        <x:v>EF Education–EasyPost</x:v>
      </x:c>
      <x:c r="F144" s="82" t="str">
        <x:v>2003-10-16</x:v>
      </x:c>
      <x:c r="G144" s="82" t="str">
        <x:v>現役確認済</x:v>
      </x:c>
      <x:c r="H144" s="82" t="str">
        <x:v>クライマー</x:v>
      </x:c>
      <x:c r="I144" s="82" t="str">
        <x:v>スプリンター</x:v>
      </x:c>
      <x:c r="J144" s="85" t="n">
        <x:v>73</x:v>
      </x:c>
      <x:c r="K144" s="85" t="n">
        <x:v>75</x:v>
      </x:c>
      <x:c r="L144" s="91" t="str">
        <x:v>ロードキャプテン / スプリントトレイン / 山岳アシスト / 山岳番手</x:v>
      </x:c>
      <x:c r="M144" s="88" t="n">
        <x:v>5650</x:v>
      </x:c>
      <x:c r="N144" s="85" t="n">
        <x:v>63</x:v>
      </x:c>
      <x:c r="O144" s="85" t="n">
        <x:v>68</x:v>
      </x:c>
      <x:c r="P144" s="85" t="n">
        <x:v>69</x:v>
      </x:c>
      <x:c r="Q144" s="85" t="n">
        <x:v>63</x:v>
      </x:c>
      <x:c r="R144" s="85" t="n">
        <x:v>78</x:v>
      </x:c>
      <x:c r="S144" s="85" t="n">
        <x:v>76</x:v>
      </x:c>
      <x:c r="T144" s="85" t="n">
        <x:v>76</x:v>
      </x:c>
      <x:c r="U144" s="85" t="n">
        <x:v>69</x:v>
      </x:c>
      <x:c r="V144" s="85" t="n">
        <x:v>72</x:v>
      </x:c>
      <x:c r="W144" s="85" t="n">
        <x:v>58</x:v>
      </x:c>
      <x:c r="X144" s="85" t="n">
        <x:v>76</x:v>
      </x:c>
      <x:c r="Y144" s="85" t="n">
        <x:v>76</x:v>
      </x:c>
      <x:c r="Z144" s="85" t="n">
        <x:v>75</x:v>
      </x:c>
      <x:c r="AA144" s="85" t="n">
        <x:v>71</x:v>
      </x:c>
      <x:c r="AB144" s="85" t="n">
        <x:v>72</x:v>
      </x:c>
      <x:c r="AC144" s="91" t="str">
        <x:v>2026 UCI WorldTeam名簿掲載</x:v>
      </x:c>
      <x:c r="AD144" s="91" t="str">
        <x:v>https://en.wikipedia.org/wiki/List_of_2026_UCI_WorldTeams_and_riders</x:v>
      </x:c>
      <x:c r="AE144" s="91" t="str">
        <x:v>能力・適性・Credit整合済</x:v>
      </x:c>
      <x:c r="AF144" s="91" t="str">
        <x:v>https://en.wikipedia.org/wiki/Colby_Simmons</x:v>
      </x:c>
    </x:row>
    <x:row r="145" ht="26" customHeight="1">
      <x:c r="A145" s="82" t="n">
        <x:v>141</x:v>
      </x:c>
      <x:c r="B145" s="82" t="str">
        <x:v>Anton Schiffer</x:v>
      </x:c>
      <x:c r="C145" s="143" t="str"/>
      <x:c r="D145" s="82" t="str">
        <x:v>ドイツ</x:v>
      </x:c>
      <x:c r="E145" s="82" t="str">
        <x:v>Visma–Lease a Bike</x:v>
      </x:c>
      <x:c r="F145" s="82" t="str">
        <x:v>1999-09-01</x:v>
      </x:c>
      <x:c r="G145" s="82" t="str">
        <x:v>現役確認済</x:v>
      </x:c>
      <x:c r="H145" s="82" t="str">
        <x:v>クライマー</x:v>
      </x:c>
      <x:c r="I145" s="82" t="str">
        <x:v>パンチャー</x:v>
      </x:c>
      <x:c r="J145" s="85" t="n">
        <x:v>73</x:v>
      </x:c>
      <x:c r="K145" s="85" t="n">
        <x:v>73</x:v>
      </x:c>
      <x:c r="L145" s="91" t="str">
        <x:v>山岳賞ハンター / 山岳アシスト / 山岳ペースメーカー</x:v>
      </x:c>
      <x:c r="M145" s="88" t="n">
        <x:v>5600</x:v>
      </x:c>
      <x:c r="N145" s="85" t="n">
        <x:v>59</x:v>
      </x:c>
      <x:c r="O145" s="85" t="n">
        <x:v>68</x:v>
      </x:c>
      <x:c r="P145" s="85" t="n">
        <x:v>70</x:v>
      </x:c>
      <x:c r="Q145" s="85" t="n">
        <x:v>61</x:v>
      </x:c>
      <x:c r="R145" s="85" t="n">
        <x:v>81</x:v>
      </x:c>
      <x:c r="S145" s="85" t="n">
        <x:v>72</x:v>
      </x:c>
      <x:c r="T145" s="85" t="n">
        <x:v>74</x:v>
      </x:c>
      <x:c r="U145" s="85" t="n">
        <x:v>67</x:v>
      </x:c>
      <x:c r="V145" s="85" t="n">
        <x:v>64</x:v>
      </x:c>
      <x:c r="W145" s="85" t="n">
        <x:v>56</x:v>
      </x:c>
      <x:c r="X145" s="85" t="n">
        <x:v>78</x:v>
      </x:c>
      <x:c r="Y145" s="85" t="n">
        <x:v>77</x:v>
      </x:c>
      <x:c r="Z145" s="85" t="n">
        <x:v>73</x:v>
      </x:c>
      <x:c r="AA145" s="85" t="n">
        <x:v>70</x:v>
      </x:c>
      <x:c r="AB145" s="85" t="n">
        <x:v>69</x:v>
      </x:c>
      <x:c r="AC145" s="91" t="str">
        <x:v>2026 UCI WorldTeam名簿掲載</x:v>
      </x:c>
      <x:c r="AD145" s="91" t="str">
        <x:v>https://en.wikipedia.org/wiki/List_of_2026_UCI_WorldTeams_and_riders</x:v>
      </x:c>
      <x:c r="AE145" s="91" t="str">
        <x:v>能力・適性・Credit整合済</x:v>
      </x:c>
      <x:c r="AF145" s="91" t="str">
        <x:v>https://en.wikipedia.org/wiki/Anton_Schiffer</x:v>
      </x:c>
    </x:row>
    <x:row r="146" ht="26" customHeight="1">
      <x:c r="A146" s="82" t="n">
        <x:v>142</x:v>
      </x:c>
      <x:c r="B146" s="82" t="str">
        <x:v>Javier Romo</x:v>
      </x:c>
      <x:c r="C146" s="143" t="str"/>
      <x:c r="D146" s="82" t="str">
        <x:v>スペイン</x:v>
      </x:c>
      <x:c r="E146" s="82" t="str">
        <x:v>Movistar Team</x:v>
      </x:c>
      <x:c r="F146" s="82" t="str">
        <x:v>1999-01-06</x:v>
      </x:c>
      <x:c r="G146" s="82" t="str">
        <x:v>現役確認済</x:v>
      </x:c>
      <x:c r="H146" s="82" t="str">
        <x:v>クラシック型</x:v>
      </x:c>
      <x:c r="I146" s="82" t="str">
        <x:v>TT・ルーラー型</x:v>
      </x:c>
      <x:c r="J146" s="85" t="n">
        <x:v>73</x:v>
      </x:c>
      <x:c r="K146" s="85" t="n">
        <x:v>75</x:v>
      </x:c>
      <x:c r="L146" s="91" t="str">
        <x:v>TT牽引 / 石畳護衛 / 下り牽引 / ブレイクアウェイキラー / 横風要員 / 逃げ屋 / ブリッジャー</x:v>
      </x:c>
      <x:c r="M146" s="88" t="n">
        <x:v>5550</x:v>
      </x:c>
      <x:c r="N146" s="85" t="n">
        <x:v>75</x:v>
      </x:c>
      <x:c r="O146" s="85" t="n">
        <x:v>73</x:v>
      </x:c>
      <x:c r="P146" s="85" t="n">
        <x:v>74</x:v>
      </x:c>
      <x:c r="Q146" s="85" t="n">
        <x:v>77</x:v>
      </x:c>
      <x:c r="R146" s="85" t="n">
        <x:v>68</x:v>
      </x:c>
      <x:c r="S146" s="85" t="n">
        <x:v>71</x:v>
      </x:c>
      <x:c r="T146" s="85" t="n">
        <x:v>74</x:v>
      </x:c>
      <x:c r="U146" s="85" t="n">
        <x:v>81</x:v>
      </x:c>
      <x:c r="V146" s="85" t="n">
        <x:v>77</x:v>
      </x:c>
      <x:c r="W146" s="85" t="n">
        <x:v>70</x:v>
      </x:c>
      <x:c r="X146" s="85" t="n">
        <x:v>67</x:v>
      </x:c>
      <x:c r="Y146" s="85" t="n">
        <x:v>67</x:v>
      </x:c>
      <x:c r="Z146" s="85" t="n">
        <x:v>76</x:v>
      </x:c>
      <x:c r="AA146" s="85" t="n">
        <x:v>68</x:v>
      </x:c>
      <x:c r="AB146" s="85" t="n">
        <x:v>81</x:v>
      </x:c>
      <x:c r="AC146" s="91" t="str">
        <x:v>2026 UCI WorldTeam名簿掲載</x:v>
      </x:c>
      <x:c r="AD146" s="91" t="str">
        <x:v>https://en.wikipedia.org/wiki/List_of_2026_UCI_WorldTeams_and_riders</x:v>
      </x:c>
      <x:c r="AE146" s="91" t="str">
        <x:v>能力・適性・Credit整合済</x:v>
      </x:c>
      <x:c r="AF146" s="91" t="str">
        <x:v>https://en.wikipedia.org/wiki/Javier_Romo</x:v>
      </x:c>
    </x:row>
    <x:row r="147" ht="26" customHeight="1">
      <x:c r="A147" s="82" t="n">
        <x:v>143</x:v>
      </x:c>
      <x:c r="B147" s="82" t="str">
        <x:v>Magnus Cort</x:v>
      </x:c>
      <x:c r="C147" s="143" t="str"/>
      <x:c r="D147" s="82" t="str">
        <x:v>デンマーク</x:v>
      </x:c>
      <x:c r="E147" s="82" t="str">
        <x:v>Uno-X Mobility</x:v>
      </x:c>
      <x:c r="F147" s="82" t="str">
        <x:v>1993-01-16</x:v>
      </x:c>
      <x:c r="G147" s="82" t="str">
        <x:v>現役確認済</x:v>
      </x:c>
      <x:c r="H147" s="82" t="str">
        <x:v>パンチャー</x:v>
      </x:c>
      <x:c r="I147" s="82" t="str">
        <x:v>スプリンター</x:v>
      </x:c>
      <x:c r="J147" s="85" t="n">
        <x:v>73</x:v>
      </x:c>
      <x:c r="K147" s="85" t="n">
        <x:v>72</x:v>
      </x:c>
      <x:c r="L147" s="91" t="str">
        <x:v>ステージハンター / スプリントトレイン / 逃げ屋 / カウンターアタッカー / ポジションキーパー</x:v>
      </x:c>
      <x:c r="M147" s="88" t="n">
        <x:v>5400</x:v>
      </x:c>
      <x:c r="N147" s="85" t="n">
        <x:v>75</x:v>
      </x:c>
      <x:c r="O147" s="85" t="n">
        <x:v>75</x:v>
      </x:c>
      <x:c r="P147" s="85" t="n">
        <x:v>80</x:v>
      </x:c>
      <x:c r="Q147" s="85" t="n">
        <x:v>67</x:v>
      </x:c>
      <x:c r="R147" s="85" t="n">
        <x:v>72</x:v>
      </x:c>
      <x:c r="S147" s="85" t="n">
        <x:v>69</x:v>
      </x:c>
      <x:c r="T147" s="85" t="n">
        <x:v>70</x:v>
      </x:c>
      <x:c r="U147" s="85" t="n">
        <x:v>79</x:v>
      </x:c>
      <x:c r="V147" s="85" t="n">
        <x:v>79</x:v>
      </x:c>
      <x:c r="W147" s="85" t="n">
        <x:v>60</x:v>
      </x:c>
      <x:c r="X147" s="85" t="n">
        <x:v>70</x:v>
      </x:c>
      <x:c r="Y147" s="85" t="n">
        <x:v>72</x:v>
      </x:c>
      <x:c r="Z147" s="85" t="n">
        <x:v>68</x:v>
      </x:c>
      <x:c r="AA147" s="85" t="n">
        <x:v>74</x:v>
      </x:c>
      <x:c r="AB147" s="85" t="n">
        <x:v>80</x:v>
      </x:c>
      <x:c r="AC147" s="91" t="str">
        <x:v>2026 UCI WorldTeam名簿掲載</x:v>
      </x:c>
      <x:c r="AD147" s="91" t="str">
        <x:v>https://en.wikipedia.org/wiki/List_of_2026_UCI_WorldTeams_and_riders</x:v>
      </x:c>
      <x:c r="AE147" s="91" t="str">
        <x:v>能力・適性・Credit整合済</x:v>
      </x:c>
      <x:c r="AF147" s="91" t="str">
        <x:v>https://en.wikipedia.org/wiki/Magnus_Cort</x:v>
      </x:c>
    </x:row>
    <x:row r="148" ht="26" customHeight="1">
      <x:c r="A148" s="82" t="n">
        <x:v>144</x:v>
      </x:c>
      <x:c r="B148" s="82" t="str">
        <x:v>Christian Scaroni</x:v>
      </x:c>
      <x:c r="C148" s="143" t="str"/>
      <x:c r="D148" s="82" t="str">
        <x:v>イタリア</x:v>
      </x:c>
      <x:c r="E148" s="82" t="str">
        <x:v>XDS Astana Team</x:v>
      </x:c>
      <x:c r="F148" s="82" t="str">
        <x:v>1997-10-16</x:v>
      </x:c>
      <x:c r="G148" s="82" t="str">
        <x:v>現役確認済</x:v>
      </x:c>
      <x:c r="H148" s="82" t="str">
        <x:v>パンチャー</x:v>
      </x:c>
      <x:c r="I148" s="82" t="str">
        <x:v>クラシック型</x:v>
      </x:c>
      <x:c r="J148" s="85" t="n">
        <x:v>73</x:v>
      </x:c>
      <x:c r="K148" s="85" t="n">
        <x:v>73</x:v>
      </x:c>
      <x:c r="L148" s="91" t="str">
        <x:v>ステージハンター / 逃げ屋 / カウンターアタッカー</x:v>
      </x:c>
      <x:c r="M148" s="88" t="n">
        <x:v>5350</x:v>
      </x:c>
      <x:c r="N148" s="85" t="n">
        <x:v>70</x:v>
      </x:c>
      <x:c r="O148" s="85" t="n">
        <x:v>75</x:v>
      </x:c>
      <x:c r="P148" s="85" t="n">
        <x:v>79</x:v>
      </x:c>
      <x:c r="Q148" s="85" t="n">
        <x:v>68</x:v>
      </x:c>
      <x:c r="R148" s="85" t="n">
        <x:v>71</x:v>
      </x:c>
      <x:c r="S148" s="85" t="n">
        <x:v>70</x:v>
      </x:c>
      <x:c r="T148" s="85" t="n">
        <x:v>71</x:v>
      </x:c>
      <x:c r="U148" s="85" t="n">
        <x:v>75</x:v>
      </x:c>
      <x:c r="V148" s="85" t="n">
        <x:v>77</x:v>
      </x:c>
      <x:c r="W148" s="85" t="n">
        <x:v>63</x:v>
      </x:c>
      <x:c r="X148" s="85" t="n">
        <x:v>72</x:v>
      </x:c>
      <x:c r="Y148" s="85" t="n">
        <x:v>71</x:v>
      </x:c>
      <x:c r="Z148" s="85" t="n">
        <x:v>71</x:v>
      </x:c>
      <x:c r="AA148" s="85" t="n">
        <x:v>73</x:v>
      </x:c>
      <x:c r="AB148" s="85" t="n">
        <x:v>79</x:v>
      </x:c>
      <x:c r="AC148" s="91" t="str">
        <x:v>2026 UCI WorldTeam名簿掲載</x:v>
      </x:c>
      <x:c r="AD148" s="91" t="str">
        <x:v>https://en.wikipedia.org/wiki/List_of_2026_UCI_WorldTeams_and_riders</x:v>
      </x:c>
      <x:c r="AE148" s="91" t="str">
        <x:v>能力・適性・Credit整合済</x:v>
      </x:c>
      <x:c r="AF148" s="91" t="str">
        <x:v>https://en.wikipedia.org/wiki/Christian_Scaroni</x:v>
      </x:c>
    </x:row>
    <x:row r="149" ht="26" customHeight="1">
      <x:c r="A149" s="82" t="n">
        <x:v>145</x:v>
      </x:c>
      <x:c r="B149" s="82" t="str">
        <x:v>Cristián Rodríguez (cyclist)</x:v>
      </x:c>
      <x:c r="C149" s="143" t="str"/>
      <x:c r="D149" s="82" t="str">
        <x:v>スペイン</x:v>
      </x:c>
      <x:c r="E149" s="82" t="str">
        <x:v>XDS Astana Team</x:v>
      </x:c>
      <x:c r="F149" s="82" t="str">
        <x:v>1995-03-03</x:v>
      </x:c>
      <x:c r="G149" s="82" t="str">
        <x:v>現役確認済</x:v>
      </x:c>
      <x:c r="H149" s="82" t="str">
        <x:v>クライマー</x:v>
      </x:c>
      <x:c r="I149" s="82" t="str">
        <x:v>TT・ルーラー型</x:v>
      </x:c>
      <x:c r="J149" s="85" t="n">
        <x:v>73</x:v>
      </x:c>
      <x:c r="K149" s="85" t="n">
        <x:v>73</x:v>
      </x:c>
      <x:c r="L149" s="91" t="str">
        <x:v>山岳賞ハンター / 山岳アシスト / 山岳番手</x:v>
      </x:c>
      <x:c r="M149" s="88" t="n">
        <x:v>5300</x:v>
      </x:c>
      <x:c r="N149" s="85" t="n">
        <x:v>62</x:v>
      </x:c>
      <x:c r="O149" s="85" t="n">
        <x:v>68</x:v>
      </x:c>
      <x:c r="P149" s="85" t="n">
        <x:v>67</x:v>
      </x:c>
      <x:c r="Q149" s="85" t="n">
        <x:v>66</x:v>
      </x:c>
      <x:c r="R149" s="85" t="n">
        <x:v>78</x:v>
      </x:c>
      <x:c r="S149" s="85" t="n">
        <x:v>77</x:v>
      </x:c>
      <x:c r="T149" s="85" t="n">
        <x:v>70</x:v>
      </x:c>
      <x:c r="U149" s="85" t="n">
        <x:v>64</x:v>
      </x:c>
      <x:c r="V149" s="85" t="n">
        <x:v>65</x:v>
      </x:c>
      <x:c r="W149" s="85" t="n">
        <x:v>57</x:v>
      </x:c>
      <x:c r="X149" s="85" t="n">
        <x:v>77</x:v>
      </x:c>
      <x:c r="Y149" s="85" t="n">
        <x:v>76</x:v>
      </x:c>
      <x:c r="Z149" s="85" t="n">
        <x:v>71</x:v>
      </x:c>
      <x:c r="AA149" s="85" t="n">
        <x:v>68</x:v>
      </x:c>
      <x:c r="AB149" s="85" t="n">
        <x:v>69</x:v>
      </x:c>
      <x:c r="AC149" s="91" t="str">
        <x:v>2026 UCI WorldTeam名簿掲載</x:v>
      </x:c>
      <x:c r="AD149" s="91" t="str">
        <x:v>https://en.wikipedia.org/wiki/List_of_2026_UCI_WorldTeams_and_riders</x:v>
      </x:c>
      <x:c r="AE149" s="91" t="str">
        <x:v>能力・適性・Credit整合済</x:v>
      </x:c>
      <x:c r="AF149" s="91" t="str">
        <x:v>https://en.wikipedia.org/wiki/Cristi%C3%A1n_Rodr%C3%ADguez_(cyclist)</x:v>
      </x:c>
    </x:row>
    <x:row r="150" ht="26" customHeight="1">
      <x:c r="A150" s="82" t="n">
        <x:v>146</x:v>
      </x:c>
      <x:c r="B150" s="82" t="str">
        <x:v>Gianluca Pollefliet</x:v>
      </x:c>
      <x:c r="C150" s="143" t="str"/>
      <x:c r="D150" s="82" t="str">
        <x:v>ベルギー</x:v>
      </x:c>
      <x:c r="E150" s="82" t="str">
        <x:v>Decathlon–CMA CGM</x:v>
      </x:c>
      <x:c r="F150" s="82" t="str">
        <x:v>2002-01-28</x:v>
      </x:c>
      <x:c r="G150" s="82" t="str">
        <x:v>現役確認済</x:v>
      </x:c>
      <x:c r="H150" s="82" t="str">
        <x:v>クラシック型</x:v>
      </x:c>
      <x:c r="I150" s="82" t="str">
        <x:v>クライマー</x:v>
      </x:c>
      <x:c r="J150" s="85" t="n">
        <x:v>73</x:v>
      </x:c>
      <x:c r="K150" s="85" t="n">
        <x:v>75</x:v>
      </x:c>
      <x:c r="L150" s="91" t="str">
        <x:v>山岳賞ハンター / 石畳護衛 / 下り牽引 / ブレイクアウェイキラー / 横風要員 / 逃げ屋 / 超ロングスパート</x:v>
      </x:c>
      <x:c r="M150" s="88" t="n">
        <x:v>5200</x:v>
      </x:c>
      <x:c r="N150" s="85" t="n">
        <x:v>72</x:v>
      </x:c>
      <x:c r="O150" s="85" t="n">
        <x:v>71</x:v>
      </x:c>
      <x:c r="P150" s="85" t="n">
        <x:v>72</x:v>
      </x:c>
      <x:c r="Q150" s="85" t="n">
        <x:v>75</x:v>
      </x:c>
      <x:c r="R150" s="85" t="n">
        <x:v>62</x:v>
      </x:c>
      <x:c r="S150" s="85" t="n">
        <x:v>73</x:v>
      </x:c>
      <x:c r="T150" s="85" t="n">
        <x:v>71</x:v>
      </x:c>
      <x:c r="U150" s="85" t="n">
        <x:v>78</x:v>
      </x:c>
      <x:c r="V150" s="85" t="n">
        <x:v>79</x:v>
      </x:c>
      <x:c r="W150" s="85" t="n">
        <x:v>70</x:v>
      </x:c>
      <x:c r="X150" s="85" t="n">
        <x:v>68</x:v>
      </x:c>
      <x:c r="Y150" s="85" t="n">
        <x:v>68</x:v>
      </x:c>
      <x:c r="Z150" s="85" t="n">
        <x:v>74</x:v>
      </x:c>
      <x:c r="AA150" s="85" t="n">
        <x:v>69</x:v>
      </x:c>
      <x:c r="AB150" s="85" t="n">
        <x:v>77</x:v>
      </x:c>
      <x:c r="AC150" s="91" t="str">
        <x:v>2026 UCI WorldTeam名簿掲載</x:v>
      </x:c>
      <x:c r="AD150" s="91" t="str">
        <x:v>https://en.wikipedia.org/wiki/List_of_2026_UCI_WorldTeams_and_riders</x:v>
      </x:c>
      <x:c r="AE150" s="91" t="str">
        <x:v>能力・適性・Credit整合済</x:v>
      </x:c>
      <x:c r="AF150" s="91" t="str">
        <x:v>https://en.wikipedia.org/wiki/Gianluca_Pollefliet</x:v>
      </x:c>
    </x:row>
    <x:row r="151" ht="26" customHeight="1">
      <x:c r="A151" s="82" t="n">
        <x:v>147</x:v>
      </x:c>
      <x:c r="B151" s="82" t="str">
        <x:v>Georg Steinhauser</x:v>
      </x:c>
      <x:c r="C151" s="143" t="str"/>
      <x:c r="D151" s="82" t="str">
        <x:v>ドイツ</x:v>
      </x:c>
      <x:c r="E151" s="82" t="str">
        <x:v>EF Education–EasyPost</x:v>
      </x:c>
      <x:c r="F151" s="82" t="str">
        <x:v>2001-10-21</x:v>
      </x:c>
      <x:c r="G151" s="82" t="str">
        <x:v>現役確認済</x:v>
      </x:c>
      <x:c r="H151" s="82" t="str">
        <x:v>総合型</x:v>
      </x:c>
      <x:c r="I151" s="82" t="str">
        <x:v>TT・ルーラー型</x:v>
      </x:c>
      <x:c r="J151" s="85" t="n">
        <x:v>73</x:v>
      </x:c>
      <x:c r="K151" s="85" t="n">
        <x:v>73</x:v>
      </x:c>
      <x:c r="L151" s="91" t="str">
        <x:v>山岳アシスト</x:v>
      </x:c>
      <x:c r="M151" s="88" t="n">
        <x:v>5200</x:v>
      </x:c>
      <x:c r="N151" s="85" t="n">
        <x:v>62</x:v>
      </x:c>
      <x:c r="O151" s="85" t="n">
        <x:v>65</x:v>
      </x:c>
      <x:c r="P151" s="85" t="n">
        <x:v>71</x:v>
      </x:c>
      <x:c r="Q151" s="85" t="n">
        <x:v>69</x:v>
      </x:c>
      <x:c r="R151" s="85" t="n">
        <x:v>74</x:v>
      </x:c>
      <x:c r="S151" s="85" t="n">
        <x:v>80</x:v>
      </x:c>
      <x:c r="T151" s="85" t="n">
        <x:v>77</x:v>
      </x:c>
      <x:c r="U151" s="85" t="n">
        <x:v>65</x:v>
      </x:c>
      <x:c r="V151" s="85" t="n">
        <x:v>65</x:v>
      </x:c>
      <x:c r="W151" s="85" t="n">
        <x:v>58</x:v>
      </x:c>
      <x:c r="X151" s="85" t="n">
        <x:v>79</x:v>
      </x:c>
      <x:c r="Y151" s="85" t="n">
        <x:v>79</x:v>
      </x:c>
      <x:c r="Z151" s="85" t="n">
        <x:v>64</x:v>
      </x:c>
      <x:c r="AA151" s="85" t="n">
        <x:v>71</x:v>
      </x:c>
      <x:c r="AB151" s="85" t="n">
        <x:v>68</x:v>
      </x:c>
      <x:c r="AC151" s="91" t="str">
        <x:v>2026 UCI WorldTeam名簿掲載</x:v>
      </x:c>
      <x:c r="AD151" s="91" t="str">
        <x:v>https://en.wikipedia.org/wiki/List_of_2026_UCI_WorldTeams_and_riders</x:v>
      </x:c>
      <x:c r="AE151" s="91" t="str">
        <x:v>能力・適性・Credit整合済</x:v>
      </x:c>
      <x:c r="AF151" s="91" t="str">
        <x:v>https://en.wikipedia.org/wiki/Georg_Steinhauser</x:v>
      </x:c>
    </x:row>
    <x:row r="152" ht="26" customHeight="1">
      <x:c r="A152" s="82" t="n">
        <x:v>148</x:v>
      </x:c>
      <x:c r="B152" s="82" t="str">
        <x:v>Ben Tulett</x:v>
      </x:c>
      <x:c r="C152" s="143" t="str"/>
      <x:c r="D152" s="82" t="str">
        <x:v>イギリス</x:v>
      </x:c>
      <x:c r="E152" s="82" t="str">
        <x:v>Visma–Lease a Bike</x:v>
      </x:c>
      <x:c r="F152" s="82" t="str">
        <x:v>2001-08-26</x:v>
      </x:c>
      <x:c r="G152" s="82" t="str">
        <x:v>現役確認済</x:v>
      </x:c>
      <x:c r="H152" s="82" t="str">
        <x:v>パンチャー</x:v>
      </x:c>
      <x:c r="I152" s="82" t="str">
        <x:v>総合型</x:v>
      </x:c>
      <x:c r="J152" s="85" t="n">
        <x:v>73</x:v>
      </x:c>
      <x:c r="K152" s="85" t="n">
        <x:v>70</x:v>
      </x:c>
      <x:c r="L152" s="91" t="str">
        <x:v>ステージハンター / 山岳賞ハンター / 下り牽引 / 集団コントローラー / カウンターアタッカー / 無賃乗車</x:v>
      </x:c>
      <x:c r="M152" s="88" t="n">
        <x:v>5150</x:v>
      </x:c>
      <x:c r="N152" s="85" t="n">
        <x:v>70</x:v>
      </x:c>
      <x:c r="O152" s="85" t="n">
        <x:v>77</x:v>
      </x:c>
      <x:c r="P152" s="85" t="n">
        <x:v>80</x:v>
      </x:c>
      <x:c r="Q152" s="85" t="n">
        <x:v>68</x:v>
      </x:c>
      <x:c r="R152" s="85" t="n">
        <x:v>73</x:v>
      </x:c>
      <x:c r="S152" s="85" t="n">
        <x:v>67</x:v>
      </x:c>
      <x:c r="T152" s="85" t="n">
        <x:v>70</x:v>
      </x:c>
      <x:c r="U152" s="85" t="n">
        <x:v>74</x:v>
      </x:c>
      <x:c r="V152" s="85" t="n">
        <x:v>74</x:v>
      </x:c>
      <x:c r="W152" s="85" t="n">
        <x:v>61</x:v>
      </x:c>
      <x:c r="X152" s="85" t="n">
        <x:v>68</x:v>
      </x:c>
      <x:c r="Y152" s="85" t="n">
        <x:v>73</x:v>
      </x:c>
      <x:c r="Z152" s="85" t="n">
        <x:v>66</x:v>
      </x:c>
      <x:c r="AA152" s="85" t="n">
        <x:v>74</x:v>
      </x:c>
      <x:c r="AB152" s="85" t="n">
        <x:v>76</x:v>
      </x:c>
      <x:c r="AC152" s="91" t="str">
        <x:v>2026 UCI WorldTeam名簿掲載</x:v>
      </x:c>
      <x:c r="AD152" s="91" t="str">
        <x:v>https://en.wikipedia.org/wiki/List_of_2026_UCI_WorldTeams_and_riders</x:v>
      </x:c>
      <x:c r="AE152" s="91" t="str">
        <x:v>能力・適性・Credit整合済</x:v>
      </x:c>
      <x:c r="AF152" s="91" t="str">
        <x:v>https://en.wikipedia.org/wiki/Ben_Tulett</x:v>
      </x:c>
    </x:row>
    <x:row r="153" ht="26" customHeight="1">
      <x:c r="A153" s="82" t="n">
        <x:v>149</x:v>
      </x:c>
      <x:c r="B153" s="82" t="str">
        <x:v>Andrew August</x:v>
      </x:c>
      <x:c r="C153" s="143" t="str"/>
      <x:c r="D153" s="82" t="str">
        <x:v>アメリカ</x:v>
      </x:c>
      <x:c r="E153" s="82" t="str">
        <x:v>Netcompany INEOS Cycling Team</x:v>
      </x:c>
      <x:c r="F153" s="82" t="str">
        <x:v>2005-10-12</x:v>
      </x:c>
      <x:c r="G153" s="82" t="str">
        <x:v>現役確認済</x:v>
      </x:c>
      <x:c r="H153" s="82" t="str">
        <x:v>パンチャー</x:v>
      </x:c>
      <x:c r="I153" s="82" t="str">
        <x:v>クラシック型</x:v>
      </x:c>
      <x:c r="J153" s="85" t="n">
        <x:v>73</x:v>
      </x:c>
      <x:c r="K153" s="85" t="n">
        <x:v>70</x:v>
      </x:c>
      <x:c r="L153" s="91" t="str">
        <x:v>ステージハンター / 逃げ屋 / ブリッジャー</x:v>
      </x:c>
      <x:c r="M153" s="88" t="n">
        <x:v>5100</x:v>
      </x:c>
      <x:c r="N153" s="85" t="n">
        <x:v>74</x:v>
      </x:c>
      <x:c r="O153" s="85" t="n">
        <x:v>75</x:v>
      </x:c>
      <x:c r="P153" s="85" t="n">
        <x:v>79</x:v>
      </x:c>
      <x:c r="Q153" s="85" t="n">
        <x:v>70</x:v>
      </x:c>
      <x:c r="R153" s="85" t="n">
        <x:v>72</x:v>
      </x:c>
      <x:c r="S153" s="85" t="n">
        <x:v>68</x:v>
      </x:c>
      <x:c r="T153" s="85" t="n">
        <x:v>71</x:v>
      </x:c>
      <x:c r="U153" s="85" t="n">
        <x:v>71</x:v>
      </x:c>
      <x:c r="V153" s="85" t="n">
        <x:v>74</x:v>
      </x:c>
      <x:c r="W153" s="85" t="n">
        <x:v>62</x:v>
      </x:c>
      <x:c r="X153" s="85" t="n">
        <x:v>72</x:v>
      </x:c>
      <x:c r="Y153" s="85" t="n">
        <x:v>72</x:v>
      </x:c>
      <x:c r="Z153" s="85" t="n">
        <x:v>62</x:v>
      </x:c>
      <x:c r="AA153" s="85" t="n">
        <x:v>73</x:v>
      </x:c>
      <x:c r="AB153" s="85" t="n">
        <x:v>75</x:v>
      </x:c>
      <x:c r="AC153" s="91" t="str">
        <x:v>2026 UCI WorldTeam名簿掲載</x:v>
      </x:c>
      <x:c r="AD153" s="91" t="str">
        <x:v>https://en.wikipedia.org/wiki/List_of_2026_UCI_WorldTeams_and_riders</x:v>
      </x:c>
      <x:c r="AE153" s="91" t="str">
        <x:v>能力・適性・Credit整合済</x:v>
      </x:c>
      <x:c r="AF153" s="91" t="str">
        <x:v>https://en.wikipedia.org/wiki/Andrew_August</x:v>
      </x:c>
    </x:row>
    <x:row r="154" ht="26" customHeight="1">
      <x:c r="A154" s="82" t="n">
        <x:v>150</x:v>
      </x:c>
      <x:c r="B154" s="82" t="str">
        <x:v>Bram Welten</x:v>
      </x:c>
      <x:c r="C154" s="143" t="str"/>
      <x:c r="D154" s="82" t="str">
        <x:v>オランダ</x:v>
      </x:c>
      <x:c r="E154" s="82" t="str">
        <x:v>Team Picnic–PostNL</x:v>
      </x:c>
      <x:c r="F154" s="82" t="str">
        <x:v>1997-03-29</x:v>
      </x:c>
      <x:c r="G154" s="82" t="str">
        <x:v>現役確認済</x:v>
      </x:c>
      <x:c r="H154" s="82" t="str">
        <x:v>パンチャー</x:v>
      </x:c>
      <x:c r="I154" s="82" t="str">
        <x:v>クライマー</x:v>
      </x:c>
      <x:c r="J154" s="85" t="n">
        <x:v>73</x:v>
      </x:c>
      <x:c r="K154" s="85" t="n">
        <x:v>71</x:v>
      </x:c>
      <x:c r="L154" s="91" t="str">
        <x:v>ステージハンター / 山岳賞ハンター</x:v>
      </x:c>
      <x:c r="M154" s="88" t="n">
        <x:v>5050</x:v>
      </x:c>
      <x:c r="N154" s="85" t="n">
        <x:v>69</x:v>
      </x:c>
      <x:c r="O154" s="85" t="n">
        <x:v>78</x:v>
      </x:c>
      <x:c r="P154" s="85" t="n">
        <x:v>81</x:v>
      </x:c>
      <x:c r="Q154" s="85" t="n">
        <x:v>69</x:v>
      </x:c>
      <x:c r="R154" s="85" t="n">
        <x:v>72</x:v>
      </x:c>
      <x:c r="S154" s="85" t="n">
        <x:v>68</x:v>
      </x:c>
      <x:c r="T154" s="85" t="n">
        <x:v>69</x:v>
      </x:c>
      <x:c r="U154" s="85" t="n">
        <x:v>70</x:v>
      </x:c>
      <x:c r="V154" s="85" t="n">
        <x:v>73</x:v>
      </x:c>
      <x:c r="W154" s="85" t="n">
        <x:v>58</x:v>
      </x:c>
      <x:c r="X154" s="85" t="n">
        <x:v>67</x:v>
      </x:c>
      <x:c r="Y154" s="85" t="n">
        <x:v>67</x:v>
      </x:c>
      <x:c r="Z154" s="85" t="n">
        <x:v>67</x:v>
      </x:c>
      <x:c r="AA154" s="85" t="n">
        <x:v>75</x:v>
      </x:c>
      <x:c r="AB154" s="85" t="n">
        <x:v>72</x:v>
      </x:c>
      <x:c r="AC154" s="91" t="str">
        <x:v>2026 UCI WorldTeam名簿掲載</x:v>
      </x:c>
      <x:c r="AD154" s="91" t="str">
        <x:v>https://en.wikipedia.org/wiki/List_of_2026_UCI_WorldTeams_and_riders</x:v>
      </x:c>
      <x:c r="AE154" s="91" t="str">
        <x:v>能力・適性・Credit整合済</x:v>
      </x:c>
      <x:c r="AF154" s="91" t="str">
        <x:v>https://en.wikipedia.org/wiki/Bram_Welten</x:v>
      </x:c>
    </x:row>
    <x:row r="155" ht="26" customHeight="1">
      <x:c r="A155" s="82" t="n">
        <x:v>151</x:v>
      </x:c>
      <x:c r="B155" s="82" t="str">
        <x:v>Ben O'Connor (cyclist)</x:v>
      </x:c>
      <x:c r="C155" s="143" t="str"/>
      <x:c r="D155" s="82" t="str">
        <x:v>オーストラリア</x:v>
      </x:c>
      <x:c r="E155" s="82" t="str">
        <x:v>Team Jayco–AlUla</x:v>
      </x:c>
      <x:c r="F155" s="82" t="str">
        <x:v>1995-11-25</x:v>
      </x:c>
      <x:c r="G155" s="82" t="str">
        <x:v>現役確認済</x:v>
      </x:c>
      <x:c r="H155" s="82" t="str">
        <x:v>総合型</x:v>
      </x:c>
      <x:c r="I155" s="82" t="str">
        <x:v>スプリンター</x:v>
      </x:c>
      <x:c r="J155" s="85" t="n">
        <x:v>73</x:v>
      </x:c>
      <x:c r="K155" s="85" t="n">
        <x:v>74</x:v>
      </x:c>
      <x:c r="L155" s="91" t="str">
        <x:v>スプリントトレイン / 山岳アシスト / 山岳番手</x:v>
      </x:c>
      <x:c r="M155" s="88" t="n">
        <x:v>5000</x:v>
      </x:c>
      <x:c r="N155" s="85" t="n">
        <x:v>59</x:v>
      </x:c>
      <x:c r="O155" s="85" t="n">
        <x:v>69</x:v>
      </x:c>
      <x:c r="P155" s="85" t="n">
        <x:v>70</x:v>
      </x:c>
      <x:c r="Q155" s="85" t="n">
        <x:v>73</x:v>
      </x:c>
      <x:c r="R155" s="85" t="n">
        <x:v>74</x:v>
      </x:c>
      <x:c r="S155" s="85" t="n">
        <x:v>73</x:v>
      </x:c>
      <x:c r="T155" s="85" t="n">
        <x:v>76</x:v>
      </x:c>
      <x:c r="U155" s="85" t="n">
        <x:v>67</x:v>
      </x:c>
      <x:c r="V155" s="85" t="n">
        <x:v>67</x:v>
      </x:c>
      <x:c r="W155" s="85" t="n">
        <x:v>58</x:v>
      </x:c>
      <x:c r="X155" s="85" t="n">
        <x:v>76</x:v>
      </x:c>
      <x:c r="Y155" s="85" t="n">
        <x:v>78</x:v>
      </x:c>
      <x:c r="Z155" s="85" t="n">
        <x:v>69</x:v>
      </x:c>
      <x:c r="AA155" s="85" t="n">
        <x:v>75</x:v>
      </x:c>
      <x:c r="AB155" s="85" t="n">
        <x:v>66</x:v>
      </x:c>
      <x:c r="AC155" s="91" t="str">
        <x:v>2026 UCI WorldTeam名簿掲載</x:v>
      </x:c>
      <x:c r="AD155" s="91" t="str">
        <x:v>https://en.wikipedia.org/wiki/List_of_2026_UCI_WorldTeams_and_riders</x:v>
      </x:c>
      <x:c r="AE155" s="91" t="str">
        <x:v>能力・適性・Credit整合済</x:v>
      </x:c>
      <x:c r="AF155" s="91" t="str">
        <x:v>https://en.wikipedia.org/wiki/Ben_O'Connor_(cyclist)</x:v>
      </x:c>
    </x:row>
    <x:row r="156" ht="26" customHeight="1">
      <x:c r="A156" s="82" t="n">
        <x:v>152</x:v>
      </x:c>
      <x:c r="B156" s="82" t="str">
        <x:v>Henrik Pedersen (cyclist)</x:v>
      </x:c>
      <x:c r="C156" s="143" t="str"/>
      <x:c r="D156" s="82" t="str">
        <x:v>デンマーク</x:v>
      </x:c>
      <x:c r="E156" s="82" t="str">
        <x:v>Uno-X Mobility</x:v>
      </x:c>
      <x:c r="F156" s="82" t="str">
        <x:v>2004-12-03</x:v>
      </x:c>
      <x:c r="G156" s="82" t="str">
        <x:v>現役確認済</x:v>
      </x:c>
      <x:c r="H156" s="82" t="str">
        <x:v>パンチャー</x:v>
      </x:c>
      <x:c r="I156" s="82" t="str">
        <x:v>クライマー</x:v>
      </x:c>
      <x:c r="J156" s="85" t="n">
        <x:v>73</x:v>
      </x:c>
      <x:c r="K156" s="85" t="n">
        <x:v>70</x:v>
      </x:c>
      <x:c r="L156" s="91" t="str">
        <x:v>ロードキャプテン / ステージハンター / 山岳賞ハンター / カウンターアタッカー / ポジションキーパー</x:v>
      </x:c>
      <x:c r="M156" s="88" t="n">
        <x:v>4900</x:v>
      </x:c>
      <x:c r="N156" s="85" t="n">
        <x:v>69</x:v>
      </x:c>
      <x:c r="O156" s="85" t="n">
        <x:v>77</x:v>
      </x:c>
      <x:c r="P156" s="85" t="n">
        <x:v>79</x:v>
      </x:c>
      <x:c r="Q156" s="85" t="n">
        <x:v>68</x:v>
      </x:c>
      <x:c r="R156" s="85" t="n">
        <x:v>73</x:v>
      </x:c>
      <x:c r="S156" s="85" t="n">
        <x:v>66</x:v>
      </x:c>
      <x:c r="T156" s="85" t="n">
        <x:v>66</x:v>
      </x:c>
      <x:c r="U156" s="85" t="n">
        <x:v>75</x:v>
      </x:c>
      <x:c r="V156" s="85" t="n">
        <x:v>74</x:v>
      </x:c>
      <x:c r="W156" s="85" t="n">
        <x:v>56</x:v>
      </x:c>
      <x:c r="X156" s="85" t="n">
        <x:v>71</x:v>
      </x:c>
      <x:c r="Y156" s="85" t="n">
        <x:v>66</x:v>
      </x:c>
      <x:c r="Z156" s="85" t="n">
        <x:v>68</x:v>
      </x:c>
      <x:c r="AA156" s="85" t="n">
        <x:v>72</x:v>
      </x:c>
      <x:c r="AB156" s="85" t="n">
        <x:v>75</x:v>
      </x:c>
      <x:c r="AC156" s="91" t="str">
        <x:v>2026 UCI WorldTeam名簿掲載</x:v>
      </x:c>
      <x:c r="AD156" s="91" t="str">
        <x:v>https://en.wikipedia.org/wiki/List_of_2026_UCI_WorldTeams_and_riders</x:v>
      </x:c>
      <x:c r="AE156" s="91" t="str">
        <x:v>能力・適性・Credit整合済</x:v>
      </x:c>
      <x:c r="AF156" s="91" t="str">
        <x:v>https://en.wikipedia.org/wiki/Henrik_Pedersen_(cyclist)</x:v>
      </x:c>
    </x:row>
    <x:row r="157" ht="26" customHeight="1">
      <x:c r="A157" s="82" t="n">
        <x:v>153</x:v>
      </x:c>
      <x:c r="B157" s="82" t="str">
        <x:v>Guillermo Thomas Silva</x:v>
      </x:c>
      <x:c r="C157" s="143" t="str"/>
      <x:c r="D157" s="82" t="str">
        <x:v>URU</x:v>
      </x:c>
      <x:c r="E157" s="82" t="str">
        <x:v>XDS Astana Team</x:v>
      </x:c>
      <x:c r="F157" s="82" t="str">
        <x:v>2001-12-30</x:v>
      </x:c>
      <x:c r="G157" s="82" t="str">
        <x:v>現役確認済</x:v>
      </x:c>
      <x:c r="H157" s="82" t="str">
        <x:v>パンチャー</x:v>
      </x:c>
      <x:c r="I157" s="82" t="str">
        <x:v>TT・ルーラー型</x:v>
      </x:c>
      <x:c r="J157" s="85" t="n">
        <x:v>73</x:v>
      </x:c>
      <x:c r="K157" s="85" t="n">
        <x:v>71</x:v>
      </x:c>
      <x:c r="L157" s="91" t="str">
        <x:v>ステージハンター / 山岳アシスト / 逃げ屋 / カウンターアタッカー</x:v>
      </x:c>
      <x:c r="M157" s="88" t="n">
        <x:v>4750</x:v>
      </x:c>
      <x:c r="N157" s="85" t="n">
        <x:v>69</x:v>
      </x:c>
      <x:c r="O157" s="85" t="n">
        <x:v>74</x:v>
      </x:c>
      <x:c r="P157" s="85" t="n">
        <x:v>77</x:v>
      </x:c>
      <x:c r="Q157" s="85" t="n">
        <x:v>67</x:v>
      </x:c>
      <x:c r="R157" s="85" t="n">
        <x:v>73</x:v>
      </x:c>
      <x:c r="S157" s="85" t="n">
        <x:v>68</x:v>
      </x:c>
      <x:c r="T157" s="85" t="n">
        <x:v>65</x:v>
      </x:c>
      <x:c r="U157" s="85" t="n">
        <x:v>77</x:v>
      </x:c>
      <x:c r="V157" s="85" t="n">
        <x:v>73</x:v>
      </x:c>
      <x:c r="W157" s="85" t="n">
        <x:v>54</x:v>
      </x:c>
      <x:c r="X157" s="85" t="n">
        <x:v>67</x:v>
      </x:c>
      <x:c r="Y157" s="85" t="n">
        <x:v>72</x:v>
      </x:c>
      <x:c r="Z157" s="85" t="n">
        <x:v>68</x:v>
      </x:c>
      <x:c r="AA157" s="85" t="n">
        <x:v>79</x:v>
      </x:c>
      <x:c r="AB157" s="85" t="n">
        <x:v>78</x:v>
      </x:c>
      <x:c r="AC157" s="91" t="str">
        <x:v>2026 UCI WorldTeam名簿掲載</x:v>
      </x:c>
      <x:c r="AD157" s="91" t="str">
        <x:v>https://en.wikipedia.org/wiki/List_of_2026_UCI_WorldTeams_and_riders</x:v>
      </x:c>
      <x:c r="AE157" s="91" t="str">
        <x:v>能力・適性・Credit整合済</x:v>
      </x:c>
      <x:c r="AF157" s="91" t="str">
        <x:v>https://en.wikipedia.org/wiki/Guillermo_Thomas_Silva</x:v>
      </x:c>
    </x:row>
    <x:row r="158" ht="26" customHeight="1">
      <x:c r="A158" s="82" t="n">
        <x:v>154</x:v>
      </x:c>
      <x:c r="B158" s="82" t="str">
        <x:v>Brandon Rivera</x:v>
      </x:c>
      <x:c r="C158" s="143" t="str"/>
      <x:c r="D158" s="82" t="str">
        <x:v>コロンビア</x:v>
      </x:c>
      <x:c r="E158" s="82" t="str">
        <x:v>Netcompany INEOS Cycling Team</x:v>
      </x:c>
      <x:c r="F158" s="82" t="str">
        <x:v>1996-03-21</x:v>
      </x:c>
      <x:c r="G158" s="82" t="str">
        <x:v>現役確認済</x:v>
      </x:c>
      <x:c r="H158" s="82" t="str">
        <x:v>クライマー</x:v>
      </x:c>
      <x:c r="I158" s="82" t="str">
        <x:v>クラシック型</x:v>
      </x:c>
      <x:c r="J158" s="85" t="n">
        <x:v>73</x:v>
      </x:c>
      <x:c r="K158" s="85" t="n">
        <x:v>73</x:v>
      </x:c>
      <x:c r="L158" s="91" t="str">
        <x:v>山岳賞ハンター / 山岳アシスト / 山岳ペースメーカー</x:v>
      </x:c>
      <x:c r="M158" s="88" t="n">
        <x:v>4550</x:v>
      </x:c>
      <x:c r="N158" s="85" t="n">
        <x:v>60</x:v>
      </x:c>
      <x:c r="O158" s="85" t="n">
        <x:v>65</x:v>
      </x:c>
      <x:c r="P158" s="85" t="n">
        <x:v>69</x:v>
      </x:c>
      <x:c r="Q158" s="85" t="n">
        <x:v>64</x:v>
      </x:c>
      <x:c r="R158" s="85" t="n">
        <x:v>74</x:v>
      </x:c>
      <x:c r="S158" s="85" t="n">
        <x:v>71</x:v>
      </x:c>
      <x:c r="T158" s="85" t="n">
        <x:v>69</x:v>
      </x:c>
      <x:c r="U158" s="85" t="n">
        <x:v>62</x:v>
      </x:c>
      <x:c r="V158" s="85" t="n">
        <x:v>62</x:v>
      </x:c>
      <x:c r="W158" s="85" t="n">
        <x:v>56</x:v>
      </x:c>
      <x:c r="X158" s="85" t="n">
        <x:v>76</x:v>
      </x:c>
      <x:c r="Y158" s="85" t="n">
        <x:v>75</x:v>
      </x:c>
      <x:c r="Z158" s="85" t="n">
        <x:v>71</x:v>
      </x:c>
      <x:c r="AA158" s="85" t="n">
        <x:v>68</x:v>
      </x:c>
      <x:c r="AB158" s="85" t="n">
        <x:v>71</x:v>
      </x:c>
      <x:c r="AC158" s="91" t="str">
        <x:v>2026 UCI WorldTeam名簿掲載</x:v>
      </x:c>
      <x:c r="AD158" s="91" t="str">
        <x:v>https://en.wikipedia.org/wiki/List_of_2026_UCI_WorldTeams_and_riders</x:v>
      </x:c>
      <x:c r="AE158" s="91" t="str">
        <x:v>能力・適性・Credit整合済</x:v>
      </x:c>
      <x:c r="AF158" s="91" t="str">
        <x:v>https://en.wikipedia.org/wiki/Brandon_Rivera</x:v>
      </x:c>
    </x:row>
    <x:row r="159" ht="26" customHeight="1">
      <x:c r="A159" s="82" t="n">
        <x:v>155</x:v>
      </x:c>
      <x:c r="B159" s="82" t="str">
        <x:v>Jacopo Mosca</x:v>
      </x:c>
      <x:c r="C159" s="143" t="str"/>
      <x:c r="D159" s="82" t="str">
        <x:v>イタリア</x:v>
      </x:c>
      <x:c r="E159" s="82" t="str">
        <x:v>Lidl–Trek</x:v>
      </x:c>
      <x:c r="F159" s="82" t="str">
        <x:v>1993-08-29</x:v>
      </x:c>
      <x:c r="G159" s="82" t="str">
        <x:v>現役確認済</x:v>
      </x:c>
      <x:c r="H159" s="82" t="str">
        <x:v>総合型</x:v>
      </x:c>
      <x:c r="I159" s="82" t="str">
        <x:v>パンチャー</x:v>
      </x:c>
      <x:c r="J159" s="85" t="n">
        <x:v>73</x:v>
      </x:c>
      <x:c r="K159" s="85" t="n">
        <x:v>71</x:v>
      </x:c>
      <x:c r="L159" s="91" t="str">
        <x:v>山岳賞ハンター / 山岳アシスト / 山岳番手</x:v>
      </x:c>
      <x:c r="M159" s="88" t="n">
        <x:v>4450</x:v>
      </x:c>
      <x:c r="N159" s="85" t="n">
        <x:v>55</x:v>
      </x:c>
      <x:c r="O159" s="85" t="n">
        <x:v>66</x:v>
      </x:c>
      <x:c r="P159" s="85" t="n">
        <x:v>71</x:v>
      </x:c>
      <x:c r="Q159" s="85" t="n">
        <x:v>70</x:v>
      </x:c>
      <x:c r="R159" s="85" t="n">
        <x:v>75</x:v>
      </x:c>
      <x:c r="S159" s="85" t="n">
        <x:v>71</x:v>
      </x:c>
      <x:c r="T159" s="85" t="n">
        <x:v>71</x:v>
      </x:c>
      <x:c r="U159" s="85" t="n">
        <x:v>63</x:v>
      </x:c>
      <x:c r="V159" s="85" t="n">
        <x:v>61</x:v>
      </x:c>
      <x:c r="W159" s="85" t="n">
        <x:v>56</x:v>
      </x:c>
      <x:c r="X159" s="85" t="n">
        <x:v>76</x:v>
      </x:c>
      <x:c r="Y159" s="85" t="n">
        <x:v>79</x:v>
      </x:c>
      <x:c r="Z159" s="85" t="n">
        <x:v>67</x:v>
      </x:c>
      <x:c r="AA159" s="85" t="n">
        <x:v>70</x:v>
      </x:c>
      <x:c r="AB159" s="85" t="n">
        <x:v>64</x:v>
      </x:c>
      <x:c r="AC159" s="91" t="str">
        <x:v>2026 UCI WorldTeam名簿掲載</x:v>
      </x:c>
      <x:c r="AD159" s="91" t="str">
        <x:v>https://en.wikipedia.org/wiki/List_of_2026_UCI_WorldTeams_and_riders</x:v>
      </x:c>
      <x:c r="AE159" s="91" t="str">
        <x:v>能力・適性・Credit整合済</x:v>
      </x:c>
      <x:c r="AF159" s="91" t="str">
        <x:v>https://en.wikipedia.org/wiki/Jacopo_Mosca</x:v>
      </x:c>
    </x:row>
    <x:row r="160" ht="26" customHeight="1">
      <x:c r="A160" s="82" t="n">
        <x:v>156</x:v>
      </x:c>
      <x:c r="B160" s="82" t="str">
        <x:v>Fabio Van den Bossche</x:v>
      </x:c>
      <x:c r="C160" s="143" t="str"/>
      <x:c r="D160" s="82" t="str">
        <x:v>ベルギー</x:v>
      </x:c>
      <x:c r="E160" s="82" t="str">
        <x:v>Soudal–Quick-Step</x:v>
      </x:c>
      <x:c r="F160" s="82" t="str">
        <x:v>2000-09-21</x:v>
      </x:c>
      <x:c r="G160" s="82" t="str">
        <x:v>現役確認済</x:v>
      </x:c>
      <x:c r="H160" s="82" t="str">
        <x:v>スプリンター</x:v>
      </x:c>
      <x:c r="I160" s="82" t="str">
        <x:v>クラシック型</x:v>
      </x:c>
      <x:c r="J160" s="85" t="n">
        <x:v>73</x:v>
      </x:c>
      <x:c r="K160" s="85" t="n">
        <x:v>67</x:v>
      </x:c>
      <x:c r="L160" s="91" t="str">
        <x:v>リードアウト / 最終発射台 / スプリントトレイン / 下り牽引</x:v>
      </x:c>
      <x:c r="M160" s="88" t="n">
        <x:v>4400</x:v>
      </x:c>
      <x:c r="N160" s="85" t="n">
        <x:v>78</x:v>
      </x:c>
      <x:c r="O160" s="85" t="n">
        <x:v>82</x:v>
      </x:c>
      <x:c r="P160" s="85" t="n">
        <x:v>65</x:v>
      </x:c>
      <x:c r="Q160" s="85" t="n">
        <x:v>69</x:v>
      </x:c>
      <x:c r="R160" s="85" t="n">
        <x:v>56</x:v>
      </x:c>
      <x:c r="S160" s="85" t="n">
        <x:v>63</x:v>
      </x:c>
      <x:c r="T160" s="85" t="n">
        <x:v>66</x:v>
      </x:c>
      <x:c r="U160" s="85" t="n">
        <x:v>67</x:v>
      </x:c>
      <x:c r="V160" s="85" t="n">
        <x:v>68</x:v>
      </x:c>
      <x:c r="W160" s="85" t="n">
        <x:v>57</x:v>
      </x:c>
      <x:c r="X160" s="85" t="n">
        <x:v>63</x:v>
      </x:c>
      <x:c r="Y160" s="85" t="n">
        <x:v>66</x:v>
      </x:c>
      <x:c r="Z160" s="85" t="n">
        <x:v>64</x:v>
      </x:c>
      <x:c r="AA160" s="85" t="n">
        <x:v>78</x:v>
      </x:c>
      <x:c r="AB160" s="85" t="n">
        <x:v>67</x:v>
      </x:c>
      <x:c r="AC160" s="91" t="str">
        <x:v>2026 UCI WorldTeam名簿掲載</x:v>
      </x:c>
      <x:c r="AD160" s="91" t="str">
        <x:v>https://en.wikipedia.org/wiki/List_of_2026_UCI_WorldTeams_and_riders</x:v>
      </x:c>
      <x:c r="AE160" s="91" t="str">
        <x:v>能力・適性・Credit整合済</x:v>
      </x:c>
      <x:c r="AF160" s="91" t="str">
        <x:v>https://en.wikipedia.org/wiki/Fabio_Van_den_Bossche</x:v>
      </x:c>
    </x:row>
    <x:row r="161" ht="26" customHeight="1">
      <x:c r="A161" s="82" t="n">
        <x:v>157</x:v>
      </x:c>
      <x:c r="B161" s="82" t="str">
        <x:v>Jonas Rickaert</x:v>
      </x:c>
      <x:c r="C161" s="143" t="str"/>
      <x:c r="D161" s="82" t="str">
        <x:v>ベルギー</x:v>
      </x:c>
      <x:c r="E161" s="82" t="str">
        <x:v>Alpecin–Premier Tech</x:v>
      </x:c>
      <x:c r="F161" s="82" t="str">
        <x:v>1994-02-07</x:v>
      </x:c>
      <x:c r="G161" s="82" t="str">
        <x:v>現役確認済</x:v>
      </x:c>
      <x:c r="H161" s="82" t="str">
        <x:v>スプリンター</x:v>
      </x:c>
      <x:c r="I161" s="82" t="str">
        <x:v>クライマー</x:v>
      </x:c>
      <x:c r="J161" s="85" t="n">
        <x:v>73</x:v>
      </x:c>
      <x:c r="K161" s="85" t="n">
        <x:v>69</x:v>
      </x:c>
      <x:c r="L161" s="91" t="str">
        <x:v>ロードキャプテン / 山岳賞ハンター / リードアウト / 最終発射台 / スプリントトレイン</x:v>
      </x:c>
      <x:c r="M161" s="88" t="n">
        <x:v>4350</x:v>
      </x:c>
      <x:c r="N161" s="85" t="n">
        <x:v>78</x:v>
      </x:c>
      <x:c r="O161" s="85" t="n">
        <x:v>80</x:v>
      </x:c>
      <x:c r="P161" s="85" t="n">
        <x:v>67</x:v>
      </x:c>
      <x:c r="Q161" s="85" t="n">
        <x:v>72</x:v>
      </x:c>
      <x:c r="R161" s="85" t="n">
        <x:v>58</x:v>
      </x:c>
      <x:c r="S161" s="85" t="n">
        <x:v>62</x:v>
      </x:c>
      <x:c r="T161" s="85" t="n">
        <x:v>62</x:v>
      </x:c>
      <x:c r="U161" s="85" t="n">
        <x:v>67</x:v>
      </x:c>
      <x:c r="V161" s="85" t="n">
        <x:v>70</x:v>
      </x:c>
      <x:c r="W161" s="85" t="n">
        <x:v>51</x:v>
      </x:c>
      <x:c r="X161" s="85" t="n">
        <x:v>69</x:v>
      </x:c>
      <x:c r="Y161" s="85" t="n">
        <x:v>61</x:v>
      </x:c>
      <x:c r="Z161" s="85" t="n">
        <x:v>69</x:v>
      </x:c>
      <x:c r="AA161" s="85" t="n">
        <x:v>74</x:v>
      </x:c>
      <x:c r="AB161" s="85" t="n">
        <x:v>63</x:v>
      </x:c>
      <x:c r="AC161" s="91" t="str">
        <x:v>2026 UCI WorldTeam名簿掲載</x:v>
      </x:c>
      <x:c r="AD161" s="91" t="str">
        <x:v>https://en.wikipedia.org/wiki/List_of_2026_UCI_WorldTeams_and_riders</x:v>
      </x:c>
      <x:c r="AE161" s="91" t="str">
        <x:v>能力・適性・Credit整合済</x:v>
      </x:c>
      <x:c r="AF161" s="91" t="str">
        <x:v>https://en.wikipedia.org/wiki/Jonas_Rickaert</x:v>
      </x:c>
    </x:row>
    <x:row r="162" ht="26" customHeight="1">
      <x:c r="A162" s="82" t="n">
        <x:v>158</x:v>
      </x:c>
      <x:c r="B162" s="82" t="str">
        <x:v>Carlos Canal</x:v>
      </x:c>
      <x:c r="C162" s="143" t="str"/>
      <x:c r="D162" s="82" t="str">
        <x:v>スペイン</x:v>
      </x:c>
      <x:c r="E162" s="82" t="str">
        <x:v>Movistar Team</x:v>
      </x:c>
      <x:c r="F162" s="82" t="str">
        <x:v>2001-06-28</x:v>
      </x:c>
      <x:c r="G162" s="82" t="str">
        <x:v>現役確認済</x:v>
      </x:c>
      <x:c r="H162" s="82" t="str">
        <x:v>パンチャー</x:v>
      </x:c>
      <x:c r="I162" s="82" t="str">
        <x:v>スプリンター</x:v>
      </x:c>
      <x:c r="J162" s="85" t="n">
        <x:v>73</x:v>
      </x:c>
      <x:c r="K162" s="85" t="n">
        <x:v>68</x:v>
      </x:c>
      <x:c r="L162" s="91" t="str">
        <x:v>ステージハンター / 山岳賞ハンター / スプリントトレイン / カウンターアタッカー</x:v>
      </x:c>
      <x:c r="M162" s="88" t="n">
        <x:v>4300</x:v>
      </x:c>
      <x:c r="N162" s="85" t="n">
        <x:v>66</x:v>
      </x:c>
      <x:c r="O162" s="85" t="n">
        <x:v>76</x:v>
      </x:c>
      <x:c r="P162" s="85" t="n">
        <x:v>76</x:v>
      </x:c>
      <x:c r="Q162" s="85" t="n">
        <x:v>66</x:v>
      </x:c>
      <x:c r="R162" s="85" t="n">
        <x:v>72</x:v>
      </x:c>
      <x:c r="S162" s="85" t="n">
        <x:v>67</x:v>
      </x:c>
      <x:c r="T162" s="85" t="n">
        <x:v>64</x:v>
      </x:c>
      <x:c r="U162" s="85" t="n">
        <x:v>71</x:v>
      </x:c>
      <x:c r="V162" s="85" t="n">
        <x:v>70</x:v>
      </x:c>
      <x:c r="W162" s="85" t="n">
        <x:v>58</x:v>
      </x:c>
      <x:c r="X162" s="85" t="n">
        <x:v>69</x:v>
      </x:c>
      <x:c r="Y162" s="85" t="n">
        <x:v>67</x:v>
      </x:c>
      <x:c r="Z162" s="85" t="n">
        <x:v>62</x:v>
      </x:c>
      <x:c r="AA162" s="85" t="n">
        <x:v>76</x:v>
      </x:c>
      <x:c r="AB162" s="85" t="n">
        <x:v>74</x:v>
      </x:c>
      <x:c r="AC162" s="91" t="str">
        <x:v>2026 UCI WorldTeam名簿掲載</x:v>
      </x:c>
      <x:c r="AD162" s="91" t="str">
        <x:v>https://en.wikipedia.org/wiki/List_of_2026_UCI_WorldTeams_and_riders</x:v>
      </x:c>
      <x:c r="AE162" s="91" t="str">
        <x:v>能力・適性・Credit整合済</x:v>
      </x:c>
      <x:c r="AF162" s="91" t="str">
        <x:v>https://en.wikipedia.org/wiki/Carlos_Canal</x:v>
      </x:c>
    </x:row>
    <x:row r="163" ht="26" customHeight="1">
      <x:c r="A163" s="82" t="n">
        <x:v>159</x:v>
      </x:c>
      <x:c r="B163" s="82" t="str">
        <x:v>Antoine L'Hote</x:v>
      </x:c>
      <x:c r="C163" s="143" t="str"/>
      <x:c r="D163" s="82" t="str">
        <x:v>フランス</x:v>
      </x:c>
      <x:c r="E163" s="82" t="str">
        <x:v>Decathlon–CMA CGM</x:v>
      </x:c>
      <x:c r="F163" s="82" t="str">
        <x:v>2005-05-27</x:v>
      </x:c>
      <x:c r="G163" s="82" t="str">
        <x:v>現役確認済</x:v>
      </x:c>
      <x:c r="H163" s="82" t="str">
        <x:v>パンチャー</x:v>
      </x:c>
      <x:c r="I163" s="82" t="str">
        <x:v>クラシック型</x:v>
      </x:c>
      <x:c r="J163" s="85" t="n">
        <x:v>73</x:v>
      </x:c>
      <x:c r="K163" s="85" t="n">
        <x:v>69</x:v>
      </x:c>
      <x:c r="L163" s="91" t="str">
        <x:v>ステージハンター / 山岳賞ハンター</x:v>
      </x:c>
      <x:c r="M163" s="88" t="n">
        <x:v>4300</x:v>
      </x:c>
      <x:c r="N163" s="85" t="n">
        <x:v>65</x:v>
      </x:c>
      <x:c r="O163" s="85" t="n">
        <x:v>73</x:v>
      </x:c>
      <x:c r="P163" s="85" t="n">
        <x:v>80</x:v>
      </x:c>
      <x:c r="Q163" s="85" t="n">
        <x:v>65</x:v>
      </x:c>
      <x:c r="R163" s="85" t="n">
        <x:v>71</x:v>
      </x:c>
      <x:c r="S163" s="85" t="n">
        <x:v>65</x:v>
      </x:c>
      <x:c r="T163" s="85" t="n">
        <x:v>65</x:v>
      </x:c>
      <x:c r="U163" s="85" t="n">
        <x:v>67</x:v>
      </x:c>
      <x:c r="V163" s="85" t="n">
        <x:v>73</x:v>
      </x:c>
      <x:c r="W163" s="85" t="n">
        <x:v>57</x:v>
      </x:c>
      <x:c r="X163" s="85" t="n">
        <x:v>65</x:v>
      </x:c>
      <x:c r="Y163" s="85" t="n">
        <x:v>66</x:v>
      </x:c>
      <x:c r="Z163" s="85" t="n">
        <x:v>67</x:v>
      </x:c>
      <x:c r="AA163" s="85" t="n">
        <x:v>71</x:v>
      </x:c>
      <x:c r="AB163" s="85" t="n">
        <x:v>73</x:v>
      </x:c>
      <x:c r="AC163" s="91" t="str">
        <x:v>2026 UCI WorldTeam名簿掲載</x:v>
      </x:c>
      <x:c r="AD163" s="91" t="str">
        <x:v>https://en.wikipedia.org/wiki/List_of_2026_UCI_WorldTeams_and_riders</x:v>
      </x:c>
      <x:c r="AE163" s="91" t="str">
        <x:v>能力・適性・Credit整合済</x:v>
      </x:c>
      <x:c r="AF163" s="91" t="str">
        <x:v>https://en.wikipedia.org/wiki/Antoine_L'Hote</x:v>
      </x:c>
    </x:row>
    <x:row r="164" ht="26" customHeight="1">
      <x:c r="A164" s="82" t="n">
        <x:v>160</x:v>
      </x:c>
      <x:c r="B164" s="82" t="str">
        <x:v>Daan Hoole</x:v>
      </x:c>
      <x:c r="C164" s="143" t="str"/>
      <x:c r="D164" s="82" t="str">
        <x:v>オランダ</x:v>
      </x:c>
      <x:c r="E164" s="82" t="str">
        <x:v>Decathlon–CMA CGM</x:v>
      </x:c>
      <x:c r="F164" s="82" t="str">
        <x:v>1999-02-22</x:v>
      </x:c>
      <x:c r="G164" s="82" t="str">
        <x:v>現役確認済</x:v>
      </x:c>
      <x:c r="H164" s="82" t="str">
        <x:v>TT・ルーラー型</x:v>
      </x:c>
      <x:c r="I164" s="82" t="str">
        <x:v>パンチャー</x:v>
      </x:c>
      <x:c r="J164" s="85" t="n">
        <x:v>72</x:v>
      </x:c>
      <x:c r="K164" s="85" t="n">
        <x:v>79</x:v>
      </x:c>
      <x:c r="L164" s="91" t="str">
        <x:v>TTスペシャリスト / 平坦アシスト / 平坦ペースメーカー / 集団コントローラー / ブレイクアウェイキラー / 横風要員 / 逃げ屋</x:v>
      </x:c>
      <x:c r="M164" s="88" t="n">
        <x:v>6250</x:v>
      </x:c>
      <x:c r="N164" s="85" t="n">
        <x:v>66</x:v>
      </x:c>
      <x:c r="O164" s="85" t="n">
        <x:v>67</x:v>
      </x:c>
      <x:c r="P164" s="85" t="n">
        <x:v>67</x:v>
      </x:c>
      <x:c r="Q164" s="85" t="n">
        <x:v>84</x:v>
      </x:c>
      <x:c r="R164" s="85" t="n">
        <x:v>71</x:v>
      </x:c>
      <x:c r="S164" s="85" t="n">
        <x:v>77</x:v>
      </x:c>
      <x:c r="T164" s="85" t="n">
        <x:v>73</x:v>
      </x:c>
      <x:c r="U164" s="85" t="n">
        <x:v>81</x:v>
      </x:c>
      <x:c r="V164" s="85" t="n">
        <x:v>71</x:v>
      </x:c>
      <x:c r="W164" s="85" t="n">
        <x:v>58</x:v>
      </x:c>
      <x:c r="X164" s="85" t="n">
        <x:v>72</x:v>
      </x:c>
      <x:c r="Y164" s="85" t="n">
        <x:v>72</x:v>
      </x:c>
      <x:c r="Z164" s="85" t="n">
        <x:v>81</x:v>
      </x:c>
      <x:c r="AA164" s="85" t="n">
        <x:v>66</x:v>
      </x:c>
      <x:c r="AB164" s="85" t="n">
        <x:v>67</x:v>
      </x:c>
      <x:c r="AC164" s="91" t="str">
        <x:v>2026 UCI WorldTeam名簿掲載</x:v>
      </x:c>
      <x:c r="AD164" s="91" t="str">
        <x:v>https://en.wikipedia.org/wiki/List_of_2026_UCI_WorldTeams_and_riders</x:v>
      </x:c>
      <x:c r="AE164" s="91" t="str">
        <x:v>能力・適性・Credit整合済</x:v>
      </x:c>
      <x:c r="AF164" s="91" t="str">
        <x:v>https://en.wikipedia.org/wiki/Daan_Hoole</x:v>
      </x:c>
    </x:row>
    <x:row r="165" ht="26" customHeight="1">
      <x:c r="A165" s="82" t="n">
        <x:v>161</x:v>
      </x:c>
      <x:c r="B165" s="82" t="str">
        <x:v>Ben Turner (cyclist)</x:v>
      </x:c>
      <x:c r="C165" s="143" t="str"/>
      <x:c r="D165" s="82" t="str">
        <x:v>イギリス</x:v>
      </x:c>
      <x:c r="E165" s="82" t="str">
        <x:v>Netcompany INEOS Cycling Team</x:v>
      </x:c>
      <x:c r="F165" s="82" t="str">
        <x:v>1999-05-28</x:v>
      </x:c>
      <x:c r="G165" s="82" t="str">
        <x:v>現役確認済</x:v>
      </x:c>
      <x:c r="H165" s="82" t="str">
        <x:v>TT・ルーラー型</x:v>
      </x:c>
      <x:c r="I165" s="82" t="str">
        <x:v>パンチャー</x:v>
      </x:c>
      <x:c r="J165" s="85" t="n">
        <x:v>72</x:v>
      </x:c>
      <x:c r="K165" s="85" t="n">
        <x:v>80</x:v>
      </x:c>
      <x:c r="L165" s="91" t="str">
        <x:v>TTスペシャリスト / 平坦アシスト / 集団コントローラー / ブレイクアウェイキラー / トラブル復帰牽引</x:v>
      </x:c>
      <x:c r="M165" s="88" t="n">
        <x:v>6050</x:v>
      </x:c>
      <x:c r="N165" s="85" t="n">
        <x:v>68</x:v>
      </x:c>
      <x:c r="O165" s="85" t="n">
        <x:v>64</x:v>
      </x:c>
      <x:c r="P165" s="85" t="n">
        <x:v>67</x:v>
      </x:c>
      <x:c r="Q165" s="85" t="n">
        <x:v>82</x:v>
      </x:c>
      <x:c r="R165" s="85" t="n">
        <x:v>68</x:v>
      </x:c>
      <x:c r="S165" s="85" t="n">
        <x:v>79</x:v>
      </x:c>
      <x:c r="T165" s="85" t="n">
        <x:v>78</x:v>
      </x:c>
      <x:c r="U165" s="85" t="n">
        <x:v>74</x:v>
      </x:c>
      <x:c r="V165" s="85" t="n">
        <x:v>72</x:v>
      </x:c>
      <x:c r="W165" s="85" t="n">
        <x:v>58</x:v>
      </x:c>
      <x:c r="X165" s="85" t="n">
        <x:v>71</x:v>
      </x:c>
      <x:c r="Y165" s="85" t="n">
        <x:v>73</x:v>
      </x:c>
      <x:c r="Z165" s="85" t="n">
        <x:v>80</x:v>
      </x:c>
      <x:c r="AA165" s="85" t="n">
        <x:v>66</x:v>
      </x:c>
      <x:c r="AB165" s="85" t="n">
        <x:v>65</x:v>
      </x:c>
      <x:c r="AC165" s="91" t="str">
        <x:v>2026 UCI WorldTeam名簿掲載</x:v>
      </x:c>
      <x:c r="AD165" s="91" t="str">
        <x:v>https://en.wikipedia.org/wiki/List_of_2026_UCI_WorldTeams_and_riders</x:v>
      </x:c>
      <x:c r="AE165" s="91" t="str">
        <x:v>能力・適性・Credit整合済</x:v>
      </x:c>
      <x:c r="AF165" s="91" t="str">
        <x:v>https://en.wikipedia.org/wiki/Ben_Turner_(cyclist)</x:v>
      </x:c>
    </x:row>
    <x:row r="166" ht="26" customHeight="1">
      <x:c r="A166" s="82" t="n">
        <x:v>162</x:v>
      </x:c>
      <x:c r="B166" s="82" t="str">
        <x:v>Dries De Bondt</x:v>
      </x:c>
      <x:c r="C166" s="143" t="str"/>
      <x:c r="D166" s="82" t="str">
        <x:v>ベルギー</x:v>
      </x:c>
      <x:c r="E166" s="82" t="str">
        <x:v>Team Jayco–AlUla</x:v>
      </x:c>
      <x:c r="F166" s="82" t="str">
        <x:v>1991-07-04</x:v>
      </x:c>
      <x:c r="G166" s="82" t="str">
        <x:v>現役確認済</x:v>
      </x:c>
      <x:c r="H166" s="82" t="str">
        <x:v>TT・ルーラー型</x:v>
      </x:c>
      <x:c r="I166" s="82" t="str">
        <x:v>クラシック型</x:v>
      </x:c>
      <x:c r="J166" s="85" t="n">
        <x:v>72</x:v>
      </x:c>
      <x:c r="K166" s="85" t="n">
        <x:v>79</x:v>
      </x:c>
      <x:c r="L166" s="91" t="str">
        <x:v>TTスペシャリスト / 平坦アシスト / 集団コントローラー / ブレイクアウェイキラー / 横風要員 / 逃げ屋 / ポジションキーパー</x:v>
      </x:c>
      <x:c r="M166" s="88" t="n">
        <x:v>6000</x:v>
      </x:c>
      <x:c r="N166" s="85" t="n">
        <x:v>69</x:v>
      </x:c>
      <x:c r="O166" s="85" t="n">
        <x:v>68</x:v>
      </x:c>
      <x:c r="P166" s="85" t="n">
        <x:v>63</x:v>
      </x:c>
      <x:c r="Q166" s="85" t="n">
        <x:v>82</x:v>
      </x:c>
      <x:c r="R166" s="85" t="n">
        <x:v>65</x:v>
      </x:c>
      <x:c r="S166" s="85" t="n">
        <x:v>77</x:v>
      </x:c>
      <x:c r="T166" s="85" t="n">
        <x:v>72</x:v>
      </x:c>
      <x:c r="U166" s="85" t="n">
        <x:v>80</x:v>
      </x:c>
      <x:c r="V166" s="85" t="n">
        <x:v>68</x:v>
      </x:c>
      <x:c r="W166" s="85" t="n">
        <x:v>57</x:v>
      </x:c>
      <x:c r="X166" s="85" t="n">
        <x:v>72</x:v>
      </x:c>
      <x:c r="Y166" s="85" t="n">
        <x:v>69</x:v>
      </x:c>
      <x:c r="Z166" s="85" t="n">
        <x:v>84</x:v>
      </x:c>
      <x:c r="AA166" s="85" t="n">
        <x:v>65</x:v>
      </x:c>
      <x:c r="AB166" s="85" t="n">
        <x:v>67</x:v>
      </x:c>
      <x:c r="AC166" s="91" t="str">
        <x:v>2026 UCI WorldTeam名簿掲載</x:v>
      </x:c>
      <x:c r="AD166" s="91" t="str">
        <x:v>https://en.wikipedia.org/wiki/List_of_2026_UCI_WorldTeams_and_riders</x:v>
      </x:c>
      <x:c r="AE166" s="91" t="str">
        <x:v>能力・適性・Credit整合済</x:v>
      </x:c>
      <x:c r="AF166" s="91" t="str">
        <x:v>https://en.wikipedia.org/wiki/Dries_De_Bondt</x:v>
      </x:c>
    </x:row>
    <x:row r="167" ht="26" customHeight="1">
      <x:c r="A167" s="82" t="n">
        <x:v>163</x:v>
      </x:c>
      <x:c r="B167" s="82" t="str">
        <x:v>Bruno Armirail</x:v>
      </x:c>
      <x:c r="C167" s="143" t="str"/>
      <x:c r="D167" s="82" t="str">
        <x:v>フランス</x:v>
      </x:c>
      <x:c r="E167" s="82" t="str">
        <x:v>Visma–Lease a Bike</x:v>
      </x:c>
      <x:c r="F167" s="82" t="str">
        <x:v>1994-04-11</x:v>
      </x:c>
      <x:c r="G167" s="82" t="str">
        <x:v>現役確認済</x:v>
      </x:c>
      <x:c r="H167" s="82" t="str">
        <x:v>TT・ルーラー型</x:v>
      </x:c>
      <x:c r="I167" s="82" t="str">
        <x:v>スプリンター</x:v>
      </x:c>
      <x:c r="J167" s="85" t="n">
        <x:v>72</x:v>
      </x:c>
      <x:c r="K167" s="85" t="n">
        <x:v>79</x:v>
      </x:c>
      <x:c r="L167" s="91" t="str">
        <x:v>TTスペシャリスト / スプリントトレイン / 平坦アシスト / 集団コントローラー / ブレイクアウェイキラー</x:v>
      </x:c>
      <x:c r="M167" s="88" t="n">
        <x:v>5950</x:v>
      </x:c>
      <x:c r="N167" s="85" t="n">
        <x:v>63</x:v>
      </x:c>
      <x:c r="O167" s="85" t="n">
        <x:v>63</x:v>
      </x:c>
      <x:c r="P167" s="85" t="n">
        <x:v>68</x:v>
      </x:c>
      <x:c r="Q167" s="85" t="n">
        <x:v>83</x:v>
      </x:c>
      <x:c r="R167" s="85" t="n">
        <x:v>69</x:v>
      </x:c>
      <x:c r="S167" s="85" t="n">
        <x:v>78</x:v>
      </x:c>
      <x:c r="T167" s="85" t="n">
        <x:v>75</x:v>
      </x:c>
      <x:c r="U167" s="85" t="n">
        <x:v>76</x:v>
      </x:c>
      <x:c r="V167" s="85" t="n">
        <x:v>68</x:v>
      </x:c>
      <x:c r="W167" s="85" t="n">
        <x:v>58</x:v>
      </x:c>
      <x:c r="X167" s="85" t="n">
        <x:v>67</x:v>
      </x:c>
      <x:c r="Y167" s="85" t="n">
        <x:v>73</x:v>
      </x:c>
      <x:c r="Z167" s="85" t="n">
        <x:v>83</x:v>
      </x:c>
      <x:c r="AA167" s="85" t="n">
        <x:v>67</x:v>
      </x:c>
      <x:c r="AB167" s="85" t="n">
        <x:v>66</x:v>
      </x:c>
      <x:c r="AC167" s="91" t="str">
        <x:v>2026 UCI WorldTeam名簿掲載</x:v>
      </x:c>
      <x:c r="AD167" s="91" t="str">
        <x:v>https://en.wikipedia.org/wiki/List_of_2026_UCI_WorldTeams_and_riders</x:v>
      </x:c>
      <x:c r="AE167" s="91" t="str">
        <x:v>能力・適性・Credit整合済</x:v>
      </x:c>
      <x:c r="AF167" s="91" t="str">
        <x:v>https://en.wikipedia.org/wiki/Bruno_Armirail</x:v>
      </x:c>
    </x:row>
    <x:row r="168" ht="26" customHeight="1">
      <x:c r="A168" s="82" t="n">
        <x:v>164</x:v>
      </x:c>
      <x:c r="B168" s="82" t="str">
        <x:v>Gleb Syritsa</x:v>
      </x:c>
      <x:c r="C168" s="143" t="str"/>
      <x:c r="D168" s="82" t="str">
        <x:v>RUS</x:v>
      </x:c>
      <x:c r="E168" s="82" t="str">
        <x:v>XDS Astana Team</x:v>
      </x:c>
      <x:c r="F168" s="82" t="str">
        <x:v>2000-04-14</x:v>
      </x:c>
      <x:c r="G168" s="82" t="str">
        <x:v>現役確認済</x:v>
      </x:c>
      <x:c r="H168" s="82" t="str">
        <x:v>クラシック型</x:v>
      </x:c>
      <x:c r="I168" s="82" t="str">
        <x:v>クライマー</x:v>
      </x:c>
      <x:c r="J168" s="85" t="n">
        <x:v>72</x:v>
      </x:c>
      <x:c r="K168" s="85" t="n">
        <x:v>77</x:v>
      </x:c>
      <x:c r="L168" s="91" t="str">
        <x:v>山岳賞ハンター / 平坦アシスト / 石畳護衛 / ブレイクアウェイキラー / 横風要員 / 逃げ屋 / 横風分断</x:v>
      </x:c>
      <x:c r="M168" s="88" t="n">
        <x:v>5650</x:v>
      </x:c>
      <x:c r="N168" s="85" t="n">
        <x:v>75</x:v>
      </x:c>
      <x:c r="O168" s="85" t="n">
        <x:v>70</x:v>
      </x:c>
      <x:c r="P168" s="85" t="n">
        <x:v>73</x:v>
      </x:c>
      <x:c r="Q168" s="85" t="n">
        <x:v>75</x:v>
      </x:c>
      <x:c r="R168" s="85" t="n">
        <x:v>68</x:v>
      </x:c>
      <x:c r="S168" s="85" t="n">
        <x:v>72</x:v>
      </x:c>
      <x:c r="T168" s="85" t="n">
        <x:v>80</x:v>
      </x:c>
      <x:c r="U168" s="85" t="n">
        <x:v>76</x:v>
      </x:c>
      <x:c r="V168" s="85" t="n">
        <x:v>78</x:v>
      </x:c>
      <x:c r="W168" s="85" t="n">
        <x:v>73</x:v>
      </x:c>
      <x:c r="X168" s="85" t="n">
        <x:v>68</x:v>
      </x:c>
      <x:c r="Y168" s="85" t="n">
        <x:v>73</x:v>
      </x:c>
      <x:c r="Z168" s="85" t="n">
        <x:v>75</x:v>
      </x:c>
      <x:c r="AA168" s="85" t="n">
        <x:v>72</x:v>
      </x:c>
      <x:c r="AB168" s="85" t="n">
        <x:v>80</x:v>
      </x:c>
      <x:c r="AC168" s="91" t="str">
        <x:v>2026 UCI WorldTeam名簿掲載</x:v>
      </x:c>
      <x:c r="AD168" s="91" t="str">
        <x:v>https://en.wikipedia.org/wiki/List_of_2026_UCI_WorldTeams_and_riders</x:v>
      </x:c>
      <x:c r="AE168" s="91" t="str">
        <x:v>能力・適性・Credit整合済</x:v>
      </x:c>
      <x:c r="AF168" s="91" t="str">
        <x:v>https://en.wikipedia.org/wiki/Gleb_Syritsa</x:v>
      </x:c>
    </x:row>
    <x:row r="169" ht="26" customHeight="1">
      <x:c r="A169" s="82" t="n">
        <x:v>165</x:v>
      </x:c>
      <x:c r="B169" s="82" t="str">
        <x:v>Jarno Widar</x:v>
      </x:c>
      <x:c r="C169" s="143" t="str"/>
      <x:c r="D169" s="82" t="str">
        <x:v>ベルギー</x:v>
      </x:c>
      <x:c r="E169" s="82" t="str">
        <x:v>Lotto–Intermarché</x:v>
      </x:c>
      <x:c r="F169" s="82" t="str">
        <x:v>2005-11-13</x:v>
      </x:c>
      <x:c r="G169" s="82" t="str">
        <x:v>現役確認済</x:v>
      </x:c>
      <x:c r="H169" s="82" t="str">
        <x:v>クライマー</x:v>
      </x:c>
      <x:c r="I169" s="82" t="str">
        <x:v>スプリンター</x:v>
      </x:c>
      <x:c r="J169" s="85" t="n">
        <x:v>72</x:v>
      </x:c>
      <x:c r="K169" s="85" t="n">
        <x:v>74</x:v>
      </x:c>
      <x:c r="L169" s="91" t="str">
        <x:v>山岳賞ハンター / スプリントトレイン / 山岳アシスト / 山岳番手</x:v>
      </x:c>
      <x:c r="M169" s="88" t="n">
        <x:v>5500</x:v>
      </x:c>
      <x:c r="N169" s="85" t="n">
        <x:v>59</x:v>
      </x:c>
      <x:c r="O169" s="85" t="n">
        <x:v>65</x:v>
      </x:c>
      <x:c r="P169" s="85" t="n">
        <x:v>71</x:v>
      </x:c>
      <x:c r="Q169" s="85" t="n">
        <x:v>62</x:v>
      </x:c>
      <x:c r="R169" s="85" t="n">
        <x:v>79</x:v>
      </x:c>
      <x:c r="S169" s="85" t="n">
        <x:v>80</x:v>
      </x:c>
      <x:c r="T169" s="85" t="n">
        <x:v>71</x:v>
      </x:c>
      <x:c r="U169" s="85" t="n">
        <x:v>68</x:v>
      </x:c>
      <x:c r="V169" s="85" t="n">
        <x:v>71</x:v>
      </x:c>
      <x:c r="W169" s="85" t="n">
        <x:v>52</x:v>
      </x:c>
      <x:c r="X169" s="85" t="n">
        <x:v>76</x:v>
      </x:c>
      <x:c r="Y169" s="85" t="n">
        <x:v>75</x:v>
      </x:c>
      <x:c r="Z169" s="85" t="n">
        <x:v>72</x:v>
      </x:c>
      <x:c r="AA169" s="85" t="n">
        <x:v>71</x:v>
      </x:c>
      <x:c r="AB169" s="85" t="n">
        <x:v>72</x:v>
      </x:c>
      <x:c r="AC169" s="91" t="str">
        <x:v>2026 UCI WorldTeam名簿掲載</x:v>
      </x:c>
      <x:c r="AD169" s="91" t="str">
        <x:v>https://en.wikipedia.org/wiki/List_of_2026_UCI_WorldTeams_and_riders</x:v>
      </x:c>
      <x:c r="AE169" s="91" t="str">
        <x:v>能力・適性・Credit整合済</x:v>
      </x:c>
      <x:c r="AF169" s="91" t="str">
        <x:v>https://en.wikipedia.org/wiki/Jarno_Widar</x:v>
      </x:c>
    </x:row>
    <x:row r="170" ht="26" customHeight="1">
      <x:c r="A170" s="82" t="n">
        <x:v>166</x:v>
      </x:c>
      <x:c r="B170" s="82" t="str">
        <x:v>Dries De Pooter</x:v>
      </x:c>
      <x:c r="C170" s="143" t="str"/>
      <x:c r="D170" s="82" t="str">
        <x:v>ベルギー</x:v>
      </x:c>
      <x:c r="E170" s="82" t="str">
        <x:v>Team Jayco–AlUla</x:v>
      </x:c>
      <x:c r="F170" s="82" t="str">
        <x:v>2002-11-08</x:v>
      </x:c>
      <x:c r="G170" s="82" t="str">
        <x:v>現役確認済</x:v>
      </x:c>
      <x:c r="H170" s="82" t="str">
        <x:v>クラシック型</x:v>
      </x:c>
      <x:c r="I170" s="82" t="str">
        <x:v>スプリンター</x:v>
      </x:c>
      <x:c r="J170" s="85" t="n">
        <x:v>72</x:v>
      </x:c>
      <x:c r="K170" s="85" t="n">
        <x:v>76</x:v>
      </x:c>
      <x:c r="L170" s="91" t="str">
        <x:v>スプリントトレイン / 石畳護衛 / ポジションキーパー</x:v>
      </x:c>
      <x:c r="M170" s="88" t="n">
        <x:v>5300</x:v>
      </x:c>
      <x:c r="N170" s="85" t="n">
        <x:v>74</x:v>
      </x:c>
      <x:c r="O170" s="85" t="n">
        <x:v>70</x:v>
      </x:c>
      <x:c r="P170" s="85" t="n">
        <x:v>71</x:v>
      </x:c>
      <x:c r="Q170" s="85" t="n">
        <x:v>72</x:v>
      </x:c>
      <x:c r="R170" s="85" t="n">
        <x:v>65</x:v>
      </x:c>
      <x:c r="S170" s="85" t="n">
        <x:v>74</x:v>
      </x:c>
      <x:c r="T170" s="85" t="n">
        <x:v>79</x:v>
      </x:c>
      <x:c r="U170" s="85" t="n">
        <x:v>78</x:v>
      </x:c>
      <x:c r="V170" s="85" t="n">
        <x:v>78</x:v>
      </x:c>
      <x:c r="W170" s="85" t="n">
        <x:v>71</x:v>
      </x:c>
      <x:c r="X170" s="85" t="n">
        <x:v>72</x:v>
      </x:c>
      <x:c r="Y170" s="85" t="n">
        <x:v>68</x:v>
      </x:c>
      <x:c r="Z170" s="85" t="n">
        <x:v>73</x:v>
      </x:c>
      <x:c r="AA170" s="85" t="n">
        <x:v>68</x:v>
      </x:c>
      <x:c r="AB170" s="85" t="n">
        <x:v>73</x:v>
      </x:c>
      <x:c r="AC170" s="91" t="str">
        <x:v>2026 UCI WorldTeam名簿掲載</x:v>
      </x:c>
      <x:c r="AD170" s="91" t="str">
        <x:v>https://en.wikipedia.org/wiki/List_of_2026_UCI_WorldTeams_and_riders</x:v>
      </x:c>
      <x:c r="AE170" s="91" t="str">
        <x:v>能力・適性・Credit整合済</x:v>
      </x:c>
      <x:c r="AF170" s="91" t="str">
        <x:v>https://en.wikipedia.org/wiki/Dries_De_Pooter</x:v>
      </x:c>
    </x:row>
    <x:row r="171" ht="26" customHeight="1">
      <x:c r="A171" s="82" t="n">
        <x:v>167</x:v>
      </x:c>
      <x:c r="B171" s="82" t="str">
        <x:v>Markus Hoelgaard</x:v>
      </x:c>
      <x:c r="C171" s="143" t="str"/>
      <x:c r="D171" s="82" t="str">
        <x:v>ノルウェー</x:v>
      </x:c>
      <x:c r="E171" s="82" t="str">
        <x:v>Uno-X Mobility</x:v>
      </x:c>
      <x:c r="F171" s="82" t="str">
        <x:v>1994-10-04</x:v>
      </x:c>
      <x:c r="G171" s="82" t="str">
        <x:v>現役確認済</x:v>
      </x:c>
      <x:c r="H171" s="82" t="str">
        <x:v>クラシック型</x:v>
      </x:c>
      <x:c r="I171" s="82" t="str">
        <x:v>総合型</x:v>
      </x:c>
      <x:c r="J171" s="85" t="n">
        <x:v>72</x:v>
      </x:c>
      <x:c r="K171" s="85" t="n">
        <x:v>75</x:v>
      </x:c>
      <x:c r="L171" s="91" t="str">
        <x:v>石畳護衛 / 集団コントローラー</x:v>
      </x:c>
      <x:c r="M171" s="88" t="n">
        <x:v>5050</x:v>
      </x:c>
      <x:c r="N171" s="85" t="n">
        <x:v>74</x:v>
      </x:c>
      <x:c r="O171" s="85" t="n">
        <x:v>69</x:v>
      </x:c>
      <x:c r="P171" s="85" t="n">
        <x:v>70</x:v>
      </x:c>
      <x:c r="Q171" s="85" t="n">
        <x:v>72</x:v>
      </x:c>
      <x:c r="R171" s="85" t="n">
        <x:v>60</x:v>
      </x:c>
      <x:c r="S171" s="85" t="n">
        <x:v>75</x:v>
      </x:c>
      <x:c r="T171" s="85" t="n">
        <x:v>74</x:v>
      </x:c>
      <x:c r="U171" s="85" t="n">
        <x:v>72</x:v>
      </x:c>
      <x:c r="V171" s="85" t="n">
        <x:v>79</x:v>
      </x:c>
      <x:c r="W171" s="85" t="n">
        <x:v>74</x:v>
      </x:c>
      <x:c r="X171" s="85" t="n">
        <x:v>68</x:v>
      </x:c>
      <x:c r="Y171" s="85" t="n">
        <x:v>69</x:v>
      </x:c>
      <x:c r="Z171" s="85" t="n">
        <x:v>74</x:v>
      </x:c>
      <x:c r="AA171" s="85" t="n">
        <x:v>67</x:v>
      </x:c>
      <x:c r="AB171" s="85" t="n">
        <x:v>74</x:v>
      </x:c>
      <x:c r="AC171" s="91" t="str">
        <x:v>2026 UCI WorldTeam名簿掲載</x:v>
      </x:c>
      <x:c r="AD171" s="91" t="str">
        <x:v>https://en.wikipedia.org/wiki/List_of_2026_UCI_WorldTeams_and_riders</x:v>
      </x:c>
      <x:c r="AE171" s="91" t="str">
        <x:v>能力・適性・Credit整合済</x:v>
      </x:c>
      <x:c r="AF171" s="91" t="str">
        <x:v>https://en.wikipedia.org/wiki/Markus_Hoelgaard</x:v>
      </x:c>
    </x:row>
    <x:row r="172" ht="26" customHeight="1">
      <x:c r="A172" s="82" t="n">
        <x:v>168</x:v>
      </x:c>
      <x:c r="B172" s="82" t="str">
        <x:v>Afonso Eulálio</x:v>
      </x:c>
      <x:c r="C172" s="143" t="str"/>
      <x:c r="D172" s="82" t="str">
        <x:v>ポルトガル</x:v>
      </x:c>
      <x:c r="E172" s="82" t="str">
        <x:v>Team Bahrain Victorious</x:v>
      </x:c>
      <x:c r="F172" s="82" t="str">
        <x:v>2001-09-30</x:v>
      </x:c>
      <x:c r="G172" s="82" t="str">
        <x:v>現役確認済</x:v>
      </x:c>
      <x:c r="H172" s="82" t="str">
        <x:v>クライマー</x:v>
      </x:c>
      <x:c r="I172" s="82" t="str">
        <x:v>総合型</x:v>
      </x:c>
      <x:c r="J172" s="85" t="n">
        <x:v>72</x:v>
      </x:c>
      <x:c r="K172" s="85" t="n">
        <x:v>74</x:v>
      </x:c>
      <x:c r="L172" s="91" t="str">
        <x:v>山岳賞ハンター / 山岳アシスト / 山岳ペースメーカー / 集団コントローラー</x:v>
      </x:c>
      <x:c r="M172" s="88" t="n">
        <x:v>5050</x:v>
      </x:c>
      <x:c r="N172" s="85" t="n">
        <x:v>57</x:v>
      </x:c>
      <x:c r="O172" s="85" t="n">
        <x:v>63</x:v>
      </x:c>
      <x:c r="P172" s="85" t="n">
        <x:v>68</x:v>
      </x:c>
      <x:c r="Q172" s="85" t="n">
        <x:v>65</x:v>
      </x:c>
      <x:c r="R172" s="85" t="n">
        <x:v>81</x:v>
      </x:c>
      <x:c r="S172" s="85" t="n">
        <x:v>73</x:v>
      </x:c>
      <x:c r="T172" s="85" t="n">
        <x:v>72</x:v>
      </x:c>
      <x:c r="U172" s="85" t="n">
        <x:v>63</x:v>
      </x:c>
      <x:c r="V172" s="85" t="n">
        <x:v>69</x:v>
      </x:c>
      <x:c r="W172" s="85" t="n">
        <x:v>56</x:v>
      </x:c>
      <x:c r="X172" s="85" t="n">
        <x:v>74</x:v>
      </x:c>
      <x:c r="Y172" s="85" t="n">
        <x:v>73</x:v>
      </x:c>
      <x:c r="Z172" s="85" t="n">
        <x:v>74</x:v>
      </x:c>
      <x:c r="AA172" s="85" t="n">
        <x:v>68</x:v>
      </x:c>
      <x:c r="AB172" s="85" t="n">
        <x:v>72</x:v>
      </x:c>
      <x:c r="AC172" s="91" t="str">
        <x:v>2026 UCI WorldTeam名簿掲載</x:v>
      </x:c>
      <x:c r="AD172" s="91" t="str">
        <x:v>https://en.wikipedia.org/wiki/List_of_2026_UCI_WorldTeams_and_riders</x:v>
      </x:c>
      <x:c r="AE172" s="91" t="str">
        <x:v>能力・適性・Credit整合済</x:v>
      </x:c>
      <x:c r="AF172" s="91" t="str">
        <x:v>https://en.wikipedia.org/wiki/Afonso_Eul%C3%A1lio</x:v>
      </x:c>
    </x:row>
    <x:row r="173" ht="26" customHeight="1">
      <x:c r="A173" s="82" t="n">
        <x:v>169</x:v>
      </x:c>
      <x:c r="B173" s="82" t="str">
        <x:v>Chris Hamilton (cyclist)</x:v>
      </x:c>
      <x:c r="C173" s="143" t="str"/>
      <x:c r="D173" s="82" t="str">
        <x:v>オーストラリア</x:v>
      </x:c>
      <x:c r="E173" s="82" t="str">
        <x:v>Team Picnic–PostNL</x:v>
      </x:c>
      <x:c r="F173" s="82" t="str">
        <x:v>1995-05-18</x:v>
      </x:c>
      <x:c r="G173" s="82" t="str">
        <x:v>現役確認済</x:v>
      </x:c>
      <x:c r="H173" s="82" t="str">
        <x:v>クライマー</x:v>
      </x:c>
      <x:c r="I173" s="82" t="str">
        <x:v>総合型</x:v>
      </x:c>
      <x:c r="J173" s="85" t="n">
        <x:v>72</x:v>
      </x:c>
      <x:c r="K173" s="85" t="n">
        <x:v>76</x:v>
      </x:c>
      <x:c r="L173" s="91" t="str">
        <x:v>ロードキャプテン / 山岳アシスト / 山岳ペースメーカー / 集団コントローラー / サテライトライダー</x:v>
      </x:c>
      <x:c r="M173" s="88" t="n">
        <x:v>5000</x:v>
      </x:c>
      <x:c r="N173" s="85" t="n">
        <x:v>57</x:v>
      </x:c>
      <x:c r="O173" s="85" t="n">
        <x:v>65</x:v>
      </x:c>
      <x:c r="P173" s="85" t="n">
        <x:v>68</x:v>
      </x:c>
      <x:c r="Q173" s="85" t="n">
        <x:v>66</x:v>
      </x:c>
      <x:c r="R173" s="85" t="n">
        <x:v>77</x:v>
      </x:c>
      <x:c r="S173" s="85" t="n">
        <x:v>72</x:v>
      </x:c>
      <x:c r="T173" s="85" t="n">
        <x:v>71</x:v>
      </x:c>
      <x:c r="U173" s="85" t="n">
        <x:v>66</x:v>
      </x:c>
      <x:c r="V173" s="85" t="n">
        <x:v>70</x:v>
      </x:c>
      <x:c r="W173" s="85" t="n">
        <x:v>57</x:v>
      </x:c>
      <x:c r="X173" s="85" t="n">
        <x:v>76</x:v>
      </x:c>
      <x:c r="Y173" s="85" t="n">
        <x:v>76</x:v>
      </x:c>
      <x:c r="Z173" s="85" t="n">
        <x:v>75</x:v>
      </x:c>
      <x:c r="AA173" s="85" t="n">
        <x:v>69</x:v>
      </x:c>
      <x:c r="AB173" s="85" t="n">
        <x:v>71</x:v>
      </x:c>
      <x:c r="AC173" s="91" t="str">
        <x:v>2026 UCI WorldTeam名簿掲載</x:v>
      </x:c>
      <x:c r="AD173" s="91" t="str">
        <x:v>https://en.wikipedia.org/wiki/List_of_2026_UCI_WorldTeams_and_riders</x:v>
      </x:c>
      <x:c r="AE173" s="91" t="str">
        <x:v>能力・適性・Credit整合済</x:v>
      </x:c>
      <x:c r="AF173" s="91" t="str">
        <x:v>https://en.wikipedia.org/wiki/Chris_Hamilton_(cyclist)</x:v>
      </x:c>
    </x:row>
    <x:row r="174" ht="26" customHeight="1">
      <x:c r="A174" s="82" t="n">
        <x:v>170</x:v>
      </x:c>
      <x:c r="B174" s="82" t="str">
        <x:v>Jonas Geens</x:v>
      </x:c>
      <x:c r="C174" s="143" t="str"/>
      <x:c r="D174" s="82" t="str">
        <x:v>ベルギー</x:v>
      </x:c>
      <x:c r="E174" s="82" t="str">
        <x:v>Alpecin–Premier Tech</x:v>
      </x:c>
      <x:c r="F174" s="82" t="str">
        <x:v>1999-01-04</x:v>
      </x:c>
      <x:c r="G174" s="82" t="str">
        <x:v>現役確認済</x:v>
      </x:c>
      <x:c r="H174" s="82" t="str">
        <x:v>クライマー</x:v>
      </x:c>
      <x:c r="I174" s="82" t="str">
        <x:v>スプリンター</x:v>
      </x:c>
      <x:c r="J174" s="85" t="n">
        <x:v>72</x:v>
      </x:c>
      <x:c r="K174" s="85" t="n">
        <x:v>75</x:v>
      </x:c>
      <x:c r="L174" s="91" t="str">
        <x:v>山岳賞ハンター / スプリントトレイン / 山岳アシスト / 山岳番手</x:v>
      </x:c>
      <x:c r="M174" s="88" t="n">
        <x:v>4750</x:v>
      </x:c>
      <x:c r="N174" s="85" t="n">
        <x:v>56</x:v>
      </x:c>
      <x:c r="O174" s="85" t="n">
        <x:v>66</x:v>
      </x:c>
      <x:c r="P174" s="85" t="n">
        <x:v>67</x:v>
      </x:c>
      <x:c r="Q174" s="85" t="n">
        <x:v>64</x:v>
      </x:c>
      <x:c r="R174" s="85" t="n">
        <x:v>76</x:v>
      </x:c>
      <x:c r="S174" s="85" t="n">
        <x:v>75</x:v>
      </x:c>
      <x:c r="T174" s="85" t="n">
        <x:v>73</x:v>
      </x:c>
      <x:c r="U174" s="85" t="n">
        <x:v>61</x:v>
      </x:c>
      <x:c r="V174" s="85" t="n">
        <x:v>68</x:v>
      </x:c>
      <x:c r="W174" s="85" t="n">
        <x:v>52</x:v>
      </x:c>
      <x:c r="X174" s="85" t="n">
        <x:v>75</x:v>
      </x:c>
      <x:c r="Y174" s="85" t="n">
        <x:v>73</x:v>
      </x:c>
      <x:c r="Z174" s="85" t="n">
        <x:v>73</x:v>
      </x:c>
      <x:c r="AA174" s="85" t="n">
        <x:v>68</x:v>
      </x:c>
      <x:c r="AB174" s="85" t="n">
        <x:v>70</x:v>
      </x:c>
      <x:c r="AC174" s="91" t="str">
        <x:v>2026 UCI WorldTeam名簿掲載</x:v>
      </x:c>
      <x:c r="AD174" s="91" t="str">
        <x:v>https://en.wikipedia.org/wiki/List_of_2026_UCI_WorldTeams_and_riders</x:v>
      </x:c>
      <x:c r="AE174" s="91" t="str">
        <x:v>能力・適性・Credit整合済</x:v>
      </x:c>
      <x:c r="AF174" s="91" t="str">
        <x:v>https://en.wikipedia.org/wiki/Jonas_Geens</x:v>
      </x:c>
    </x:row>
    <x:row r="175" ht="26" customHeight="1">
      <x:c r="A175" s="82" t="n">
        <x:v>171</x:v>
      </x:c>
      <x:c r="B175" s="82" t="str">
        <x:v>Adrià Pericas</x:v>
      </x:c>
      <x:c r="C175" s="143" t="str"/>
      <x:c r="D175" s="82" t="str">
        <x:v>スペイン</x:v>
      </x:c>
      <x:c r="E175" s="82" t="str">
        <x:v>UAE Team Emirates XRG</x:v>
      </x:c>
      <x:c r="F175" s="82" t="str">
        <x:v>2006-05-26</x:v>
      </x:c>
      <x:c r="G175" s="82" t="str">
        <x:v>現役確認済</x:v>
      </x:c>
      <x:c r="H175" s="82" t="str">
        <x:v>クラシック型</x:v>
      </x:c>
      <x:c r="I175" s="82" t="str">
        <x:v>パンチャー</x:v>
      </x:c>
      <x:c r="J175" s="85" t="n">
        <x:v>72</x:v>
      </x:c>
      <x:c r="K175" s="85" t="n">
        <x:v>74</x:v>
      </x:c>
      <x:c r="L175" s="91" t="str">
        <x:v>石畳護衛 / ブリッジャー</x:v>
      </x:c>
      <x:c r="M175" s="88" t="n">
        <x:v>4600</x:v>
      </x:c>
      <x:c r="N175" s="85" t="n">
        <x:v>69</x:v>
      </x:c>
      <x:c r="O175" s="85" t="n">
        <x:v>72</x:v>
      </x:c>
      <x:c r="P175" s="85" t="n">
        <x:v>72</x:v>
      </x:c>
      <x:c r="Q175" s="85" t="n">
        <x:v>73</x:v>
      </x:c>
      <x:c r="R175" s="85" t="n">
        <x:v>62</x:v>
      </x:c>
      <x:c r="S175" s="85" t="n">
        <x:v>74</x:v>
      </x:c>
      <x:c r="T175" s="85" t="n">
        <x:v>72</x:v>
      </x:c>
      <x:c r="U175" s="85" t="n">
        <x:v>73</x:v>
      </x:c>
      <x:c r="V175" s="85" t="n">
        <x:v>77</x:v>
      </x:c>
      <x:c r="W175" s="85" t="n">
        <x:v>69</x:v>
      </x:c>
      <x:c r="X175" s="85" t="n">
        <x:v>65</x:v>
      </x:c>
      <x:c r="Y175" s="85" t="n">
        <x:v>68</x:v>
      </x:c>
      <x:c r="Z175" s="85" t="n">
        <x:v>70</x:v>
      </x:c>
      <x:c r="AA175" s="85" t="n">
        <x:v>68</x:v>
      </x:c>
      <x:c r="AB175" s="85" t="n">
        <x:v>71</x:v>
      </x:c>
      <x:c r="AC175" s="91" t="str">
        <x:v>2026 UCI WorldTeam名簿掲載</x:v>
      </x:c>
      <x:c r="AD175" s="91" t="str">
        <x:v>https://en.wikipedia.org/wiki/List_of_2026_UCI_WorldTeams_and_riders</x:v>
      </x:c>
      <x:c r="AE175" s="91" t="str">
        <x:v>能力・適性・Credit整合済</x:v>
      </x:c>
      <x:c r="AF175" s="91" t="str">
        <x:v>https://en.wikipedia.org/wiki/Adri%C3%A0_Pericas</x:v>
      </x:c>
    </x:row>
    <x:row r="176" ht="26" customHeight="1">
      <x:c r="A176" s="82" t="n">
        <x:v>172</x:v>
      </x:c>
      <x:c r="B176" s="82" t="str">
        <x:v>Gerben Thijssen</x:v>
      </x:c>
      <x:c r="C176" s="143" t="str"/>
      <x:c r="D176" s="82" t="str">
        <x:v>ベルギー</x:v>
      </x:c>
      <x:c r="E176" s="82" t="str">
        <x:v>Alpecin–Premier Tech</x:v>
      </x:c>
      <x:c r="F176" s="82" t="str">
        <x:v>1998-06-21</x:v>
      </x:c>
      <x:c r="G176" s="82" t="str">
        <x:v>現役確認済</x:v>
      </x:c>
      <x:c r="H176" s="82" t="str">
        <x:v>スプリンター</x:v>
      </x:c>
      <x:c r="I176" s="82" t="str">
        <x:v>クラシック型</x:v>
      </x:c>
      <x:c r="J176" s="85" t="n">
        <x:v>72</x:v>
      </x:c>
      <x:c r="K176" s="85" t="n">
        <x:v>71</x:v>
      </x:c>
      <x:c r="L176" s="91" t="str">
        <x:v>ロードキャプテン / ステージハンター / リードアウト / 最終発射台</x:v>
      </x:c>
      <x:c r="M176" s="88" t="n">
        <x:v>4450</x:v>
      </x:c>
      <x:c r="N176" s="85" t="n">
        <x:v>80</x:v>
      </x:c>
      <x:c r="O176" s="85" t="n">
        <x:v>75</x:v>
      </x:c>
      <x:c r="P176" s="85" t="n">
        <x:v>68</x:v>
      </x:c>
      <x:c r="Q176" s="85" t="n">
        <x:v>70</x:v>
      </x:c>
      <x:c r="R176" s="85" t="n">
        <x:v>61</x:v>
      </x:c>
      <x:c r="S176" s="85" t="n">
        <x:v>68</x:v>
      </x:c>
      <x:c r="T176" s="85" t="n">
        <x:v>64</x:v>
      </x:c>
      <x:c r="U176" s="85" t="n">
        <x:v>67</x:v>
      </x:c>
      <x:c r="V176" s="85" t="n">
        <x:v>69</x:v>
      </x:c>
      <x:c r="W176" s="85" t="n">
        <x:v>54</x:v>
      </x:c>
      <x:c r="X176" s="85" t="n">
        <x:v>66</x:v>
      </x:c>
      <x:c r="Y176" s="85" t="n">
        <x:v>69</x:v>
      </x:c>
      <x:c r="Z176" s="85" t="n">
        <x:v>71</x:v>
      </x:c>
      <x:c r="AA176" s="85" t="n">
        <x:v>76</x:v>
      </x:c>
      <x:c r="AB176" s="85" t="n">
        <x:v>70</x:v>
      </x:c>
      <x:c r="AC176" s="91" t="str">
        <x:v>2026 UCI WorldTeam名簿掲載</x:v>
      </x:c>
      <x:c r="AD176" s="91" t="str">
        <x:v>https://en.wikipedia.org/wiki/List_of_2026_UCI_WorldTeams_and_riders</x:v>
      </x:c>
      <x:c r="AE176" s="91" t="str">
        <x:v>能力・適性・Credit整合済</x:v>
      </x:c>
      <x:c r="AF176" s="91" t="str">
        <x:v>https://en.wikipedia.org/wiki/Gerben_Thijssen</x:v>
      </x:c>
    </x:row>
    <x:row r="177" ht="26" customHeight="1">
      <x:c r="A177" s="82" t="n">
        <x:v>173</x:v>
      </x:c>
      <x:c r="B177" s="82" t="str">
        <x:v>Anders Foldager</x:v>
      </x:c>
      <x:c r="C177" s="143" t="str"/>
      <x:c r="D177" s="82" t="str">
        <x:v>デンマーク</x:v>
      </x:c>
      <x:c r="E177" s="82" t="str">
        <x:v>Team Jayco–AlUla</x:v>
      </x:c>
      <x:c r="F177" s="82" t="str">
        <x:v>2001-07-27</x:v>
      </x:c>
      <x:c r="G177" s="82" t="str">
        <x:v>現役確認済</x:v>
      </x:c>
      <x:c r="H177" s="82" t="str">
        <x:v>パンチャー</x:v>
      </x:c>
      <x:c r="I177" s="82" t="str">
        <x:v>クライマー</x:v>
      </x:c>
      <x:c r="J177" s="85" t="n">
        <x:v>72</x:v>
      </x:c>
      <x:c r="K177" s="85" t="n">
        <x:v>69</x:v>
      </x:c>
      <x:c r="L177" s="91" t="str">
        <x:v>ステージハンター / 山岳賞ハンター</x:v>
      </x:c>
      <x:c r="M177" s="88" t="n">
        <x:v>4350</x:v>
      </x:c>
      <x:c r="N177" s="85" t="n">
        <x:v>69</x:v>
      </x:c>
      <x:c r="O177" s="85" t="n">
        <x:v>75</x:v>
      </x:c>
      <x:c r="P177" s="85" t="n">
        <x:v>78</x:v>
      </x:c>
      <x:c r="Q177" s="85" t="n">
        <x:v>68</x:v>
      </x:c>
      <x:c r="R177" s="85" t="n">
        <x:v>72</x:v>
      </x:c>
      <x:c r="S177" s="85" t="n">
        <x:v>68</x:v>
      </x:c>
      <x:c r="T177" s="85" t="n">
        <x:v>67</x:v>
      </x:c>
      <x:c r="U177" s="85" t="n">
        <x:v>69</x:v>
      </x:c>
      <x:c r="V177" s="85" t="n">
        <x:v>70</x:v>
      </x:c>
      <x:c r="W177" s="85" t="n">
        <x:v>54</x:v>
      </x:c>
      <x:c r="X177" s="85" t="n">
        <x:v>68</x:v>
      </x:c>
      <x:c r="Y177" s="85" t="n">
        <x:v>69</x:v>
      </x:c>
      <x:c r="Z177" s="85" t="n">
        <x:v>67</x:v>
      </x:c>
      <x:c r="AA177" s="85" t="n">
        <x:v>74</x:v>
      </x:c>
      <x:c r="AB177" s="85" t="n">
        <x:v>74</x:v>
      </x:c>
      <x:c r="AC177" s="91" t="str">
        <x:v>2026 UCI WorldTeam名簿掲載</x:v>
      </x:c>
      <x:c r="AD177" s="91" t="str">
        <x:v>https://en.wikipedia.org/wiki/List_of_2026_UCI_WorldTeams_and_riders</x:v>
      </x:c>
      <x:c r="AE177" s="91" t="str">
        <x:v>能力・適性・Credit整合済</x:v>
      </x:c>
      <x:c r="AF177" s="91" t="str">
        <x:v>https://en.wikipedia.org/wiki/Anders_Foldager</x:v>
      </x:c>
    </x:row>
    <x:row r="178" ht="26" customHeight="1">
      <x:c r="A178" s="82" t="n">
        <x:v>174</x:v>
      </x:c>
      <x:c r="B178" s="82" t="str">
        <x:v>Alberto Bruttomesso</x:v>
      </x:c>
      <x:c r="C178" s="143" t="str"/>
      <x:c r="D178" s="82" t="str">
        <x:v>イタリア</x:v>
      </x:c>
      <x:c r="E178" s="82" t="str">
        <x:v>Team Bahrain Victorious</x:v>
      </x:c>
      <x:c r="F178" s="82" t="str">
        <x:v>2003-10-30</x:v>
      </x:c>
      <x:c r="G178" s="82" t="str">
        <x:v>現役確認済</x:v>
      </x:c>
      <x:c r="H178" s="82" t="str">
        <x:v>クラシック型</x:v>
      </x:c>
      <x:c r="I178" s="82" t="str">
        <x:v>TT・ルーラー型</x:v>
      </x:c>
      <x:c r="J178" s="85" t="n">
        <x:v>72</x:v>
      </x:c>
      <x:c r="K178" s="85" t="n">
        <x:v>73</x:v>
      </x:c>
      <x:c r="L178" s="91" t="str">
        <x:v>石畳護衛 / 横風分断</x:v>
      </x:c>
      <x:c r="M178" s="88" t="n">
        <x:v>4250</x:v>
      </x:c>
      <x:c r="N178" s="85" t="n">
        <x:v>71</x:v>
      </x:c>
      <x:c r="O178" s="85" t="n">
        <x:v>71</x:v>
      </x:c>
      <x:c r="P178" s="85" t="n">
        <x:v>72</x:v>
      </x:c>
      <x:c r="Q178" s="85" t="n">
        <x:v>74</x:v>
      </x:c>
      <x:c r="R178" s="85" t="n">
        <x:v>62</x:v>
      </x:c>
      <x:c r="S178" s="85" t="n">
        <x:v>69</x:v>
      </x:c>
      <x:c r="T178" s="85" t="n">
        <x:v>71</x:v>
      </x:c>
      <x:c r="U178" s="85" t="n">
        <x:v>77</x:v>
      </x:c>
      <x:c r="V178" s="85" t="n">
        <x:v>75</x:v>
      </x:c>
      <x:c r="W178" s="85" t="n">
        <x:v>67</x:v>
      </x:c>
      <x:c r="X178" s="85" t="n">
        <x:v>66</x:v>
      </x:c>
      <x:c r="Y178" s="85" t="n">
        <x:v>62</x:v>
      </x:c>
      <x:c r="Z178" s="85" t="n">
        <x:v>71</x:v>
      </x:c>
      <x:c r="AA178" s="85" t="n">
        <x:v>67</x:v>
      </x:c>
      <x:c r="AB178" s="85" t="n">
        <x:v>71</x:v>
      </x:c>
      <x:c r="AC178" s="91" t="str">
        <x:v>2026 UCI WorldTeam名簿掲載</x:v>
      </x:c>
      <x:c r="AD178" s="91" t="str">
        <x:v>https://en.wikipedia.org/wiki/List_of_2026_UCI_WorldTeams_and_riders</x:v>
      </x:c>
      <x:c r="AE178" s="91" t="str">
        <x:v>能力・適性・Credit整合済</x:v>
      </x:c>
      <x:c r="AF178" s="91" t="str">
        <x:v>https://en.wikipedia.org/wiki/Alberto_Bruttomesso</x:v>
      </x:c>
    </x:row>
    <x:row r="179" ht="26" customHeight="1">
      <x:c r="A179" s="82" t="n">
        <x:v>175</x:v>
      </x:c>
      <x:c r="B179" s="82" t="str">
        <x:v>Emiel Verstrynge</x:v>
      </x:c>
      <x:c r="C179" s="143" t="str"/>
      <x:c r="D179" s="82" t="str">
        <x:v>ベルギー</x:v>
      </x:c>
      <x:c r="E179" s="82" t="str">
        <x:v>Alpecin–Premier Tech</x:v>
      </x:c>
      <x:c r="F179" s="82" t="str">
        <x:v>2002-02-04</x:v>
      </x:c>
      <x:c r="G179" s="82" t="str">
        <x:v>現役確認済</x:v>
      </x:c>
      <x:c r="H179" s="82" t="str">
        <x:v>パンチャー</x:v>
      </x:c>
      <x:c r="I179" s="82" t="str">
        <x:v>スプリンター</x:v>
      </x:c>
      <x:c r="J179" s="85" t="n">
        <x:v>72</x:v>
      </x:c>
      <x:c r="K179" s="85" t="n">
        <x:v>71</x:v>
      </x:c>
      <x:c r="L179" s="91" t="str">
        <x:v>ステージハンター / スプリントトレイン / 下り牽引</x:v>
      </x:c>
      <x:c r="M179" s="88" t="n">
        <x:v>4250</x:v>
      </x:c>
      <x:c r="N179" s="85" t="n">
        <x:v>70</x:v>
      </x:c>
      <x:c r="O179" s="85" t="n">
        <x:v>73</x:v>
      </x:c>
      <x:c r="P179" s="85" t="n">
        <x:v>76</x:v>
      </x:c>
      <x:c r="Q179" s="85" t="n">
        <x:v>67</x:v>
      </x:c>
      <x:c r="R179" s="85" t="n">
        <x:v>71</x:v>
      </x:c>
      <x:c r="S179" s="85" t="n">
        <x:v>64</x:v>
      </x:c>
      <x:c r="T179" s="85" t="n">
        <x:v>68</x:v>
      </x:c>
      <x:c r="U179" s="85" t="n">
        <x:v>69</x:v>
      </x:c>
      <x:c r="V179" s="85" t="n">
        <x:v>73</x:v>
      </x:c>
      <x:c r="W179" s="85" t="n">
        <x:v>55</x:v>
      </x:c>
      <x:c r="X179" s="85" t="n">
        <x:v>70</x:v>
      </x:c>
      <x:c r="Y179" s="85" t="n">
        <x:v>70</x:v>
      </x:c>
      <x:c r="Z179" s="85" t="n">
        <x:v>69</x:v>
      </x:c>
      <x:c r="AA179" s="85" t="n">
        <x:v>73</x:v>
      </x:c>
      <x:c r="AB179" s="85" t="n">
        <x:v>75</x:v>
      </x:c>
      <x:c r="AC179" s="91" t="str">
        <x:v>2026 UCI WorldTeam名簿掲載</x:v>
      </x:c>
      <x:c r="AD179" s="91" t="str">
        <x:v>https://en.wikipedia.org/wiki/List_of_2026_UCI_WorldTeams_and_riders</x:v>
      </x:c>
      <x:c r="AE179" s="91" t="str">
        <x:v>能力・適性・Credit整合済</x:v>
      </x:c>
      <x:c r="AF179" s="91" t="str">
        <x:v>https://en.wikipedia.org/wiki/Emiel_Verstrynge</x:v>
      </x:c>
    </x:row>
    <x:row r="180" ht="26" customHeight="1">
      <x:c r="A180" s="82" t="n">
        <x:v>176</x:v>
      </x:c>
      <x:c r="B180" s="82" t="str">
        <x:v>Davide Toneatti</x:v>
      </x:c>
      <x:c r="C180" s="143" t="str"/>
      <x:c r="D180" s="82" t="str">
        <x:v>イタリア</x:v>
      </x:c>
      <x:c r="E180" s="82" t="str">
        <x:v>XDS Astana Team</x:v>
      </x:c>
      <x:c r="F180" s="82" t="str">
        <x:v>2001-04-09</x:v>
      </x:c>
      <x:c r="G180" s="82" t="str">
        <x:v>現役確認済</x:v>
      </x:c>
      <x:c r="H180" s="82" t="str">
        <x:v>クラシック型</x:v>
      </x:c>
      <x:c r="I180" s="82" t="str">
        <x:v>クライマー</x:v>
      </x:c>
      <x:c r="J180" s="85" t="n">
        <x:v>72</x:v>
      </x:c>
      <x:c r="K180" s="85" t="n">
        <x:v>73</x:v>
      </x:c>
      <x:c r="L180" s="91" t="str">
        <x:v>ステージハンター / 山岳賞ハンター / 石畳護衛</x:v>
      </x:c>
      <x:c r="M180" s="88" t="n">
        <x:v>4200</x:v>
      </x:c>
      <x:c r="N180" s="85" t="n">
        <x:v>74</x:v>
      </x:c>
      <x:c r="O180" s="85" t="n">
        <x:v>70</x:v>
      </x:c>
      <x:c r="P180" s="85" t="n">
        <x:v>73</x:v>
      </x:c>
      <x:c r="Q180" s="85" t="n">
        <x:v>74</x:v>
      </x:c>
      <x:c r="R180" s="85" t="n">
        <x:v>60</x:v>
      </x:c>
      <x:c r="S180" s="85" t="n">
        <x:v>71</x:v>
      </x:c>
      <x:c r="T180" s="85" t="n">
        <x:v>71</x:v>
      </x:c>
      <x:c r="U180" s="85" t="n">
        <x:v>71</x:v>
      </x:c>
      <x:c r="V180" s="85" t="n">
        <x:v>75</x:v>
      </x:c>
      <x:c r="W180" s="85" t="n">
        <x:v>66</x:v>
      </x:c>
      <x:c r="X180" s="85" t="n">
        <x:v>63</x:v>
      </x:c>
      <x:c r="Y180" s="85" t="n">
        <x:v>62</x:v>
      </x:c>
      <x:c r="Z180" s="85" t="n">
        <x:v>73</x:v>
      </x:c>
      <x:c r="AA180" s="85" t="n">
        <x:v>69</x:v>
      </x:c>
      <x:c r="AB180" s="85" t="n">
        <x:v>76</x:v>
      </x:c>
      <x:c r="AC180" s="91" t="str">
        <x:v>2026 UCI WorldTeam名簿掲載</x:v>
      </x:c>
      <x:c r="AD180" s="91" t="str">
        <x:v>https://en.wikipedia.org/wiki/List_of_2026_UCI_WorldTeams_and_riders</x:v>
      </x:c>
      <x:c r="AE180" s="91" t="str">
        <x:v>能力・適性・Credit整合済</x:v>
      </x:c>
      <x:c r="AF180" s="91" t="str">
        <x:v>https://en.wikipedia.org/wiki/Davide_Toneatti</x:v>
      </x:c>
    </x:row>
    <x:row r="181" ht="26" customHeight="1">
      <x:c r="A181" s="82" t="n">
        <x:v>177</x:v>
      </x:c>
      <x:c r="B181" s="82" t="str">
        <x:v>Arne Marit</x:v>
      </x:c>
      <x:c r="C181" s="143" t="str"/>
      <x:c r="D181" s="82" t="str">
        <x:v>ベルギー</x:v>
      </x:c>
      <x:c r="E181" s="82" t="str">
        <x:v>Red Bull–Bora–Hansgrohe</x:v>
      </x:c>
      <x:c r="F181" s="82" t="str">
        <x:v>1999-01-21</x:v>
      </x:c>
      <x:c r="G181" s="82" t="str">
        <x:v>現役確認済</x:v>
      </x:c>
      <x:c r="H181" s="82" t="str">
        <x:v>スプリンター</x:v>
      </x:c>
      <x:c r="I181" s="82" t="str">
        <x:v>総合型</x:v>
      </x:c>
      <x:c r="J181" s="85" t="n">
        <x:v>72</x:v>
      </x:c>
      <x:c r="K181" s="85" t="n">
        <x:v>68</x:v>
      </x:c>
      <x:c r="L181" s="91" t="str">
        <x:v>リードアウト / 最終発射台 / スプリントトレイン / 集団コントローラー</x:v>
      </x:c>
      <x:c r="M181" s="88" t="n">
        <x:v>4100</x:v>
      </x:c>
      <x:c r="N181" s="85" t="n">
        <x:v>81</x:v>
      </x:c>
      <x:c r="O181" s="85" t="n">
        <x:v>74</x:v>
      </x:c>
      <x:c r="P181" s="85" t="n">
        <x:v>66</x:v>
      </x:c>
      <x:c r="Q181" s="85" t="n">
        <x:v>68</x:v>
      </x:c>
      <x:c r="R181" s="85" t="n">
        <x:v>58</x:v>
      </x:c>
      <x:c r="S181" s="85" t="n">
        <x:v>66</x:v>
      </x:c>
      <x:c r="T181" s="85" t="n">
        <x:v>66</x:v>
      </x:c>
      <x:c r="U181" s="85" t="n">
        <x:v>66</x:v>
      </x:c>
      <x:c r="V181" s="85" t="n">
        <x:v>70</x:v>
      </x:c>
      <x:c r="W181" s="85" t="n">
        <x:v>55</x:v>
      </x:c>
      <x:c r="X181" s="85" t="n">
        <x:v>62</x:v>
      </x:c>
      <x:c r="Y181" s="85" t="n">
        <x:v>61</x:v>
      </x:c>
      <x:c r="Z181" s="85" t="n">
        <x:v>67</x:v>
      </x:c>
      <x:c r="AA181" s="85" t="n">
        <x:v>76</x:v>
      </x:c>
      <x:c r="AB181" s="85" t="n">
        <x:v>66</x:v>
      </x:c>
      <x:c r="AC181" s="91" t="str">
        <x:v>2026 UCI WorldTeam名簿掲載</x:v>
      </x:c>
      <x:c r="AD181" s="91" t="str">
        <x:v>https://en.wikipedia.org/wiki/List_of_2026_UCI_WorldTeams_and_riders</x:v>
      </x:c>
      <x:c r="AE181" s="91" t="str">
        <x:v>能力・適性・Credit整合済</x:v>
      </x:c>
      <x:c r="AF181" s="91" t="str">
        <x:v>https://en.wikipedia.org/wiki/Arne_Marit</x:v>
      </x:c>
    </x:row>
    <x:row r="182" ht="26" customHeight="1">
      <x:c r="A182" s="82" t="n">
        <x:v>178</x:v>
      </x:c>
      <x:c r="B182" s="82" t="str">
        <x:v>Brady Gilmore</x:v>
      </x:c>
      <x:c r="C182" s="143" t="str"/>
      <x:c r="D182" s="82" t="str">
        <x:v>オーストラリア</x:v>
      </x:c>
      <x:c r="E182" s="82" t="str">
        <x:v>NSN Cycling Team</x:v>
      </x:c>
      <x:c r="F182" s="82" t="str">
        <x:v>2001-04-14</x:v>
      </x:c>
      <x:c r="G182" s="82" t="str">
        <x:v>現役確認済</x:v>
      </x:c>
      <x:c r="H182" s="82" t="str">
        <x:v>パンチャー</x:v>
      </x:c>
      <x:c r="I182" s="82" t="str">
        <x:v>総合型</x:v>
      </x:c>
      <x:c r="J182" s="85" t="n">
        <x:v>72</x:v>
      </x:c>
      <x:c r="K182" s="85" t="n">
        <x:v>68</x:v>
      </x:c>
      <x:c r="L182" s="91" t="str">
        <x:v>ステージハンター / 山岳賞ハンター / 集団コントローラー / 無賃乗車</x:v>
      </x:c>
      <x:c r="M182" s="88" t="n">
        <x:v>3950</x:v>
      </x:c>
      <x:c r="N182" s="85" t="n">
        <x:v>68</x:v>
      </x:c>
      <x:c r="O182" s="85" t="n">
        <x:v>71</x:v>
      </x:c>
      <x:c r="P182" s="85" t="n">
        <x:v>78</x:v>
      </x:c>
      <x:c r="Q182" s="85" t="n">
        <x:v>67</x:v>
      </x:c>
      <x:c r="R182" s="85" t="n">
        <x:v>72</x:v>
      </x:c>
      <x:c r="S182" s="85" t="n">
        <x:v>64</x:v>
      </x:c>
      <x:c r="T182" s="85" t="n">
        <x:v>64</x:v>
      </x:c>
      <x:c r="U182" s="85" t="n">
        <x:v>73</x:v>
      </x:c>
      <x:c r="V182" s="85" t="n">
        <x:v>74</x:v>
      </x:c>
      <x:c r="W182" s="85" t="n">
        <x:v>58</x:v>
      </x:c>
      <x:c r="X182" s="85" t="n">
        <x:v>68</x:v>
      </x:c>
      <x:c r="Y182" s="85" t="n">
        <x:v>69</x:v>
      </x:c>
      <x:c r="Z182" s="85" t="n">
        <x:v>64</x:v>
      </x:c>
      <x:c r="AA182" s="85" t="n">
        <x:v>69</x:v>
      </x:c>
      <x:c r="AB182" s="85" t="n">
        <x:v>69</x:v>
      </x:c>
      <x:c r="AC182" s="91" t="str">
        <x:v>2026 UCI WorldTeam名簿掲載</x:v>
      </x:c>
      <x:c r="AD182" s="91" t="str">
        <x:v>https://en.wikipedia.org/wiki/List_of_2026_UCI_WorldTeams_and_riders</x:v>
      </x:c>
      <x:c r="AE182" s="91" t="str">
        <x:v>能力・適性・Credit整合済</x:v>
      </x:c>
      <x:c r="AF182" s="91" t="str">
        <x:v>https://en.wikipedia.org/wiki/Brady_Gilmore</x:v>
      </x:c>
    </x:row>
    <x:row r="183" ht="26" customHeight="1">
      <x:c r="A183" s="82" t="n">
        <x:v>179</x:v>
      </x:c>
      <x:c r="B183" s="82" t="str">
        <x:v>Johannes Staune-Mittet</x:v>
      </x:c>
      <x:c r="C183" s="143" t="str"/>
      <x:c r="D183" s="82" t="str">
        <x:v>ノルウェー</x:v>
      </x:c>
      <x:c r="E183" s="82" t="str">
        <x:v>Decathlon–CMA CGM</x:v>
      </x:c>
      <x:c r="F183" s="82" t="str">
        <x:v>2002-01-18</x:v>
      </x:c>
      <x:c r="G183" s="82" t="str">
        <x:v>現役確認済</x:v>
      </x:c>
      <x:c r="H183" s="82" t="str">
        <x:v>パンチャー</x:v>
      </x:c>
      <x:c r="I183" s="82" t="str">
        <x:v>TT・ルーラー型</x:v>
      </x:c>
      <x:c r="J183" s="85" t="n">
        <x:v>72</x:v>
      </x:c>
      <x:c r="K183" s="85" t="n">
        <x:v>69</x:v>
      </x:c>
      <x:c r="L183" s="91" t="str">
        <x:v>ステージハンター</x:v>
      </x:c>
      <x:c r="M183" s="88" t="n">
        <x:v>3800</x:v>
      </x:c>
      <x:c r="N183" s="85" t="n">
        <x:v>65</x:v>
      </x:c>
      <x:c r="O183" s="85" t="n">
        <x:v>71</x:v>
      </x:c>
      <x:c r="P183" s="85" t="n">
        <x:v>74</x:v>
      </x:c>
      <x:c r="Q183" s="85" t="n">
        <x:v>66</x:v>
      </x:c>
      <x:c r="R183" s="85" t="n">
        <x:v>71</x:v>
      </x:c>
      <x:c r="S183" s="85" t="n">
        <x:v>67</x:v>
      </x:c>
      <x:c r="T183" s="85" t="n">
        <x:v>64</x:v>
      </x:c>
      <x:c r="U183" s="85" t="n">
        <x:v>69</x:v>
      </x:c>
      <x:c r="V183" s="85" t="n">
        <x:v>72</x:v>
      </x:c>
      <x:c r="W183" s="85" t="n">
        <x:v>56</x:v>
      </x:c>
      <x:c r="X183" s="85" t="n">
        <x:v>66</x:v>
      </x:c>
      <x:c r="Y183" s="85" t="n">
        <x:v>70</x:v>
      </x:c>
      <x:c r="Z183" s="85" t="n">
        <x:v>61</x:v>
      </x:c>
      <x:c r="AA183" s="85" t="n">
        <x:v>70</x:v>
      </x:c>
      <x:c r="AB183" s="85" t="n">
        <x:v>70</x:v>
      </x:c>
      <x:c r="AC183" s="91" t="str">
        <x:v>2026 UCI WorldTeam名簿掲載</x:v>
      </x:c>
      <x:c r="AD183" s="91" t="str">
        <x:v>https://en.wikipedia.org/wiki/List_of_2026_UCI_WorldTeams_and_riders</x:v>
      </x:c>
      <x:c r="AE183" s="91" t="str">
        <x:v>能力・適性・Credit整合済</x:v>
      </x:c>
      <x:c r="AF183" s="91" t="str">
        <x:v>https://en.wikipedia.org/wiki/Johannes_Staune-Mittet</x:v>
      </x:c>
    </x:row>
    <x:row r="184" ht="26" customHeight="1">
      <x:c r="A184" s="82" t="n">
        <x:v>180</x:v>
      </x:c>
      <x:c r="B184" s="82" t="str">
        <x:v>Ayco Bastiaens</x:v>
      </x:c>
      <x:c r="C184" s="143" t="str"/>
      <x:c r="D184" s="82" t="str">
        <x:v>ベルギー</x:v>
      </x:c>
      <x:c r="E184" s="82" t="str">
        <x:v>Soudal–Quick-Step</x:v>
      </x:c>
      <x:c r="F184" s="82" t="str">
        <x:v>1996-06-03</x:v>
      </x:c>
      <x:c r="G184" s="82" t="str">
        <x:v>現役確認済</x:v>
      </x:c>
      <x:c r="H184" s="82" t="str">
        <x:v>スプリンター</x:v>
      </x:c>
      <x:c r="I184" s="82" t="str">
        <x:v>クラシック型</x:v>
      </x:c>
      <x:c r="J184" s="85" t="n">
        <x:v>72</x:v>
      </x:c>
      <x:c r="K184" s="85" t="n">
        <x:v>66</x:v>
      </x:c>
      <x:c r="L184" s="91" t="str">
        <x:v>リードアウト / 最終発射台 / スプリントトレイン / 下り牽引 / 無賃乗車</x:v>
      </x:c>
      <x:c r="M184" s="88" t="n">
        <x:v>3550</x:v>
      </x:c>
      <x:c r="N184" s="85" t="n">
        <x:v>77</x:v>
      </x:c>
      <x:c r="O184" s="85" t="n">
        <x:v>75</x:v>
      </x:c>
      <x:c r="P184" s="85" t="n">
        <x:v>60</x:v>
      </x:c>
      <x:c r="Q184" s="85" t="n">
        <x:v>68</x:v>
      </x:c>
      <x:c r="R184" s="85" t="n">
        <x:v>51</x:v>
      </x:c>
      <x:c r="S184" s="85" t="n">
        <x:v>60</x:v>
      </x:c>
      <x:c r="T184" s="85" t="n">
        <x:v>63</x:v>
      </x:c>
      <x:c r="U184" s="85" t="n">
        <x:v>68</x:v>
      </x:c>
      <x:c r="V184" s="85" t="n">
        <x:v>67</x:v>
      </x:c>
      <x:c r="W184" s="85" t="n">
        <x:v>50</x:v>
      </x:c>
      <x:c r="X184" s="85" t="n">
        <x:v>57</x:v>
      </x:c>
      <x:c r="Y184" s="85" t="n">
        <x:v>60</x:v>
      </x:c>
      <x:c r="Z184" s="85" t="n">
        <x:v>63</x:v>
      </x:c>
      <x:c r="AA184" s="85" t="n">
        <x:v>71</x:v>
      </x:c>
      <x:c r="AB184" s="85" t="n">
        <x:v>65</x:v>
      </x:c>
      <x:c r="AC184" s="91" t="str">
        <x:v>2026 UCI WorldTeam名簿掲載</x:v>
      </x:c>
      <x:c r="AD184" s="91" t="str">
        <x:v>https://en.wikipedia.org/wiki/List_of_2026_UCI_WorldTeams_and_riders</x:v>
      </x:c>
      <x:c r="AE184" s="91" t="str">
        <x:v>能力・適性・Credit整合済</x:v>
      </x:c>
      <x:c r="AF184" s="91" t="str">
        <x:v>https://en.wikipedia.org/wiki/Ayco_Bastiaens</x:v>
      </x:c>
    </x:row>
    <x:row r="185" ht="26" customHeight="1">
      <x:c r="A185" s="82" t="n">
        <x:v>181</x:v>
      </x:c>
      <x:c r="B185" s="82" t="str">
        <x:v>Jensen Plowright</x:v>
      </x:c>
      <x:c r="C185" s="143" t="str"/>
      <x:c r="D185" s="82" t="str">
        <x:v>オーストラリア</x:v>
      </x:c>
      <x:c r="E185" s="82" t="str">
        <x:v>Alpecin–Premier Tech</x:v>
      </x:c>
      <x:c r="F185" s="82" t="str">
        <x:v>2000-05-15</x:v>
      </x:c>
      <x:c r="G185" s="82" t="str">
        <x:v>現役確認済</x:v>
      </x:c>
      <x:c r="H185" s="82" t="str">
        <x:v>スプリンター</x:v>
      </x:c>
      <x:c r="I185" s="82" t="str">
        <x:v>総合型</x:v>
      </x:c>
      <x:c r="J185" s="85" t="n">
        <x:v>72</x:v>
      </x:c>
      <x:c r="K185" s="85" t="n">
        <x:v>64</x:v>
      </x:c>
      <x:c r="L185" s="91" t="str">
        <x:v>リードアウト / 集団コントローラー</x:v>
      </x:c>
      <x:c r="M185" s="88" t="n">
        <x:v>3450</x:v>
      </x:c>
      <x:c r="N185" s="85" t="n">
        <x:v>77</x:v>
      </x:c>
      <x:c r="O185" s="85" t="n">
        <x:v>73</x:v>
      </x:c>
      <x:c r="P185" s="85" t="n">
        <x:v>62</x:v>
      </x:c>
      <x:c r="Q185" s="85" t="n">
        <x:v>68</x:v>
      </x:c>
      <x:c r="R185" s="85" t="n">
        <x:v>56</x:v>
      </x:c>
      <x:c r="S185" s="85" t="n">
        <x:v>63</x:v>
      </x:c>
      <x:c r="T185" s="85" t="n">
        <x:v>61</x:v>
      </x:c>
      <x:c r="U185" s="85" t="n">
        <x:v>67</x:v>
      </x:c>
      <x:c r="V185" s="85" t="n">
        <x:v>62</x:v>
      </x:c>
      <x:c r="W185" s="85" t="n">
        <x:v>50</x:v>
      </x:c>
      <x:c r="X185" s="85" t="n">
        <x:v>61</x:v>
      </x:c>
      <x:c r="Y185" s="85" t="n">
        <x:v>63</x:v>
      </x:c>
      <x:c r="Z185" s="85" t="n">
        <x:v>57</x:v>
      </x:c>
      <x:c r="AA185" s="85" t="n">
        <x:v>72</x:v>
      </x:c>
      <x:c r="AB185" s="85" t="n">
        <x:v>64</x:v>
      </x:c>
      <x:c r="AC185" s="91" t="str">
        <x:v>2026 UCI WorldTeam名簿掲載</x:v>
      </x:c>
      <x:c r="AD185" s="91" t="str">
        <x:v>https://en.wikipedia.org/wiki/List_of_2026_UCI_WorldTeams_and_riders</x:v>
      </x:c>
      <x:c r="AE185" s="91" t="str">
        <x:v>能力・適性・Credit整合済</x:v>
      </x:c>
      <x:c r="AF185" s="91" t="str">
        <x:v>https://en.wikipedia.org/wiki/Jensen_Plowright</x:v>
      </x:c>
    </x:row>
    <x:row r="186" ht="26" customHeight="1">
      <x:c r="A186" s="82" t="n">
        <x:v>182</x:v>
      </x:c>
      <x:c r="B186" s="82" t="str">
        <x:v>Ethan Hayter</x:v>
      </x:c>
      <x:c r="C186" s="143" t="str"/>
      <x:c r="D186" s="82" t="str">
        <x:v>イギリス</x:v>
      </x:c>
      <x:c r="E186" s="82" t="str">
        <x:v>Soudal–Quick-Step</x:v>
      </x:c>
      <x:c r="F186" s="82" t="str">
        <x:v>1998-09-18</x:v>
      </x:c>
      <x:c r="G186" s="82" t="str">
        <x:v>現役確認済</x:v>
      </x:c>
      <x:c r="H186" s="82" t="str">
        <x:v>TT・ルーラー型</x:v>
      </x:c>
      <x:c r="I186" s="82" t="str">
        <x:v>クラシック型</x:v>
      </x:c>
      <x:c r="J186" s="85" t="n">
        <x:v>71</x:v>
      </x:c>
      <x:c r="K186" s="85" t="n">
        <x:v>80</x:v>
      </x:c>
      <x:c r="L186" s="91" t="str">
        <x:v>TTスペシャリスト / 平坦アシスト / 平坦ペースメーカー / ブレイクアウェイキラー / 横風要員 / 逃げ屋 / ポジションキーパー</x:v>
      </x:c>
      <x:c r="M186" s="88" t="n">
        <x:v>6100</x:v>
      </x:c>
      <x:c r="N186" s="85" t="n">
        <x:v>67</x:v>
      </x:c>
      <x:c r="O186" s="85" t="n">
        <x:v>67</x:v>
      </x:c>
      <x:c r="P186" s="85" t="n">
        <x:v>69</x:v>
      </x:c>
      <x:c r="Q186" s="85" t="n">
        <x:v>83</x:v>
      </x:c>
      <x:c r="R186" s="85" t="n">
        <x:v>70</x:v>
      </x:c>
      <x:c r="S186" s="85" t="n">
        <x:v>74</x:v>
      </x:c>
      <x:c r="T186" s="85" t="n">
        <x:v>78</x:v>
      </x:c>
      <x:c r="U186" s="85" t="n">
        <x:v>81</x:v>
      </x:c>
      <x:c r="V186" s="85" t="n">
        <x:v>70</x:v>
      </x:c>
      <x:c r="W186" s="85" t="n">
        <x:v>65</x:v>
      </x:c>
      <x:c r="X186" s="85" t="n">
        <x:v>71</x:v>
      </x:c>
      <x:c r="Y186" s="85" t="n">
        <x:v>70</x:v>
      </x:c>
      <x:c r="Z186" s="85" t="n">
        <x:v>84</x:v>
      </x:c>
      <x:c r="AA186" s="85" t="n">
        <x:v>65</x:v>
      </x:c>
      <x:c r="AB186" s="85" t="n">
        <x:v>68</x:v>
      </x:c>
      <x:c r="AC186" s="91" t="str">
        <x:v>2026 UCI WorldTeam名簿掲載</x:v>
      </x:c>
      <x:c r="AD186" s="91" t="str">
        <x:v>https://en.wikipedia.org/wiki/List_of_2026_UCI_WorldTeams_and_riders</x:v>
      </x:c>
      <x:c r="AE186" s="91" t="str">
        <x:v>能力・適性・Credit整合済</x:v>
      </x:c>
      <x:c r="AF186" s="91" t="str">
        <x:v>https://en.wikipedia.org/wiki/Ethan_Hayter</x:v>
      </x:c>
    </x:row>
    <x:row r="187" ht="26" customHeight="1">
      <x:c r="A187" s="82" t="n">
        <x:v>183</x:v>
      </x:c>
      <x:c r="B187" s="82" t="str">
        <x:v>Johan Price-Pejtersen</x:v>
      </x:c>
      <x:c r="C187" s="143" t="str"/>
      <x:c r="D187" s="82" t="str">
        <x:v>デンマーク</x:v>
      </x:c>
      <x:c r="E187" s="82" t="str">
        <x:v>Alpecin–Premier Tech</x:v>
      </x:c>
      <x:c r="F187" s="82" t="str">
        <x:v>1999-05-26</x:v>
      </x:c>
      <x:c r="G187" s="82" t="str">
        <x:v>現役確認済</x:v>
      </x:c>
      <x:c r="H187" s="82" t="str">
        <x:v>TT・ルーラー型</x:v>
      </x:c>
      <x:c r="I187" s="82" t="str">
        <x:v>総合型</x:v>
      </x:c>
      <x:c r="J187" s="85" t="n">
        <x:v>71</x:v>
      </x:c>
      <x:c r="K187" s="85" t="n">
        <x:v>81</x:v>
      </x:c>
      <x:c r="L187" s="91" t="str">
        <x:v>TTスペシャリスト / 平坦アシスト / 集団コントローラー / ブレイクアウェイキラー / 横風要員 / 超ロングスパート / ポジションキーパー</x:v>
      </x:c>
      <x:c r="M187" s="88" t="n">
        <x:v>6050</x:v>
      </x:c>
      <x:c r="N187" s="85" t="n">
        <x:v>67</x:v>
      </x:c>
      <x:c r="O187" s="85" t="n">
        <x:v>66</x:v>
      </x:c>
      <x:c r="P187" s="85" t="n">
        <x:v>64</x:v>
      </x:c>
      <x:c r="Q187" s="85" t="n">
        <x:v>84</x:v>
      </x:c>
      <x:c r="R187" s="85" t="n">
        <x:v>67</x:v>
      </x:c>
      <x:c r="S187" s="85" t="n">
        <x:v>76</x:v>
      </x:c>
      <x:c r="T187" s="85" t="n">
        <x:v>72</x:v>
      </x:c>
      <x:c r="U187" s="85" t="n">
        <x:v>79</x:v>
      </x:c>
      <x:c r="V187" s="85" t="n">
        <x:v>71</x:v>
      </x:c>
      <x:c r="W187" s="85" t="n">
        <x:v>64</x:v>
      </x:c>
      <x:c r="X187" s="85" t="n">
        <x:v>73</x:v>
      </x:c>
      <x:c r="Y187" s="85" t="n">
        <x:v>70</x:v>
      </x:c>
      <x:c r="Z187" s="85" t="n">
        <x:v>84</x:v>
      </x:c>
      <x:c r="AA187" s="85" t="n">
        <x:v>67</x:v>
      </x:c>
      <x:c r="AB187" s="85" t="n">
        <x:v>68</x:v>
      </x:c>
      <x:c r="AC187" s="91" t="str">
        <x:v>2026 UCI WorldTeam名簿掲載</x:v>
      </x:c>
      <x:c r="AD187" s="91" t="str">
        <x:v>https://en.wikipedia.org/wiki/List_of_2026_UCI_WorldTeams_and_riders</x:v>
      </x:c>
      <x:c r="AE187" s="91" t="str">
        <x:v>能力・適性・Credit整合済</x:v>
      </x:c>
      <x:c r="AF187" s="91" t="str">
        <x:v>https://en.wikipedia.org/wiki/Johan_Price-Pejtersen</x:v>
      </x:c>
    </x:row>
    <x:row r="188" ht="26" customHeight="1">
      <x:c r="A188" s="82" t="n">
        <x:v>184</x:v>
      </x:c>
      <x:c r="B188" s="82" t="str">
        <x:v>Callum Thornley</x:v>
      </x:c>
      <x:c r="C188" s="143" t="str"/>
      <x:c r="D188" s="82" t="str">
        <x:v>イギリス</x:v>
      </x:c>
      <x:c r="E188" s="82" t="str">
        <x:v>Red Bull–Bora–Hansgrohe</x:v>
      </x:c>
      <x:c r="F188" s="82" t="str">
        <x:v>2003-08-05</x:v>
      </x:c>
      <x:c r="G188" s="82" t="str">
        <x:v>現役確認済</x:v>
      </x:c>
      <x:c r="H188" s="82" t="str">
        <x:v>TT・ルーラー型</x:v>
      </x:c>
      <x:c r="I188" s="82" t="str">
        <x:v>クラシック型</x:v>
      </x:c>
      <x:c r="J188" s="85" t="n">
        <x:v>71</x:v>
      </x:c>
      <x:c r="K188" s="85" t="n">
        <x:v>79</x:v>
      </x:c>
      <x:c r="L188" s="91" t="str">
        <x:v>ロードキャプテン / TTスペシャリスト / 平坦アシスト / ブレイクアウェイキラー / 横風要員 / 逃げ屋 / 超ロングスパート</x:v>
      </x:c>
      <x:c r="M188" s="88" t="n">
        <x:v>5750</x:v>
      </x:c>
      <x:c r="N188" s="85" t="n">
        <x:v>65</x:v>
      </x:c>
      <x:c r="O188" s="85" t="n">
        <x:v>67</x:v>
      </x:c>
      <x:c r="P188" s="85" t="n">
        <x:v>67</x:v>
      </x:c>
      <x:c r="Q188" s="85" t="n">
        <x:v>80</x:v>
      </x:c>
      <x:c r="R188" s="85" t="n">
        <x:v>69</x:v>
      </x:c>
      <x:c r="S188" s="85" t="n">
        <x:v>75</x:v>
      </x:c>
      <x:c r="T188" s="85" t="n">
        <x:v>75</x:v>
      </x:c>
      <x:c r="U188" s="85" t="n">
        <x:v>80</x:v>
      </x:c>
      <x:c r="V188" s="85" t="n">
        <x:v>69</x:v>
      </x:c>
      <x:c r="W188" s="85" t="n">
        <x:v>64</x:v>
      </x:c>
      <x:c r="X188" s="85" t="n">
        <x:v>72</x:v>
      </x:c>
      <x:c r="Y188" s="85" t="n">
        <x:v>68</x:v>
      </x:c>
      <x:c r="Z188" s="85" t="n">
        <x:v>84</x:v>
      </x:c>
      <x:c r="AA188" s="85" t="n">
        <x:v>70</x:v>
      </x:c>
      <x:c r="AB188" s="85" t="n">
        <x:v>70</x:v>
      </x:c>
      <x:c r="AC188" s="91" t="str">
        <x:v>2026 UCI WorldTeam名簿掲載</x:v>
      </x:c>
      <x:c r="AD188" s="91" t="str">
        <x:v>https://en.wikipedia.org/wiki/List_of_2026_UCI_WorldTeams_and_riders</x:v>
      </x:c>
      <x:c r="AE188" s="91" t="str">
        <x:v>能力・適性・Credit整合済</x:v>
      </x:c>
      <x:c r="AF188" s="91" t="str">
        <x:v>https://en.wikipedia.org/wiki/Callum_Thornley</x:v>
      </x:c>
    </x:row>
    <x:row r="189" ht="26" customHeight="1">
      <x:c r="A189" s="82" t="n">
        <x:v>185</x:v>
      </x:c>
      <x:c r="B189" s="82" t="str">
        <x:v>Alec Segaert</x:v>
      </x:c>
      <x:c r="C189" s="143" t="str"/>
      <x:c r="D189" s="82" t="str">
        <x:v>ベルギー</x:v>
      </x:c>
      <x:c r="E189" s="82" t="str">
        <x:v>Team Bahrain Victorious</x:v>
      </x:c>
      <x:c r="F189" s="82" t="str">
        <x:v>2003-01-16</x:v>
      </x:c>
      <x:c r="G189" s="82" t="str">
        <x:v>現役確認済</x:v>
      </x:c>
      <x:c r="H189" s="82" t="str">
        <x:v>TT・ルーラー型</x:v>
      </x:c>
      <x:c r="I189" s="82" t="str">
        <x:v>スプリンター</x:v>
      </x:c>
      <x:c r="J189" s="85" t="n">
        <x:v>71</x:v>
      </x:c>
      <x:c r="K189" s="85" t="n">
        <x:v>79</x:v>
      </x:c>
      <x:c r="L189" s="91" t="str">
        <x:v>TTスペシャリスト / スプリントトレイン / 平坦アシスト / ブレイクアウェイキラー / 超ロングスパート / 横風分断</x:v>
      </x:c>
      <x:c r="M189" s="88" t="n">
        <x:v>5650</x:v>
      </x:c>
      <x:c r="N189" s="85" t="n">
        <x:v>65</x:v>
      </x:c>
      <x:c r="O189" s="85" t="n">
        <x:v>65</x:v>
      </x:c>
      <x:c r="P189" s="85" t="n">
        <x:v>68</x:v>
      </x:c>
      <x:c r="Q189" s="85" t="n">
        <x:v>82</x:v>
      </x:c>
      <x:c r="R189" s="85" t="n">
        <x:v>66</x:v>
      </x:c>
      <x:c r="S189" s="85" t="n">
        <x:v>77</x:v>
      </x:c>
      <x:c r="T189" s="85" t="n">
        <x:v>76</x:v>
      </x:c>
      <x:c r="U189" s="85" t="n">
        <x:v>75</x:v>
      </x:c>
      <x:c r="V189" s="85" t="n">
        <x:v>72</x:v>
      </x:c>
      <x:c r="W189" s="85" t="n">
        <x:v>62</x:v>
      </x:c>
      <x:c r="X189" s="85" t="n">
        <x:v>70</x:v>
      </x:c>
      <x:c r="Y189" s="85" t="n">
        <x:v>71</x:v>
      </x:c>
      <x:c r="Z189" s="85" t="n">
        <x:v>76</x:v>
      </x:c>
      <x:c r="AA189" s="85" t="n">
        <x:v>68</x:v>
      </x:c>
      <x:c r="AB189" s="85" t="n">
        <x:v>69</x:v>
      </x:c>
      <x:c r="AC189" s="91" t="str">
        <x:v>2026 UCI WorldTeam名簿掲載</x:v>
      </x:c>
      <x:c r="AD189" s="91" t="str">
        <x:v>https://en.wikipedia.org/wiki/List_of_2026_UCI_WorldTeams_and_riders</x:v>
      </x:c>
      <x:c r="AE189" s="91" t="str">
        <x:v>能力・適性・Credit整合済</x:v>
      </x:c>
      <x:c r="AF189" s="91" t="str">
        <x:v>https://en.wikipedia.org/wiki/Alec_Segaert</x:v>
      </x:c>
    </x:row>
    <x:row r="190" ht="26" customHeight="1">
      <x:c r="A190" s="82" t="n">
        <x:v>186</x:v>
      </x:c>
      <x:c r="B190" s="82" t="str">
        <x:v>Edoardo Zambanini</x:v>
      </x:c>
      <x:c r="C190" s="143" t="str"/>
      <x:c r="D190" s="82" t="str">
        <x:v>イタリア</x:v>
      </x:c>
      <x:c r="E190" s="82" t="str">
        <x:v>Team Bahrain Victorious</x:v>
      </x:c>
      <x:c r="F190" s="82" t="str">
        <x:v>2001-04-21</x:v>
      </x:c>
      <x:c r="G190" s="82" t="str">
        <x:v>現役確認済</x:v>
      </x:c>
      <x:c r="H190" s="82" t="str">
        <x:v>クライマー</x:v>
      </x:c>
      <x:c r="I190" s="82" t="str">
        <x:v>TT・ルーラー型</x:v>
      </x:c>
      <x:c r="J190" s="85" t="n">
        <x:v>71</x:v>
      </x:c>
      <x:c r="K190" s="85" t="n">
        <x:v>76</x:v>
      </x:c>
      <x:c r="L190" s="91" t="str">
        <x:v>山岳アシスト / 山岳ペースメーカー</x:v>
      </x:c>
      <x:c r="M190" s="88" t="n">
        <x:v>5250</x:v>
      </x:c>
      <x:c r="N190" s="85" t="n">
        <x:v>61</x:v>
      </x:c>
      <x:c r="O190" s="85" t="n">
        <x:v>67</x:v>
      </x:c>
      <x:c r="P190" s="85" t="n">
        <x:v>70</x:v>
      </x:c>
      <x:c r="Q190" s="85" t="n">
        <x:v>66</x:v>
      </x:c>
      <x:c r="R190" s="85" t="n">
        <x:v>75</x:v>
      </x:c>
      <x:c r="S190" s="85" t="n">
        <x:v>79</x:v>
      </x:c>
      <x:c r="T190" s="85" t="n">
        <x:v>76</x:v>
      </x:c>
      <x:c r="U190" s="85" t="n">
        <x:v>64</x:v>
      </x:c>
      <x:c r="V190" s="85" t="n">
        <x:v>68</x:v>
      </x:c>
      <x:c r="W190" s="85" t="n">
        <x:v>57</x:v>
      </x:c>
      <x:c r="X190" s="85" t="n">
        <x:v>77</x:v>
      </x:c>
      <x:c r="Y190" s="85" t="n">
        <x:v>76</x:v>
      </x:c>
      <x:c r="Z190" s="85" t="n">
        <x:v>75</x:v>
      </x:c>
      <x:c r="AA190" s="85" t="n">
        <x:v>68</x:v>
      </x:c>
      <x:c r="AB190" s="85" t="n">
        <x:v>76</x:v>
      </x:c>
      <x:c r="AC190" s="91" t="str">
        <x:v>2026 UCI WorldTeam名簿掲載</x:v>
      </x:c>
      <x:c r="AD190" s="91" t="str">
        <x:v>https://en.wikipedia.org/wiki/List_of_2026_UCI_WorldTeams_and_riders</x:v>
      </x:c>
      <x:c r="AE190" s="91" t="str">
        <x:v>能力・適性・Credit整合済</x:v>
      </x:c>
      <x:c r="AF190" s="91" t="str">
        <x:v>https://en.wikipedia.org/wiki/Edoardo_Zambanini</x:v>
      </x:c>
    </x:row>
    <x:row r="191" ht="26" customHeight="1">
      <x:c r="A191" s="82" t="n">
        <x:v>187</x:v>
      </x:c>
      <x:c r="B191" s="82" t="str">
        <x:v>Emil Herzog</x:v>
      </x:c>
      <x:c r="C191" s="143" t="str"/>
      <x:c r="D191" s="82" t="str">
        <x:v>ドイツ</x:v>
      </x:c>
      <x:c r="E191" s="82" t="str">
        <x:v>Red Bull–Bora–Hansgrohe</x:v>
      </x:c>
      <x:c r="F191" s="82" t="str">
        <x:v>2004-10-06</x:v>
      </x:c>
      <x:c r="G191" s="82" t="str">
        <x:v>現役確認済</x:v>
      </x:c>
      <x:c r="H191" s="82" t="str">
        <x:v>クライマー</x:v>
      </x:c>
      <x:c r="I191" s="82" t="str">
        <x:v>スプリンター</x:v>
      </x:c>
      <x:c r="J191" s="85" t="n">
        <x:v>71</x:v>
      </x:c>
      <x:c r="K191" s="85" t="n">
        <x:v>73</x:v>
      </x:c>
      <x:c r="L191" s="91" t="str">
        <x:v>山岳賞ハンター / スプリントトレイン / 山岳アシスト</x:v>
      </x:c>
      <x:c r="M191" s="88" t="n">
        <x:v>4950</x:v>
      </x:c>
      <x:c r="N191" s="85" t="n">
        <x:v>54</x:v>
      </x:c>
      <x:c r="O191" s="85" t="n">
        <x:v>68</x:v>
      </x:c>
      <x:c r="P191" s="85" t="n">
        <x:v>69</x:v>
      </x:c>
      <x:c r="Q191" s="85" t="n">
        <x:v>63</x:v>
      </x:c>
      <x:c r="R191" s="85" t="n">
        <x:v>76</x:v>
      </x:c>
      <x:c r="S191" s="85" t="n">
        <x:v>78</x:v>
      </x:c>
      <x:c r="T191" s="85" t="n">
        <x:v>71</x:v>
      </x:c>
      <x:c r="U191" s="85" t="n">
        <x:v>61</x:v>
      </x:c>
      <x:c r="V191" s="85" t="n">
        <x:v>69</x:v>
      </x:c>
      <x:c r="W191" s="85" t="n">
        <x:v>56</x:v>
      </x:c>
      <x:c r="X191" s="85" t="n">
        <x:v>76</x:v>
      </x:c>
      <x:c r="Y191" s="85" t="n">
        <x:v>78</x:v>
      </x:c>
      <x:c r="Z191" s="85" t="n">
        <x:v>70</x:v>
      </x:c>
      <x:c r="AA191" s="85" t="n">
        <x:v>66</x:v>
      </x:c>
      <x:c r="AB191" s="85" t="n">
        <x:v>75</x:v>
      </x:c>
      <x:c r="AC191" s="91" t="str">
        <x:v>2026 UCI WorldTeam名簿掲載</x:v>
      </x:c>
      <x:c r="AD191" s="91" t="str">
        <x:v>https://en.wikipedia.org/wiki/List_of_2026_UCI_WorldTeams_and_riders</x:v>
      </x:c>
      <x:c r="AE191" s="91" t="str">
        <x:v>能力・適性・Credit整合済</x:v>
      </x:c>
      <x:c r="AF191" s="91" t="str">
        <x:v>https://en.wikipedia.org/wiki/Emil_Herzog</x:v>
      </x:c>
    </x:row>
    <x:row r="192" ht="26" customHeight="1">
      <x:c r="A192" s="82" t="n">
        <x:v>188</x:v>
      </x:c>
      <x:c r="B192" s="82" t="str">
        <x:v>Joseph Blackmore</x:v>
      </x:c>
      <x:c r="C192" s="143" t="str"/>
      <x:c r="D192" s="82" t="str">
        <x:v>イギリス</x:v>
      </x:c>
      <x:c r="E192" s="82" t="str">
        <x:v>NSN Cycling Team</x:v>
      </x:c>
      <x:c r="F192" s="82" t="str">
        <x:v>2003-02-23</x:v>
      </x:c>
      <x:c r="G192" s="82" t="str">
        <x:v>現役確認済</x:v>
      </x:c>
      <x:c r="H192" s="82" t="str">
        <x:v>クラシック型</x:v>
      </x:c>
      <x:c r="I192" s="82" t="str">
        <x:v>クライマー</x:v>
      </x:c>
      <x:c r="J192" s="85" t="n">
        <x:v>71</x:v>
      </x:c>
      <x:c r="K192" s="85" t="n">
        <x:v>74</x:v>
      </x:c>
      <x:c r="L192" s="91" t="str">
        <x:v>山岳賞ハンター / 石畳護衛</x:v>
      </x:c>
      <x:c r="M192" s="88" t="n">
        <x:v>4900</x:v>
      </x:c>
      <x:c r="N192" s="85" t="n">
        <x:v>74</x:v>
      </x:c>
      <x:c r="O192" s="85" t="n">
        <x:v>72</x:v>
      </x:c>
      <x:c r="P192" s="85" t="n">
        <x:v>73</x:v>
      </x:c>
      <x:c r="Q192" s="85" t="n">
        <x:v>74</x:v>
      </x:c>
      <x:c r="R192" s="85" t="n">
        <x:v>68</x:v>
      </x:c>
      <x:c r="S192" s="85" t="n">
        <x:v>70</x:v>
      </x:c>
      <x:c r="T192" s="85" t="n">
        <x:v>79</x:v>
      </x:c>
      <x:c r="U192" s="85" t="n">
        <x:v>77</x:v>
      </x:c>
      <x:c r="V192" s="85" t="n">
        <x:v>76</x:v>
      </x:c>
      <x:c r="W192" s="85" t="n">
        <x:v>69</x:v>
      </x:c>
      <x:c r="X192" s="85" t="n">
        <x:v>71</x:v>
      </x:c>
      <x:c r="Y192" s="85" t="n">
        <x:v>68</x:v>
      </x:c>
      <x:c r="Z192" s="85" t="n">
        <x:v>74</x:v>
      </x:c>
      <x:c r="AA192" s="85" t="n">
        <x:v>70</x:v>
      </x:c>
      <x:c r="AB192" s="85" t="n">
        <x:v>72</x:v>
      </x:c>
      <x:c r="AC192" s="91" t="str">
        <x:v>2026 UCI WorldTeam名簿掲載</x:v>
      </x:c>
      <x:c r="AD192" s="91" t="str">
        <x:v>https://en.wikipedia.org/wiki/List_of_2026_UCI_WorldTeams_and_riders</x:v>
      </x:c>
      <x:c r="AE192" s="91" t="str">
        <x:v>能力・適性・Credit整合済</x:v>
      </x:c>
      <x:c r="AF192" s="91" t="str">
        <x:v>https://en.wikipedia.org/wiki/Joseph_Blackmore</x:v>
      </x:c>
    </x:row>
    <x:row r="193" ht="26" customHeight="1">
      <x:c r="A193" s="82" t="n">
        <x:v>189</x:v>
      </x:c>
      <x:c r="B193" s="82" t="str">
        <x:v>Georg Zimmermann</x:v>
      </x:c>
      <x:c r="C193" s="143" t="str"/>
      <x:c r="D193" s="82" t="str">
        <x:v>ドイツ</x:v>
      </x:c>
      <x:c r="E193" s="82" t="str">
        <x:v>Lotto–Intermarché</x:v>
      </x:c>
      <x:c r="F193" s="82" t="str">
        <x:v>1997-10-11</x:v>
      </x:c>
      <x:c r="G193" s="82" t="str">
        <x:v>現役確認済</x:v>
      </x:c>
      <x:c r="H193" s="82" t="str">
        <x:v>クライマー</x:v>
      </x:c>
      <x:c r="I193" s="82" t="str">
        <x:v>クラシック型</x:v>
      </x:c>
      <x:c r="J193" s="85" t="n">
        <x:v>71</x:v>
      </x:c>
      <x:c r="K193" s="85" t="n">
        <x:v>73</x:v>
      </x:c>
      <x:c r="L193" s="91" t="str">
        <x:v>山岳賞ハンター / 山岳アシスト / 山岳番手</x:v>
      </x:c>
      <x:c r="M193" s="88" t="n">
        <x:v>4850</x:v>
      </x:c>
      <x:c r="N193" s="85" t="n">
        <x:v>55</x:v>
      </x:c>
      <x:c r="O193" s="85" t="n">
        <x:v>64</x:v>
      </x:c>
      <x:c r="P193" s="85" t="n">
        <x:v>68</x:v>
      </x:c>
      <x:c r="Q193" s="85" t="n">
        <x:v>63</x:v>
      </x:c>
      <x:c r="R193" s="85" t="n">
        <x:v>75</x:v>
      </x:c>
      <x:c r="S193" s="85" t="n">
        <x:v>76</x:v>
      </x:c>
      <x:c r="T193" s="85" t="n">
        <x:v>71</x:v>
      </x:c>
      <x:c r="U193" s="85" t="n">
        <x:v>66</x:v>
      </x:c>
      <x:c r="V193" s="85" t="n">
        <x:v>70</x:v>
      </x:c>
      <x:c r="W193" s="85" t="n">
        <x:v>54</x:v>
      </x:c>
      <x:c r="X193" s="85" t="n">
        <x:v>78</x:v>
      </x:c>
      <x:c r="Y193" s="85" t="n">
        <x:v>77</x:v>
      </x:c>
      <x:c r="Z193" s="85" t="n">
        <x:v>68</x:v>
      </x:c>
      <x:c r="AA193" s="85" t="n">
        <x:v>67</x:v>
      </x:c>
      <x:c r="AB193" s="85" t="n">
        <x:v>73</x:v>
      </x:c>
      <x:c r="AC193" s="91" t="str">
        <x:v>2026 UCI WorldTeam名簿掲載</x:v>
      </x:c>
      <x:c r="AD193" s="91" t="str">
        <x:v>https://en.wikipedia.org/wiki/List_of_2026_UCI_WorldTeams_and_riders</x:v>
      </x:c>
      <x:c r="AE193" s="91" t="str">
        <x:v>能力・適性・Credit整合済</x:v>
      </x:c>
      <x:c r="AF193" s="91" t="str">
        <x:v>https://en.wikipedia.org/wiki/Georg_Zimmermann</x:v>
      </x:c>
    </x:row>
    <x:row r="194" ht="26" customHeight="1">
      <x:c r="A194" s="82" t="n">
        <x:v>190</x:v>
      </x:c>
      <x:c r="B194" s="82" t="str">
        <x:v>Lionel Taminiaux</x:v>
      </x:c>
      <x:c r="C194" s="143" t="str"/>
      <x:c r="D194" s="82" t="str">
        <x:v>ベルギー</x:v>
      </x:c>
      <x:c r="E194" s="82" t="str">
        <x:v>Lotto–Intermarché</x:v>
      </x:c>
      <x:c r="F194" s="82" t="str">
        <x:v>1996-05-21</x:v>
      </x:c>
      <x:c r="G194" s="82" t="str">
        <x:v>現役確認済</x:v>
      </x:c>
      <x:c r="H194" s="82" t="str">
        <x:v>クライマー</x:v>
      </x:c>
      <x:c r="I194" s="82" t="str">
        <x:v>スプリンター</x:v>
      </x:c>
      <x:c r="J194" s="85" t="n">
        <x:v>71</x:v>
      </x:c>
      <x:c r="K194" s="85" t="n">
        <x:v>73</x:v>
      </x:c>
      <x:c r="L194" s="91" t="str">
        <x:v>山岳賞ハンター / スプリントトレイン / 山岳アシスト</x:v>
      </x:c>
      <x:c r="M194" s="88" t="n">
        <x:v>4700</x:v>
      </x:c>
      <x:c r="N194" s="85" t="n">
        <x:v>63</x:v>
      </x:c>
      <x:c r="O194" s="85" t="n">
        <x:v>67</x:v>
      </x:c>
      <x:c r="P194" s="85" t="n">
        <x:v>71</x:v>
      </x:c>
      <x:c r="Q194" s="85" t="n">
        <x:v>65</x:v>
      </x:c>
      <x:c r="R194" s="85" t="n">
        <x:v>76</x:v>
      </x:c>
      <x:c r="S194" s="85" t="n">
        <x:v>71</x:v>
      </x:c>
      <x:c r="T194" s="85" t="n">
        <x:v>76</x:v>
      </x:c>
      <x:c r="U194" s="85" t="n">
        <x:v>66</x:v>
      </x:c>
      <x:c r="V194" s="85" t="n">
        <x:v>68</x:v>
      </x:c>
      <x:c r="W194" s="85" t="n">
        <x:v>51</x:v>
      </x:c>
      <x:c r="X194" s="85" t="n">
        <x:v>76</x:v>
      </x:c>
      <x:c r="Y194" s="85" t="n">
        <x:v>74</x:v>
      </x:c>
      <x:c r="Z194" s="85" t="n">
        <x:v>69</x:v>
      </x:c>
      <x:c r="AA194" s="85" t="n">
        <x:v>68</x:v>
      </x:c>
      <x:c r="AB194" s="85" t="n">
        <x:v>72</x:v>
      </x:c>
      <x:c r="AC194" s="91" t="str">
        <x:v>2026 UCI WorldTeam名簿掲載</x:v>
      </x:c>
      <x:c r="AD194" s="91" t="str">
        <x:v>https://en.wikipedia.org/wiki/List_of_2026_UCI_WorldTeams_and_riders</x:v>
      </x:c>
      <x:c r="AE194" s="91" t="str">
        <x:v>能力・適性・Credit整合済</x:v>
      </x:c>
      <x:c r="AF194" s="91" t="str">
        <x:v>https://en.wikipedia.org/wiki/Lionel_Taminiaux</x:v>
      </x:c>
    </x:row>
    <x:row r="195" ht="26" customHeight="1">
      <x:c r="A195" s="82" t="n">
        <x:v>191</x:v>
      </x:c>
      <x:c r="B195" s="82" t="str">
        <x:v>Gal Glivar</x:v>
      </x:c>
      <x:c r="C195" s="143" t="str"/>
      <x:c r="D195" s="82" t="str">
        <x:v>スロベニア</x:v>
      </x:c>
      <x:c r="E195" s="82" t="str">
        <x:v>Alpecin–Premier Tech</x:v>
      </x:c>
      <x:c r="F195" s="82" t="str">
        <x:v>2002-05-01</x:v>
      </x:c>
      <x:c r="G195" s="82" t="str">
        <x:v>現役確認済</x:v>
      </x:c>
      <x:c r="H195" s="82" t="str">
        <x:v>クラシック型</x:v>
      </x:c>
      <x:c r="I195" s="82" t="str">
        <x:v>スプリンター</x:v>
      </x:c>
      <x:c r="J195" s="85" t="n">
        <x:v>71</x:v>
      </x:c>
      <x:c r="K195" s="85" t="n">
        <x:v>73</x:v>
      </x:c>
      <x:c r="L195" s="91" t="str">
        <x:v>スプリントトレイン / 石畳護衛</x:v>
      </x:c>
      <x:c r="M195" s="88" t="n">
        <x:v>4650</x:v>
      </x:c>
      <x:c r="N195" s="85" t="n">
        <x:v>70</x:v>
      </x:c>
      <x:c r="O195" s="85" t="n">
        <x:v>72</x:v>
      </x:c>
      <x:c r="P195" s="85" t="n">
        <x:v>72</x:v>
      </x:c>
      <x:c r="Q195" s="85" t="n">
        <x:v>75</x:v>
      </x:c>
      <x:c r="R195" s="85" t="n">
        <x:v>66</x:v>
      </x:c>
      <x:c r="S195" s="85" t="n">
        <x:v>70</x:v>
      </x:c>
      <x:c r="T195" s="85" t="n">
        <x:v>77</x:v>
      </x:c>
      <x:c r="U195" s="85" t="n">
        <x:v>71</x:v>
      </x:c>
      <x:c r="V195" s="85" t="n">
        <x:v>75</x:v>
      </x:c>
      <x:c r="W195" s="85" t="n">
        <x:v>73</x:v>
      </x:c>
      <x:c r="X195" s="85" t="n">
        <x:v>67</x:v>
      </x:c>
      <x:c r="Y195" s="85" t="n">
        <x:v>65</x:v>
      </x:c>
      <x:c r="Z195" s="85" t="n">
        <x:v>71</x:v>
      </x:c>
      <x:c r="AA195" s="85" t="n">
        <x:v>69</x:v>
      </x:c>
      <x:c r="AB195" s="85" t="n">
        <x:v>72</x:v>
      </x:c>
      <x:c r="AC195" s="91" t="str">
        <x:v>2026 UCI WorldTeam名簿掲載</x:v>
      </x:c>
      <x:c r="AD195" s="91" t="str">
        <x:v>https://en.wikipedia.org/wiki/List_of_2026_UCI_WorldTeams_and_riders</x:v>
      </x:c>
      <x:c r="AE195" s="91" t="str">
        <x:v>能力・適性・Credit整合済</x:v>
      </x:c>
      <x:c r="AF195" s="91" t="str">
        <x:v>https://en.wikipedia.org/wiki/Gal_Glivar</x:v>
      </x:c>
    </x:row>
    <x:row r="196" ht="26" customHeight="1">
      <x:c r="A196" s="82" t="n">
        <x:v>192</x:v>
      </x:c>
      <x:c r="B196" s="82" t="str">
        <x:v>Jonas Rutsch</x:v>
      </x:c>
      <x:c r="C196" s="143" t="str"/>
      <x:c r="D196" s="82" t="str">
        <x:v>ドイツ</x:v>
      </x:c>
      <x:c r="E196" s="82" t="str">
        <x:v>Lotto–Intermarché</x:v>
      </x:c>
      <x:c r="F196" s="82" t="str">
        <x:v>1998-01-24</x:v>
      </x:c>
      <x:c r="G196" s="82" t="str">
        <x:v>現役確認済</x:v>
      </x:c>
      <x:c r="H196" s="82" t="str">
        <x:v>クラシック型</x:v>
      </x:c>
      <x:c r="I196" s="82" t="str">
        <x:v>総合型</x:v>
      </x:c>
      <x:c r="J196" s="85" t="n">
        <x:v>71</x:v>
      </x:c>
      <x:c r="K196" s="85" t="n">
        <x:v>74</x:v>
      </x:c>
      <x:c r="L196" s="91" t="str">
        <x:v>石畳護衛 / 集団コントローラー / 横風分断</x:v>
      </x:c>
      <x:c r="M196" s="88" t="n">
        <x:v>4650</x:v>
      </x:c>
      <x:c r="N196" s="85" t="n">
        <x:v>71</x:v>
      </x:c>
      <x:c r="O196" s="85" t="n">
        <x:v>68</x:v>
      </x:c>
      <x:c r="P196" s="85" t="n">
        <x:v>70</x:v>
      </x:c>
      <x:c r="Q196" s="85" t="n">
        <x:v>72</x:v>
      </x:c>
      <x:c r="R196" s="85" t="n">
        <x:v>58</x:v>
      </x:c>
      <x:c r="S196" s="85" t="n">
        <x:v>73</x:v>
      </x:c>
      <x:c r="T196" s="85" t="n">
        <x:v>77</x:v>
      </x:c>
      <x:c r="U196" s="85" t="n">
        <x:v>71</x:v>
      </x:c>
      <x:c r="V196" s="85" t="n">
        <x:v>75</x:v>
      </x:c>
      <x:c r="W196" s="85" t="n">
        <x:v>73</x:v>
      </x:c>
      <x:c r="X196" s="85" t="n">
        <x:v>66</x:v>
      </x:c>
      <x:c r="Y196" s="85" t="n">
        <x:v>67</x:v>
      </x:c>
      <x:c r="Z196" s="85" t="n">
        <x:v>69</x:v>
      </x:c>
      <x:c r="AA196" s="85" t="n">
        <x:v>68</x:v>
      </x:c>
      <x:c r="AB196" s="85" t="n">
        <x:v>76</x:v>
      </x:c>
      <x:c r="AC196" s="91" t="str">
        <x:v>2026 UCI WorldTeam名簿掲載</x:v>
      </x:c>
      <x:c r="AD196" s="91" t="str">
        <x:v>https://en.wikipedia.org/wiki/List_of_2026_UCI_WorldTeams_and_riders</x:v>
      </x:c>
      <x:c r="AE196" s="91" t="str">
        <x:v>能力・適性・Credit整合済</x:v>
      </x:c>
      <x:c r="AF196" s="91" t="str">
        <x:v>https://en.wikipedia.org/wiki/Jonas_Rutsch</x:v>
      </x:c>
    </x:row>
    <x:row r="197" ht="26" customHeight="1">
      <x:c r="A197" s="82" t="n">
        <x:v>193</x:v>
      </x:c>
      <x:c r="B197" s="82" t="str">
        <x:v>Axel Laurance</x:v>
      </x:c>
      <x:c r="C197" s="143" t="str"/>
      <x:c r="D197" s="82" t="str">
        <x:v>フランス</x:v>
      </x:c>
      <x:c r="E197" s="82" t="str">
        <x:v>Netcompany INEOS Cycling Team</x:v>
      </x:c>
      <x:c r="F197" s="82" t="str">
        <x:v>2001-04-13</x:v>
      </x:c>
      <x:c r="G197" s="82" t="str">
        <x:v>現役確認済</x:v>
      </x:c>
      <x:c r="H197" s="82" t="str">
        <x:v>パンチャー</x:v>
      </x:c>
      <x:c r="I197" s="82" t="str">
        <x:v>TT・ルーラー型</x:v>
      </x:c>
      <x:c r="J197" s="85" t="n">
        <x:v>71</x:v>
      </x:c>
      <x:c r="K197" s="85" t="n">
        <x:v>69</x:v>
      </x:c>
      <x:c r="L197" s="91" t="str">
        <x:v>ステージハンター / 逃げ屋 / カウンターアタッカー / 無賃乗車 / ポジションキーパー</x:v>
      </x:c>
      <x:c r="M197" s="88" t="n">
        <x:v>4600</x:v>
      </x:c>
      <x:c r="N197" s="85" t="n">
        <x:v>68</x:v>
      </x:c>
      <x:c r="O197" s="85" t="n">
        <x:v>76</x:v>
      </x:c>
      <x:c r="P197" s="85" t="n">
        <x:v>78</x:v>
      </x:c>
      <x:c r="Q197" s="85" t="n">
        <x:v>68</x:v>
      </x:c>
      <x:c r="R197" s="85" t="n">
        <x:v>72</x:v>
      </x:c>
      <x:c r="S197" s="85" t="n">
        <x:v>70</x:v>
      </x:c>
      <x:c r="T197" s="85" t="n">
        <x:v>67</x:v>
      </x:c>
      <x:c r="U197" s="85" t="n">
        <x:v>77</x:v>
      </x:c>
      <x:c r="V197" s="85" t="n">
        <x:v>75</x:v>
      </x:c>
      <x:c r="W197" s="85" t="n">
        <x:v>61</x:v>
      </x:c>
      <x:c r="X197" s="85" t="n">
        <x:v>69</x:v>
      </x:c>
      <x:c r="Y197" s="85" t="n">
        <x:v>68</x:v>
      </x:c>
      <x:c r="Z197" s="85" t="n">
        <x:v>62</x:v>
      </x:c>
      <x:c r="AA197" s="85" t="n">
        <x:v>78</x:v>
      </x:c>
      <x:c r="AB197" s="85" t="n">
        <x:v>77</x:v>
      </x:c>
      <x:c r="AC197" s="91" t="str">
        <x:v>2026 UCI WorldTeam名簿掲載</x:v>
      </x:c>
      <x:c r="AD197" s="91" t="str">
        <x:v>https://en.wikipedia.org/wiki/List_of_2026_UCI_WorldTeams_and_riders</x:v>
      </x:c>
      <x:c r="AE197" s="91" t="str">
        <x:v>能力・適性・Credit整合済</x:v>
      </x:c>
      <x:c r="AF197" s="91" t="str">
        <x:v>https://en.wikipedia.org/wiki/Axel_Laurance</x:v>
      </x:c>
    </x:row>
    <x:row r="198" ht="26" customHeight="1">
      <x:c r="A198" s="82" t="n">
        <x:v>194</x:v>
      </x:c>
      <x:c r="B198" s="82" t="str">
        <x:v>Frank van den Broek</x:v>
      </x:c>
      <x:c r="C198" s="143" t="str"/>
      <x:c r="D198" s="82" t="str">
        <x:v>オランダ</x:v>
      </x:c>
      <x:c r="E198" s="82" t="str">
        <x:v>Team Picnic–PostNL</x:v>
      </x:c>
      <x:c r="F198" s="82" t="str">
        <x:v>2000-12-28</x:v>
      </x:c>
      <x:c r="G198" s="82" t="str">
        <x:v>現役確認済</x:v>
      </x:c>
      <x:c r="H198" s="82" t="str">
        <x:v>クラシック型</x:v>
      </x:c>
      <x:c r="I198" s="82" t="str">
        <x:v>クライマー</x:v>
      </x:c>
      <x:c r="J198" s="85" t="n">
        <x:v>71</x:v>
      </x:c>
      <x:c r="K198" s="85" t="n">
        <x:v>73</x:v>
      </x:c>
      <x:c r="L198" s="91" t="str">
        <x:v>山岳賞ハンター / 石畳護衛</x:v>
      </x:c>
      <x:c r="M198" s="88" t="n">
        <x:v>4600</x:v>
      </x:c>
      <x:c r="N198" s="85" t="n">
        <x:v>74</x:v>
      </x:c>
      <x:c r="O198" s="85" t="n">
        <x:v>70</x:v>
      </x:c>
      <x:c r="P198" s="85" t="n">
        <x:v>71</x:v>
      </x:c>
      <x:c r="Q198" s="85" t="n">
        <x:v>75</x:v>
      </x:c>
      <x:c r="R198" s="85" t="n">
        <x:v>62</x:v>
      </x:c>
      <x:c r="S198" s="85" t="n">
        <x:v>71</x:v>
      </x:c>
      <x:c r="T198" s="85" t="n">
        <x:v>75</x:v>
      </x:c>
      <x:c r="U198" s="85" t="n">
        <x:v>75</x:v>
      </x:c>
      <x:c r="V198" s="85" t="n">
        <x:v>75</x:v>
      </x:c>
      <x:c r="W198" s="85" t="n">
        <x:v>72</x:v>
      </x:c>
      <x:c r="X198" s="85" t="n">
        <x:v>67</x:v>
      </x:c>
      <x:c r="Y198" s="85" t="n">
        <x:v>66</x:v>
      </x:c>
      <x:c r="Z198" s="85" t="n">
        <x:v>72</x:v>
      </x:c>
      <x:c r="AA198" s="85" t="n">
        <x:v>65</x:v>
      </x:c>
      <x:c r="AB198" s="85" t="n">
        <x:v>73</x:v>
      </x:c>
      <x:c r="AC198" s="91" t="str">
        <x:v>2026 UCI WorldTeam名簿掲載</x:v>
      </x:c>
      <x:c r="AD198" s="91" t="str">
        <x:v>https://en.wikipedia.org/wiki/List_of_2026_UCI_WorldTeams_and_riders</x:v>
      </x:c>
      <x:c r="AE198" s="91" t="str">
        <x:v>能力・適性・Credit整合済</x:v>
      </x:c>
      <x:c r="AF198" s="91" t="str">
        <x:v>https://en.wikipedia.org/wiki/Frank_van_den_Broek</x:v>
      </x:c>
    </x:row>
    <x:row r="199" ht="26" customHeight="1">
      <x:c r="A199" s="82" t="n">
        <x:v>195</x:v>
      </x:c>
      <x:c r="B199" s="82" t="str">
        <x:v>Matthew Riccitello</x:v>
      </x:c>
      <x:c r="C199" s="143" t="str"/>
      <x:c r="D199" s="82" t="str">
        <x:v>アメリカ</x:v>
      </x:c>
      <x:c r="E199" s="82" t="str">
        <x:v>Decathlon–CMA CGM</x:v>
      </x:c>
      <x:c r="F199" s="82" t="str">
        <x:v>2002-03-05</x:v>
      </x:c>
      <x:c r="G199" s="82" t="str">
        <x:v>現役確認済</x:v>
      </x:c>
      <x:c r="H199" s="82" t="str">
        <x:v>クライマー</x:v>
      </x:c>
      <x:c r="I199" s="82" t="str">
        <x:v>パンチャー</x:v>
      </x:c>
      <x:c r="J199" s="85" t="n">
        <x:v>71</x:v>
      </x:c>
      <x:c r="K199" s="85" t="n">
        <x:v>72</x:v>
      </x:c>
      <x:c r="L199" s="91" t="str">
        <x:v>山岳賞ハンター / 山岳アシスト</x:v>
      </x:c>
      <x:c r="M199" s="88" t="n">
        <x:v>4550</x:v>
      </x:c>
      <x:c r="N199" s="85" t="n">
        <x:v>54</x:v>
      </x:c>
      <x:c r="O199" s="85" t="n">
        <x:v>68</x:v>
      </x:c>
      <x:c r="P199" s="85" t="n">
        <x:v>66</x:v>
      </x:c>
      <x:c r="Q199" s="85" t="n">
        <x:v>61</x:v>
      </x:c>
      <x:c r="R199" s="85" t="n">
        <x:v>78</x:v>
      </x:c>
      <x:c r="S199" s="85" t="n">
        <x:v>76</x:v>
      </x:c>
      <x:c r="T199" s="85" t="n">
        <x:v>72</x:v>
      </x:c>
      <x:c r="U199" s="85" t="n">
        <x:v>62</x:v>
      </x:c>
      <x:c r="V199" s="85" t="n">
        <x:v>68</x:v>
      </x:c>
      <x:c r="W199" s="85" t="n">
        <x:v>50</x:v>
      </x:c>
      <x:c r="X199" s="85" t="n">
        <x:v>73</x:v>
      </x:c>
      <x:c r="Y199" s="85" t="n">
        <x:v>75</x:v>
      </x:c>
      <x:c r="Z199" s="85" t="n">
        <x:v>72</x:v>
      </x:c>
      <x:c r="AA199" s="85" t="n">
        <x:v>66</x:v>
      </x:c>
      <x:c r="AB199" s="85" t="n">
        <x:v>68</x:v>
      </x:c>
      <x:c r="AC199" s="91" t="str">
        <x:v>2026 UCI WorldTeam名簿掲載</x:v>
      </x:c>
      <x:c r="AD199" s="91" t="str">
        <x:v>https://en.wikipedia.org/wiki/List_of_2026_UCI_WorldTeams_and_riders</x:v>
      </x:c>
      <x:c r="AE199" s="91" t="str">
        <x:v>能力・適性・Credit整合済</x:v>
      </x:c>
      <x:c r="AF199" s="91" t="str">
        <x:v>https://en.wikipedia.org/wiki/Matthew_Riccitello</x:v>
      </x:c>
    </x:row>
    <x:row r="200" ht="26" customHeight="1">
      <x:c r="A200" s="82" t="n">
        <x:v>196</x:v>
      </x:c>
      <x:c r="B200" s="82" t="str">
        <x:v>Andrea Raccagni Noviero</x:v>
      </x:c>
      <x:c r="C200" s="143" t="str"/>
      <x:c r="D200" s="82" t="str">
        <x:v>イタリア</x:v>
      </x:c>
      <x:c r="E200" s="82" t="str">
        <x:v>Soudal–Quick-Step</x:v>
      </x:c>
      <x:c r="F200" s="82" t="str">
        <x:v>2004-01-26</x:v>
      </x:c>
      <x:c r="G200" s="82" t="str">
        <x:v>現役確認済</x:v>
      </x:c>
      <x:c r="H200" s="82" t="str">
        <x:v>クラシック型</x:v>
      </x:c>
      <x:c r="I200" s="82" t="str">
        <x:v>クライマー</x:v>
      </x:c>
      <x:c r="J200" s="85" t="n">
        <x:v>71</x:v>
      </x:c>
      <x:c r="K200" s="85" t="n">
        <x:v>74</x:v>
      </x:c>
      <x:c r="L200" s="91" t="str">
        <x:v>ステージハンター / 山岳賞ハンター / 石畳護衛 / 横風分断</x:v>
      </x:c>
      <x:c r="M200" s="88" t="n">
        <x:v>4500</x:v>
      </x:c>
      <x:c r="N200" s="85" t="n">
        <x:v>73</x:v>
      </x:c>
      <x:c r="O200" s="85" t="n">
        <x:v>71</x:v>
      </x:c>
      <x:c r="P200" s="85" t="n">
        <x:v>74</x:v>
      </x:c>
      <x:c r="Q200" s="85" t="n">
        <x:v>73</x:v>
      </x:c>
      <x:c r="R200" s="85" t="n">
        <x:v>61</x:v>
      </x:c>
      <x:c r="S200" s="85" t="n">
        <x:v>71</x:v>
      </x:c>
      <x:c r="T200" s="85" t="n">
        <x:v>75</x:v>
      </x:c>
      <x:c r="U200" s="85" t="n">
        <x:v>74</x:v>
      </x:c>
      <x:c r="V200" s="85" t="n">
        <x:v>75</x:v>
      </x:c>
      <x:c r="W200" s="85" t="n">
        <x:v>70</x:v>
      </x:c>
      <x:c r="X200" s="85" t="n">
        <x:v>62</x:v>
      </x:c>
      <x:c r="Y200" s="85" t="n">
        <x:v>66</x:v>
      </x:c>
      <x:c r="Z200" s="85" t="n">
        <x:v>70</x:v>
      </x:c>
      <x:c r="AA200" s="85" t="n">
        <x:v>69</x:v>
      </x:c>
      <x:c r="AB200" s="85" t="n">
        <x:v>73</x:v>
      </x:c>
      <x:c r="AC200" s="91" t="str">
        <x:v>2026 UCI WorldTeam名簿掲載</x:v>
      </x:c>
      <x:c r="AD200" s="91" t="str">
        <x:v>https://en.wikipedia.org/wiki/List_of_2026_UCI_WorldTeams_and_riders</x:v>
      </x:c>
      <x:c r="AE200" s="91" t="str">
        <x:v>能力・適性・Credit整合済</x:v>
      </x:c>
      <x:c r="AF200" s="91" t="str">
        <x:v>https://en.wikipedia.org/wiki/List_of_2026_UCI_WorldTeams_and_riders</x:v>
      </x:c>
    </x:row>
    <x:row r="201" ht="26" customHeight="1">
      <x:c r="A201" s="82" t="n">
        <x:v>197</x:v>
      </x:c>
      <x:c r="B201" s="82" t="str">
        <x:v>Gianmarco Garofoli</x:v>
      </x:c>
      <x:c r="C201" s="143" t="str"/>
      <x:c r="D201" s="82" t="str">
        <x:v>イタリア</x:v>
      </x:c>
      <x:c r="E201" s="82" t="str">
        <x:v>Soudal–Quick-Step</x:v>
      </x:c>
      <x:c r="F201" s="82" t="str">
        <x:v>2002-10-06</x:v>
      </x:c>
      <x:c r="G201" s="82" t="str">
        <x:v>現役確認済</x:v>
      </x:c>
      <x:c r="H201" s="82" t="str">
        <x:v>クライマー</x:v>
      </x:c>
      <x:c r="I201" s="82" t="str">
        <x:v>スプリンター</x:v>
      </x:c>
      <x:c r="J201" s="85" t="n">
        <x:v>71</x:v>
      </x:c>
      <x:c r="K201" s="85" t="n">
        <x:v>73</x:v>
      </x:c>
      <x:c r="L201" s="91" t="str">
        <x:v>山岳賞ハンター / スプリントトレイン / 山岳アシスト / 山岳ペースメーカー</x:v>
      </x:c>
      <x:c r="M201" s="88" t="n">
        <x:v>4350</x:v>
      </x:c>
      <x:c r="N201" s="85" t="n">
        <x:v>56</x:v>
      </x:c>
      <x:c r="O201" s="85" t="n">
        <x:v>63</x:v>
      </x:c>
      <x:c r="P201" s="85" t="n">
        <x:v>68</x:v>
      </x:c>
      <x:c r="Q201" s="85" t="n">
        <x:v>64</x:v>
      </x:c>
      <x:c r="R201" s="85" t="n">
        <x:v>75</x:v>
      </x:c>
      <x:c r="S201" s="85" t="n">
        <x:v>75</x:v>
      </x:c>
      <x:c r="T201" s="85" t="n">
        <x:v>69</x:v>
      </x:c>
      <x:c r="U201" s="85" t="n">
        <x:v>66</x:v>
      </x:c>
      <x:c r="V201" s="85" t="n">
        <x:v>66</x:v>
      </x:c>
      <x:c r="W201" s="85" t="n">
        <x:v>52</x:v>
      </x:c>
      <x:c r="X201" s="85" t="n">
        <x:v>73</x:v>
      </x:c>
      <x:c r="Y201" s="85" t="n">
        <x:v>74</x:v>
      </x:c>
      <x:c r="Z201" s="85" t="n">
        <x:v>71</x:v>
      </x:c>
      <x:c r="AA201" s="85" t="n">
        <x:v>65</x:v>
      </x:c>
      <x:c r="AB201" s="85" t="n">
        <x:v>72</x:v>
      </x:c>
      <x:c r="AC201" s="91" t="str">
        <x:v>2026 UCI WorldTeam名簿掲載</x:v>
      </x:c>
      <x:c r="AD201" s="91" t="str">
        <x:v>https://en.wikipedia.org/wiki/List_of_2026_UCI_WorldTeams_and_riders</x:v>
      </x:c>
      <x:c r="AE201" s="91" t="str">
        <x:v>能力・適性・Credit整合済</x:v>
      </x:c>
      <x:c r="AF201" s="91" t="str">
        <x:v>https://en.wikipedia.org/wiki/Gianmarco_Garofoli</x:v>
      </x:c>
    </x:row>
    <x:row r="202" ht="26" customHeight="1">
      <x:c r="A202" s="82" t="n">
        <x:v>198</x:v>
      </x:c>
      <x:c r="B202" s="82" t="str">
        <x:v>Gijs Leemreize</x:v>
      </x:c>
      <x:c r="C202" s="143" t="str"/>
      <x:c r="D202" s="82" t="str">
        <x:v>オランダ</x:v>
      </x:c>
      <x:c r="E202" s="82" t="str">
        <x:v>Team Picnic–PostNL</x:v>
      </x:c>
      <x:c r="F202" s="82" t="str">
        <x:v>1999-10-23</x:v>
      </x:c>
      <x:c r="G202" s="82" t="str">
        <x:v>現役確認済</x:v>
      </x:c>
      <x:c r="H202" s="82" t="str">
        <x:v>クライマー</x:v>
      </x:c>
      <x:c r="I202" s="82" t="str">
        <x:v>TT・ルーラー型</x:v>
      </x:c>
      <x:c r="J202" s="85" t="n">
        <x:v>71</x:v>
      </x:c>
      <x:c r="K202" s="85" t="n">
        <x:v>73</x:v>
      </x:c>
      <x:c r="L202" s="91" t="str">
        <x:v>山岳賞ハンター / 山岳アシスト / 山岳ペースメーカー</x:v>
      </x:c>
      <x:c r="M202" s="88" t="n">
        <x:v>4350</x:v>
      </x:c>
      <x:c r="N202" s="85" t="n">
        <x:v>59</x:v>
      </x:c>
      <x:c r="O202" s="85" t="n">
        <x:v>64</x:v>
      </x:c>
      <x:c r="P202" s="85" t="n">
        <x:v>69</x:v>
      </x:c>
      <x:c r="Q202" s="85" t="n">
        <x:v>61</x:v>
      </x:c>
      <x:c r="R202" s="85" t="n">
        <x:v>74</x:v>
      </x:c>
      <x:c r="S202" s="85" t="n">
        <x:v>76</x:v>
      </x:c>
      <x:c r="T202" s="85" t="n">
        <x:v>70</x:v>
      </x:c>
      <x:c r="U202" s="85" t="n">
        <x:v>62</x:v>
      </x:c>
      <x:c r="V202" s="85" t="n">
        <x:v>63</x:v>
      </x:c>
      <x:c r="W202" s="85" t="n">
        <x:v>50</x:v>
      </x:c>
      <x:c r="X202" s="85" t="n">
        <x:v>75</x:v>
      </x:c>
      <x:c r="Y202" s="85" t="n">
        <x:v>73</x:v>
      </x:c>
      <x:c r="Z202" s="85" t="n">
        <x:v>68</x:v>
      </x:c>
      <x:c r="AA202" s="85" t="n">
        <x:v>66</x:v>
      </x:c>
      <x:c r="AB202" s="85" t="n">
        <x:v>74</x:v>
      </x:c>
      <x:c r="AC202" s="91" t="str">
        <x:v>2026 UCI WorldTeam名簿掲載</x:v>
      </x:c>
      <x:c r="AD202" s="91" t="str">
        <x:v>https://en.wikipedia.org/wiki/List_of_2026_UCI_WorldTeams_and_riders</x:v>
      </x:c>
      <x:c r="AE202" s="91" t="str">
        <x:v>能力・適性・Credit整合済</x:v>
      </x:c>
      <x:c r="AF202" s="91" t="str">
        <x:v>https://en.wikipedia.org/wiki/Gijs_Leemreize</x:v>
      </x:c>
    </x:row>
    <x:row r="203" ht="26" customHeight="1">
      <x:c r="A203" s="82" t="n">
        <x:v>199</x:v>
      </x:c>
      <x:c r="B203" s="82" t="str">
        <x:v>Lars Craps</x:v>
      </x:c>
      <x:c r="C203" s="143" t="str"/>
      <x:c r="D203" s="82" t="str">
        <x:v>ベルギー</x:v>
      </x:c>
      <x:c r="E203" s="82" t="str">
        <x:v>Lotto–Intermarché</x:v>
      </x:c>
      <x:c r="F203" s="82" t="str">
        <x:v>2001-10-17</x:v>
      </x:c>
      <x:c r="G203" s="82" t="str">
        <x:v>現役確認済</x:v>
      </x:c>
      <x:c r="H203" s="82" t="str">
        <x:v>クラシック型</x:v>
      </x:c>
      <x:c r="I203" s="82" t="str">
        <x:v>TT・ルーラー型</x:v>
      </x:c>
      <x:c r="J203" s="85" t="n">
        <x:v>71</x:v>
      </x:c>
      <x:c r="K203" s="85" t="n">
        <x:v>74</x:v>
      </x:c>
      <x:c r="L203" s="91" t="str">
        <x:v>石畳護衛</x:v>
      </x:c>
      <x:c r="M203" s="88" t="n">
        <x:v>4300</x:v>
      </x:c>
      <x:c r="N203" s="85" t="n">
        <x:v>68</x:v>
      </x:c>
      <x:c r="O203" s="85" t="n">
        <x:v>70</x:v>
      </x:c>
      <x:c r="P203" s="85" t="n">
        <x:v>70</x:v>
      </x:c>
      <x:c r="Q203" s="85" t="n">
        <x:v>71</x:v>
      </x:c>
      <x:c r="R203" s="85" t="n">
        <x:v>64</x:v>
      </x:c>
      <x:c r="S203" s="85" t="n">
        <x:v>73</x:v>
      </x:c>
      <x:c r="T203" s="85" t="n">
        <x:v>77</x:v>
      </x:c>
      <x:c r="U203" s="85" t="n">
        <x:v>70</x:v>
      </x:c>
      <x:c r="V203" s="85" t="n">
        <x:v>73</x:v>
      </x:c>
      <x:c r="W203" s="85" t="n">
        <x:v>69</x:v>
      </x:c>
      <x:c r="X203" s="85" t="n">
        <x:v>62</x:v>
      </x:c>
      <x:c r="Y203" s="85" t="n">
        <x:v>67</x:v>
      </x:c>
      <x:c r="Z203" s="85" t="n">
        <x:v>73</x:v>
      </x:c>
      <x:c r="AA203" s="85" t="n">
        <x:v>65</x:v>
      </x:c>
      <x:c r="AB203" s="85" t="n">
        <x:v>74</x:v>
      </x:c>
      <x:c r="AC203" s="91" t="str">
        <x:v>2026 UCI WorldTeam名簿掲載</x:v>
      </x:c>
      <x:c r="AD203" s="91" t="str">
        <x:v>https://en.wikipedia.org/wiki/List_of_2026_UCI_WorldTeams_and_riders</x:v>
      </x:c>
      <x:c r="AE203" s="91" t="str">
        <x:v>能力・適性・Credit整合済</x:v>
      </x:c>
      <x:c r="AF203" s="91" t="str">
        <x:v>https://en.wikipedia.org/wiki/Lars_Craps</x:v>
      </x:c>
    </x:row>
    <x:row r="204" ht="26" customHeight="1">
      <x:c r="A204" s="82" t="n">
        <x:v>200</x:v>
      </x:c>
      <x:c r="B204" s="82" t="str">
        <x:v>Diego Pescador</x:v>
      </x:c>
      <x:c r="C204" s="143" t="str"/>
      <x:c r="D204" s="82" t="str">
        <x:v>コロンビア</x:v>
      </x:c>
      <x:c r="E204" s="82" t="str">
        <x:v>Movistar Team</x:v>
      </x:c>
      <x:c r="F204" s="82" t="str">
        <x:v>2004-12-21</x:v>
      </x:c>
      <x:c r="G204" s="82" t="str">
        <x:v>現役確認済</x:v>
      </x:c>
      <x:c r="H204" s="82" t="str">
        <x:v>クライマー</x:v>
      </x:c>
      <x:c r="I204" s="82" t="str">
        <x:v>総合型</x:v>
      </x:c>
      <x:c r="J204" s="85" t="n">
        <x:v>71</x:v>
      </x:c>
      <x:c r="K204" s="85" t="n">
        <x:v>72</x:v>
      </x:c>
      <x:c r="L204" s="91" t="str">
        <x:v>山岳賞ハンター / 山岳アシスト / 山岳ペースメーカー / 集団コントローラー</x:v>
      </x:c>
      <x:c r="M204" s="88" t="n">
        <x:v>4150</x:v>
      </x:c>
      <x:c r="N204" s="85" t="n">
        <x:v>59</x:v>
      </x:c>
      <x:c r="O204" s="85" t="n">
        <x:v>63</x:v>
      </x:c>
      <x:c r="P204" s="85" t="n">
        <x:v>68</x:v>
      </x:c>
      <x:c r="Q204" s="85" t="n">
        <x:v>62</x:v>
      </x:c>
      <x:c r="R204" s="85" t="n">
        <x:v>74</x:v>
      </x:c>
      <x:c r="S204" s="85" t="n">
        <x:v>73</x:v>
      </x:c>
      <x:c r="T204" s="85" t="n">
        <x:v>70</x:v>
      </x:c>
      <x:c r="U204" s="85" t="n">
        <x:v>60</x:v>
      </x:c>
      <x:c r="V204" s="85" t="n">
        <x:v>65</x:v>
      </x:c>
      <x:c r="W204" s="85" t="n">
        <x:v>50</x:v>
      </x:c>
      <x:c r="X204" s="85" t="n">
        <x:v>73</x:v>
      </x:c>
      <x:c r="Y204" s="85" t="n">
        <x:v>75</x:v>
      </x:c>
      <x:c r="Z204" s="85" t="n">
        <x:v>72</x:v>
      </x:c>
      <x:c r="AA204" s="85" t="n">
        <x:v>66</x:v>
      </x:c>
      <x:c r="AB204" s="85" t="n">
        <x:v>73</x:v>
      </x:c>
      <x:c r="AC204" s="91" t="str">
        <x:v>2026 UCI WorldTeam名簿掲載</x:v>
      </x:c>
      <x:c r="AD204" s="91" t="str">
        <x:v>https://en.wikipedia.org/wiki/List_of_2026_UCI_WorldTeams_and_riders</x:v>
      </x:c>
      <x:c r="AE204" s="91" t="str">
        <x:v>能力・適性・Credit整合済</x:v>
      </x:c>
      <x:c r="AF204" s="91" t="str">
        <x:v>https://en.wikipedia.org/wiki/Diego_Pescador</x:v>
      </x:c>
    </x:row>
    <x:row r="205" ht="26" customHeight="1">
      <x:c r="A205" s="82" t="n">
        <x:v>201</x:v>
      </x:c>
      <x:c r="B205" s="82" t="str">
        <x:v>Fran Miholjević</x:v>
      </x:c>
      <x:c r="C205" s="143" t="str"/>
      <x:c r="D205" s="82" t="str">
        <x:v>CRO</x:v>
      </x:c>
      <x:c r="E205" s="82" t="str">
        <x:v>Team Bahrain Victorious</x:v>
      </x:c>
      <x:c r="F205" s="82" t="str">
        <x:v>2002-08-02</x:v>
      </x:c>
      <x:c r="G205" s="82" t="str">
        <x:v>現役確認済</x:v>
      </x:c>
      <x:c r="H205" s="82" t="str">
        <x:v>スプリンター</x:v>
      </x:c>
      <x:c r="I205" s="82" t="str">
        <x:v>総合型</x:v>
      </x:c>
      <x:c r="J205" s="85" t="n">
        <x:v>71</x:v>
      </x:c>
      <x:c r="K205" s="85" t="n">
        <x:v>66</x:v>
      </x:c>
      <x:c r="L205" s="91" t="str">
        <x:v>リードアウト / 最終発射台 / スプリントトレイン / 集団コントローラー</x:v>
      </x:c>
      <x:c r="M205" s="88" t="n">
        <x:v>4100</x:v>
      </x:c>
      <x:c r="N205" s="85" t="n">
        <x:v>81</x:v>
      </x:c>
      <x:c r="O205" s="85" t="n">
        <x:v>80</x:v>
      </x:c>
      <x:c r="P205" s="85" t="n">
        <x:v>63</x:v>
      </x:c>
      <x:c r="Q205" s="85" t="n">
        <x:v>72</x:v>
      </x:c>
      <x:c r="R205" s="85" t="n">
        <x:v>57</x:v>
      </x:c>
      <x:c r="S205" s="85" t="n">
        <x:v>64</x:v>
      </x:c>
      <x:c r="T205" s="85" t="n">
        <x:v>61</x:v>
      </x:c>
      <x:c r="U205" s="85" t="n">
        <x:v>66</x:v>
      </x:c>
      <x:c r="V205" s="85" t="n">
        <x:v>66</x:v>
      </x:c>
      <x:c r="W205" s="85" t="n">
        <x:v>57</x:v>
      </x:c>
      <x:c r="X205" s="85" t="n">
        <x:v>65</x:v>
      </x:c>
      <x:c r="Y205" s="85" t="n">
        <x:v>63</x:v>
      </x:c>
      <x:c r="Z205" s="85" t="n">
        <x:v>61</x:v>
      </x:c>
      <x:c r="AA205" s="85" t="n">
        <x:v>73</x:v>
      </x:c>
      <x:c r="AB205" s="85" t="n">
        <x:v>68</x:v>
      </x:c>
      <x:c r="AC205" s="91" t="str">
        <x:v>2026 UCI WorldTeam名簿掲載</x:v>
      </x:c>
      <x:c r="AD205" s="91" t="str">
        <x:v>https://en.wikipedia.org/wiki/List_of_2026_UCI_WorldTeams_and_riders</x:v>
      </x:c>
      <x:c r="AE205" s="91" t="str">
        <x:v>能力・適性・Credit整合済</x:v>
      </x:c>
      <x:c r="AF205" s="91" t="str">
        <x:v>https://en.wikipedia.org/wiki/Fran_Miholjevi%C4%87</x:v>
      </x:c>
    </x:row>
    <x:row r="206" ht="26" customHeight="1">
      <x:c r="A206" s="82" t="n">
        <x:v>202</x:v>
      </x:c>
      <x:c r="B206" s="82" t="str">
        <x:v>Madis Mihkels</x:v>
      </x:c>
      <x:c r="C206" s="143" t="str"/>
      <x:c r="D206" s="82" t="str">
        <x:v>エストニア</x:v>
      </x:c>
      <x:c r="E206" s="82" t="str">
        <x:v>EF Education–EasyPost</x:v>
      </x:c>
      <x:c r="F206" s="82" t="str">
        <x:v>2003-05-31</x:v>
      </x:c>
      <x:c r="G206" s="82" t="str">
        <x:v>現役確認済</x:v>
      </x:c>
      <x:c r="H206" s="82" t="str">
        <x:v>パンチャー</x:v>
      </x:c>
      <x:c r="I206" s="82" t="str">
        <x:v>総合型</x:v>
      </x:c>
      <x:c r="J206" s="85" t="n">
        <x:v>71</x:v>
      </x:c>
      <x:c r="K206" s="85" t="n">
        <x:v>70</x:v>
      </x:c>
      <x:c r="L206" s="91" t="str">
        <x:v>ロードキャプテン / ステージハンター / 集団コントローラー</x:v>
      </x:c>
      <x:c r="M206" s="88" t="n">
        <x:v>4050</x:v>
      </x:c>
      <x:c r="N206" s="85" t="n">
        <x:v>73</x:v>
      </x:c>
      <x:c r="O206" s="85" t="n">
        <x:v>76</x:v>
      </x:c>
      <x:c r="P206" s="85" t="n">
        <x:v>75</x:v>
      </x:c>
      <x:c r="Q206" s="85" t="n">
        <x:v>67</x:v>
      </x:c>
      <x:c r="R206" s="85" t="n">
        <x:v>72</x:v>
      </x:c>
      <x:c r="S206" s="85" t="n">
        <x:v>66</x:v>
      </x:c>
      <x:c r="T206" s="85" t="n">
        <x:v>68</x:v>
      </x:c>
      <x:c r="U206" s="85" t="n">
        <x:v>75</x:v>
      </x:c>
      <x:c r="V206" s="85" t="n">
        <x:v>71</x:v>
      </x:c>
      <x:c r="W206" s="85" t="n">
        <x:v>57</x:v>
      </x:c>
      <x:c r="X206" s="85" t="n">
        <x:v>66</x:v>
      </x:c>
      <x:c r="Y206" s="85" t="n">
        <x:v>68</x:v>
      </x:c>
      <x:c r="Z206" s="85" t="n">
        <x:v>68</x:v>
      </x:c>
      <x:c r="AA206" s="85" t="n">
        <x:v>72</x:v>
      </x:c>
      <x:c r="AB206" s="85" t="n">
        <x:v>71</x:v>
      </x:c>
      <x:c r="AC206" s="91" t="str">
        <x:v>2026 UCI WorldTeam名簿掲載</x:v>
      </x:c>
      <x:c r="AD206" s="91" t="str">
        <x:v>https://en.wikipedia.org/wiki/List_of_2026_UCI_WorldTeams_and_riders</x:v>
      </x:c>
      <x:c r="AE206" s="91" t="str">
        <x:v>能力・適性・Credit整合済</x:v>
      </x:c>
      <x:c r="AF206" s="91" t="str">
        <x:v>https://en.wikipedia.org/wiki/Madis_Mihkels</x:v>
      </x:c>
    </x:row>
    <x:row r="207" ht="26" customHeight="1">
      <x:c r="A207" s="82" t="n">
        <x:v>203</x:v>
      </x:c>
      <x:c r="B207" s="82" t="str">
        <x:v>Luke Lamperti</x:v>
      </x:c>
      <x:c r="C207" s="143" t="str"/>
      <x:c r="D207" s="82" t="str">
        <x:v>アメリカ</x:v>
      </x:c>
      <x:c r="E207" s="82" t="str">
        <x:v>EF Education–EasyPost</x:v>
      </x:c>
      <x:c r="F207" s="82" t="str">
        <x:v>2002-12-31</x:v>
      </x:c>
      <x:c r="G207" s="82" t="str">
        <x:v>現役確認済</x:v>
      </x:c>
      <x:c r="H207" s="82" t="str">
        <x:v>スプリンター</x:v>
      </x:c>
      <x:c r="I207" s="82" t="str">
        <x:v>TT・ルーラー型</x:v>
      </x:c>
      <x:c r="J207" s="85" t="n">
        <x:v>71</x:v>
      </x:c>
      <x:c r="K207" s="85" t="n">
        <x:v>67</x:v>
      </x:c>
      <x:c r="L207" s="91" t="str">
        <x:v>リードアウト / 最終発射台 / 無賃乗車</x:v>
      </x:c>
      <x:c r="M207" s="88" t="n">
        <x:v>4050</x:v>
      </x:c>
      <x:c r="N207" s="85" t="n">
        <x:v>80</x:v>
      </x:c>
      <x:c r="O207" s="85" t="n">
        <x:v>75</x:v>
      </x:c>
      <x:c r="P207" s="85" t="n">
        <x:v>65</x:v>
      </x:c>
      <x:c r="Q207" s="85" t="n">
        <x:v>72</x:v>
      </x:c>
      <x:c r="R207" s="85" t="n">
        <x:v>58</x:v>
      </x:c>
      <x:c r="S207" s="85" t="n">
        <x:v>63</x:v>
      </x:c>
      <x:c r="T207" s="85" t="n">
        <x:v>68</x:v>
      </x:c>
      <x:c r="U207" s="85" t="n">
        <x:v>69</x:v>
      </x:c>
      <x:c r="V207" s="85" t="n">
        <x:v>67</x:v>
      </x:c>
      <x:c r="W207" s="85" t="n">
        <x:v>54</x:v>
      </x:c>
      <x:c r="X207" s="85" t="n">
        <x:v>69</x:v>
      </x:c>
      <x:c r="Y207" s="85" t="n">
        <x:v>66</x:v>
      </x:c>
      <x:c r="Z207" s="85" t="n">
        <x:v>62</x:v>
      </x:c>
      <x:c r="AA207" s="85" t="n">
        <x:v>73</x:v>
      </x:c>
      <x:c r="AB207" s="85" t="n">
        <x:v>68</x:v>
      </x:c>
      <x:c r="AC207" s="91" t="str">
        <x:v>2026 UCI WorldTeam名簿掲載</x:v>
      </x:c>
      <x:c r="AD207" s="91" t="str">
        <x:v>https://en.wikipedia.org/wiki/List_of_2026_UCI_WorldTeams_and_riders</x:v>
      </x:c>
      <x:c r="AE207" s="91" t="str">
        <x:v>能力・適性・Credit整合済</x:v>
      </x:c>
      <x:c r="AF207" s="91" t="str">
        <x:v>https://en.wikipedia.org/wiki/Luke_Lamperti</x:v>
      </x:c>
    </x:row>
    <x:row r="208" ht="26" customHeight="1">
      <x:c r="A208" s="82" t="n">
        <x:v>204</x:v>
      </x:c>
      <x:c r="B208" s="82" t="str">
        <x:v>Dries Van Gestel</x:v>
      </x:c>
      <x:c r="C208" s="143" t="str"/>
      <x:c r="D208" s="82" t="str">
        <x:v>ベルギー</x:v>
      </x:c>
      <x:c r="E208" s="82" t="str">
        <x:v>Soudal–Quick-Step</x:v>
      </x:c>
      <x:c r="F208" s="82" t="str">
        <x:v>1994-09-30</x:v>
      </x:c>
      <x:c r="G208" s="82" t="str">
        <x:v>現役確認済</x:v>
      </x:c>
      <x:c r="H208" s="82" t="str">
        <x:v>パンチャー</x:v>
      </x:c>
      <x:c r="I208" s="82" t="str">
        <x:v>クライマー</x:v>
      </x:c>
      <x:c r="J208" s="85" t="n">
        <x:v>71</x:v>
      </x:c>
      <x:c r="K208" s="85" t="n">
        <x:v>69</x:v>
      </x:c>
      <x:c r="L208" s="91" t="str">
        <x:v>ステージハンター / 山岳賞ハンター / 無賃乗車</x:v>
      </x:c>
      <x:c r="M208" s="88" t="n">
        <x:v>4000</x:v>
      </x:c>
      <x:c r="N208" s="85" t="n">
        <x:v>72</x:v>
      </x:c>
      <x:c r="O208" s="85" t="n">
        <x:v>71</x:v>
      </x:c>
      <x:c r="P208" s="85" t="n">
        <x:v>79</x:v>
      </x:c>
      <x:c r="Q208" s="85" t="n">
        <x:v>67</x:v>
      </x:c>
      <x:c r="R208" s="85" t="n">
        <x:v>72</x:v>
      </x:c>
      <x:c r="S208" s="85" t="n">
        <x:v>63</x:v>
      </x:c>
      <x:c r="T208" s="85" t="n">
        <x:v>68</x:v>
      </x:c>
      <x:c r="U208" s="85" t="n">
        <x:v>73</x:v>
      </x:c>
      <x:c r="V208" s="85" t="n">
        <x:v>71</x:v>
      </x:c>
      <x:c r="W208" s="85" t="n">
        <x:v>53</x:v>
      </x:c>
      <x:c r="X208" s="85" t="n">
        <x:v>68</x:v>
      </x:c>
      <x:c r="Y208" s="85" t="n">
        <x:v>63</x:v>
      </x:c>
      <x:c r="Z208" s="85" t="n">
        <x:v>63</x:v>
      </x:c>
      <x:c r="AA208" s="85" t="n">
        <x:v>72</x:v>
      </x:c>
      <x:c r="AB208" s="85" t="n">
        <x:v>74</x:v>
      </x:c>
      <x:c r="AC208" s="91" t="str">
        <x:v>2026 UCI WorldTeam名簿掲載</x:v>
      </x:c>
      <x:c r="AD208" s="91" t="str">
        <x:v>https://en.wikipedia.org/wiki/List_of_2026_UCI_WorldTeams_and_riders</x:v>
      </x:c>
      <x:c r="AE208" s="91" t="str">
        <x:v>能力・適性・Credit整合済</x:v>
      </x:c>
      <x:c r="AF208" s="91" t="str">
        <x:v>https://en.wikipedia.org/wiki/Dries_Van_Gestel</x:v>
      </x:c>
    </x:row>
    <x:row r="209" ht="26" customHeight="1">
      <x:c r="A209" s="82" t="n">
        <x:v>205</x:v>
      </x:c>
      <x:c r="B209" s="82" t="str">
        <x:v>Ben Zwiehoff</x:v>
      </x:c>
      <x:c r="C209" s="143" t="str"/>
      <x:c r="D209" s="82" t="str">
        <x:v>ドイツ</x:v>
      </x:c>
      <x:c r="E209" s="82" t="str">
        <x:v>Red Bull–Bora–Hansgrohe</x:v>
      </x:c>
      <x:c r="F209" s="82" t="str">
        <x:v>1994-02-22</x:v>
      </x:c>
      <x:c r="G209" s="82" t="str">
        <x:v>現役確認済</x:v>
      </x:c>
      <x:c r="H209" s="82" t="str">
        <x:v>パンチャー</x:v>
      </x:c>
      <x:c r="I209" s="82" t="str">
        <x:v>スプリンター</x:v>
      </x:c>
      <x:c r="J209" s="85" t="n">
        <x:v>71</x:v>
      </x:c>
      <x:c r="K209" s="85" t="n">
        <x:v>68</x:v>
      </x:c>
      <x:c r="L209" s="91" t="str">
        <x:v>ロードキャプテン / ステージハンター / スプリントトレイン</x:v>
      </x:c>
      <x:c r="M209" s="88" t="n">
        <x:v>3850</x:v>
      </x:c>
      <x:c r="N209" s="85" t="n">
        <x:v>70</x:v>
      </x:c>
      <x:c r="O209" s="85" t="n">
        <x:v>75</x:v>
      </x:c>
      <x:c r="P209" s="85" t="n">
        <x:v>74</x:v>
      </x:c>
      <x:c r="Q209" s="85" t="n">
        <x:v>65</x:v>
      </x:c>
      <x:c r="R209" s="85" t="n">
        <x:v>71</x:v>
      </x:c>
      <x:c r="S209" s="85" t="n">
        <x:v>65</x:v>
      </x:c>
      <x:c r="T209" s="85" t="n">
        <x:v>65</x:v>
      </x:c>
      <x:c r="U209" s="85" t="n">
        <x:v>71</x:v>
      </x:c>
      <x:c r="V209" s="85" t="n">
        <x:v>72</x:v>
      </x:c>
      <x:c r="W209" s="85" t="n">
        <x:v>59</x:v>
      </x:c>
      <x:c r="X209" s="85" t="n">
        <x:v>70</x:v>
      </x:c>
      <x:c r="Y209" s="85" t="n">
        <x:v>65</x:v>
      </x:c>
      <x:c r="Z209" s="85" t="n">
        <x:v>64</x:v>
      </x:c>
      <x:c r="AA209" s="85" t="n">
        <x:v>71</x:v>
      </x:c>
      <x:c r="AB209" s="85" t="n">
        <x:v>75</x:v>
      </x:c>
      <x:c r="AC209" s="91" t="str">
        <x:v>2026 UCI WorldTeam名簿掲載</x:v>
      </x:c>
      <x:c r="AD209" s="91" t="str">
        <x:v>https://en.wikipedia.org/wiki/List_of_2026_UCI_WorldTeams_and_riders</x:v>
      </x:c>
      <x:c r="AE209" s="91" t="str">
        <x:v>能力・適性・Credit整合済</x:v>
      </x:c>
      <x:c r="AF209" s="91" t="str">
        <x:v>https://en.wikipedia.org/wiki/Ben_Zwiehoff</x:v>
      </x:c>
    </x:row>
    <x:row r="210" ht="26" customHeight="1">
      <x:c r="A210" s="82" t="n">
        <x:v>206</x:v>
      </x:c>
      <x:c r="B210" s="82" t="str">
        <x:v>Fredrik Dversnes</x:v>
      </x:c>
      <x:c r="C210" s="143" t="str"/>
      <x:c r="D210" s="82" t="str">
        <x:v>ノルウェー</x:v>
      </x:c>
      <x:c r="E210" s="82" t="str">
        <x:v>Uno-X Mobility</x:v>
      </x:c>
      <x:c r="F210" s="82" t="str">
        <x:v>1997-03-20</x:v>
      </x:c>
      <x:c r="G210" s="82" t="str">
        <x:v>現役確認済</x:v>
      </x:c>
      <x:c r="H210" s="82" t="str">
        <x:v>パンチャー</x:v>
      </x:c>
      <x:c r="I210" s="82" t="str">
        <x:v>クライマー</x:v>
      </x:c>
      <x:c r="J210" s="85" t="n">
        <x:v>71</x:v>
      </x:c>
      <x:c r="K210" s="85" t="n">
        <x:v>69</x:v>
      </x:c>
      <x:c r="L210" s="91" t="str">
        <x:v>ステージハンター / 山岳賞ハンター / 下り牽引</x:v>
      </x:c>
      <x:c r="M210" s="88" t="n">
        <x:v>3850</x:v>
      </x:c>
      <x:c r="N210" s="85" t="n">
        <x:v>67</x:v>
      </x:c>
      <x:c r="O210" s="85" t="n">
        <x:v>73</x:v>
      </x:c>
      <x:c r="P210" s="85" t="n">
        <x:v>75</x:v>
      </x:c>
      <x:c r="Q210" s="85" t="n">
        <x:v>67</x:v>
      </x:c>
      <x:c r="R210" s="85" t="n">
        <x:v>71</x:v>
      </x:c>
      <x:c r="S210" s="85" t="n">
        <x:v>66</x:v>
      </x:c>
      <x:c r="T210" s="85" t="n">
        <x:v>65</x:v>
      </x:c>
      <x:c r="U210" s="85" t="n">
        <x:v>69</x:v>
      </x:c>
      <x:c r="V210" s="85" t="n">
        <x:v>73</x:v>
      </x:c>
      <x:c r="W210" s="85" t="n">
        <x:v>58</x:v>
      </x:c>
      <x:c r="X210" s="85" t="n">
        <x:v>70</x:v>
      </x:c>
      <x:c r="Y210" s="85" t="n">
        <x:v>66</x:v>
      </x:c>
      <x:c r="Z210" s="85" t="n">
        <x:v>63</x:v>
      </x:c>
      <x:c r="AA210" s="85" t="n">
        <x:v>75</x:v>
      </x:c>
      <x:c r="AB210" s="85" t="n">
        <x:v>72</x:v>
      </x:c>
      <x:c r="AC210" s="91" t="str">
        <x:v>2026 UCI WorldTeam名簿掲載</x:v>
      </x:c>
      <x:c r="AD210" s="91" t="str">
        <x:v>https://en.wikipedia.org/wiki/List_of_2026_UCI_WorldTeams_and_riders</x:v>
      </x:c>
      <x:c r="AE210" s="91" t="str">
        <x:v>能力・適性・Credit整合済</x:v>
      </x:c>
      <x:c r="AF210" s="91" t="str">
        <x:v>https://en.wikipedia.org/wiki/Fredrik_Dversnes</x:v>
      </x:c>
    </x:row>
    <x:row r="211" ht="26" customHeight="1">
      <x:c r="A211" s="82" t="n">
        <x:v>207</x:v>
      </x:c>
      <x:c r="B211" s="82" t="str">
        <x:v>Jardi Christiaan van der Lee</x:v>
      </x:c>
      <x:c r="C211" s="143" t="str"/>
      <x:c r="D211" s="82" t="str">
        <x:v>オランダ</x:v>
      </x:c>
      <x:c r="E211" s="82" t="str">
        <x:v>EF Education–EasyPost</x:v>
      </x:c>
      <x:c r="F211" s="82" t="str">
        <x:v>2001-08-06</x:v>
      </x:c>
      <x:c r="G211" s="82" t="str">
        <x:v>現役確認済</x:v>
      </x:c>
      <x:c r="H211" s="82" t="str">
        <x:v>パンチャー</x:v>
      </x:c>
      <x:c r="I211" s="82" t="str">
        <x:v>総合型</x:v>
      </x:c>
      <x:c r="J211" s="85" t="n">
        <x:v>71</x:v>
      </x:c>
      <x:c r="K211" s="85" t="n">
        <x:v>68</x:v>
      </x:c>
      <x:c r="L211" s="91" t="str">
        <x:v>ステージハンター / 山岳賞ハンター / 集団コントローラー</x:v>
      </x:c>
      <x:c r="M211" s="88" t="n">
        <x:v>3850</x:v>
      </x:c>
      <x:c r="N211" s="85" t="n">
        <x:v>70</x:v>
      </x:c>
      <x:c r="O211" s="85" t="n">
        <x:v>74</x:v>
      </x:c>
      <x:c r="P211" s="85" t="n">
        <x:v>76</x:v>
      </x:c>
      <x:c r="Q211" s="85" t="n">
        <x:v>65</x:v>
      </x:c>
      <x:c r="R211" s="85" t="n">
        <x:v>72</x:v>
      </x:c>
      <x:c r="S211" s="85" t="n">
        <x:v>65</x:v>
      </x:c>
      <x:c r="T211" s="85" t="n">
        <x:v>65</x:v>
      </x:c>
      <x:c r="U211" s="85" t="n">
        <x:v>70</x:v>
      </x:c>
      <x:c r="V211" s="85" t="n">
        <x:v>74</x:v>
      </x:c>
      <x:c r="W211" s="85" t="n">
        <x:v>53</x:v>
      </x:c>
      <x:c r="X211" s="85" t="n">
        <x:v>69</x:v>
      </x:c>
      <x:c r="Y211" s="85" t="n">
        <x:v>66</x:v>
      </x:c>
      <x:c r="Z211" s="85" t="n">
        <x:v>65</x:v>
      </x:c>
      <x:c r="AA211" s="85" t="n">
        <x:v>74</x:v>
      </x:c>
      <x:c r="AB211" s="85" t="n">
        <x:v>70</x:v>
      </x:c>
      <x:c r="AC211" s="91" t="str">
        <x:v>2026 UCI WorldTeam名簿掲載</x:v>
      </x:c>
      <x:c r="AD211" s="91" t="str">
        <x:v>https://en.wikipedia.org/wiki/List_of_2026_UCI_WorldTeams_and_riders</x:v>
      </x:c>
      <x:c r="AE211" s="91" t="str">
        <x:v>能力・適性・Credit整合済</x:v>
      </x:c>
      <x:c r="AF211" s="91" t="str">
        <x:v>https://en.wikipedia.org/wiki/List_of_2026_UCI_WorldTeams_and_riders</x:v>
      </x:c>
    </x:row>
    <x:row r="212" ht="26" customHeight="1">
      <x:c r="A212" s="82" t="n">
        <x:v>208</x:v>
      </x:c>
      <x:c r="B212" s="82" t="str">
        <x:v>Gonzalo Serrano</x:v>
      </x:c>
      <x:c r="C212" s="143" t="str"/>
      <x:c r="D212" s="82" t="str">
        <x:v>スペイン</x:v>
      </x:c>
      <x:c r="E212" s="82" t="str">
        <x:v>Movistar Team</x:v>
      </x:c>
      <x:c r="F212" s="82" t="str">
        <x:v>1994-08-17</x:v>
      </x:c>
      <x:c r="G212" s="82" t="str">
        <x:v>現役確認済</x:v>
      </x:c>
      <x:c r="H212" s="82" t="str">
        <x:v>パンチャー</x:v>
      </x:c>
      <x:c r="I212" s="82" t="str">
        <x:v>クライマー</x:v>
      </x:c>
      <x:c r="J212" s="85" t="n">
        <x:v>71</x:v>
      </x:c>
      <x:c r="K212" s="85" t="n">
        <x:v>69</x:v>
      </x:c>
      <x:c r="L212" s="91" t="str">
        <x:v>ステージハンター / 山岳賞ハンター</x:v>
      </x:c>
      <x:c r="M212" s="88" t="n">
        <x:v>3800</x:v>
      </x:c>
      <x:c r="N212" s="85" t="n">
        <x:v>72</x:v>
      </x:c>
      <x:c r="O212" s="85" t="n">
        <x:v>72</x:v>
      </x:c>
      <x:c r="P212" s="85" t="n">
        <x:v>75</x:v>
      </x:c>
      <x:c r="Q212" s="85" t="n">
        <x:v>69</x:v>
      </x:c>
      <x:c r="R212" s="85" t="n">
        <x:v>70</x:v>
      </x:c>
      <x:c r="S212" s="85" t="n">
        <x:v>68</x:v>
      </x:c>
      <x:c r="T212" s="85" t="n">
        <x:v>63</x:v>
      </x:c>
      <x:c r="U212" s="85" t="n">
        <x:v>72</x:v>
      </x:c>
      <x:c r="V212" s="85" t="n">
        <x:v>74</x:v>
      </x:c>
      <x:c r="W212" s="85" t="n">
        <x:v>56</x:v>
      </x:c>
      <x:c r="X212" s="85" t="n">
        <x:v>66</x:v>
      </x:c>
      <x:c r="Y212" s="85" t="n">
        <x:v>65</x:v>
      </x:c>
      <x:c r="Z212" s="85" t="n">
        <x:v>62</x:v>
      </x:c>
      <x:c r="AA212" s="85" t="n">
        <x:v>75</x:v>
      </x:c>
      <x:c r="AB212" s="85" t="n">
        <x:v>70</x:v>
      </x:c>
      <x:c r="AC212" s="91" t="str">
        <x:v>2026 UCI WorldTeam名簿掲載</x:v>
      </x:c>
      <x:c r="AD212" s="91" t="str">
        <x:v>https://en.wikipedia.org/wiki/List_of_2026_UCI_WorldTeams_and_riders</x:v>
      </x:c>
      <x:c r="AE212" s="91" t="str">
        <x:v>能力・適性・Credit整合済</x:v>
      </x:c>
      <x:c r="AF212" s="91" t="str">
        <x:v>https://en.wikipedia.org/wiki/Gonzalo_Serrano</x:v>
      </x:c>
    </x:row>
    <x:row r="213" ht="26" customHeight="1">
      <x:c r="A213" s="82" t="n">
        <x:v>209</x:v>
      </x:c>
      <x:c r="B213" s="82" t="str">
        <x:v>Ådne Holter</x:v>
      </x:c>
      <x:c r="C213" s="143" t="str"/>
      <x:c r="D213" s="82" t="str">
        <x:v>ノルウェー</x:v>
      </x:c>
      <x:c r="E213" s="82" t="str">
        <x:v>Uno-X Mobility</x:v>
      </x:c>
      <x:c r="F213" s="82" t="str">
        <x:v>2000-07-08</x:v>
      </x:c>
      <x:c r="G213" s="82" t="str">
        <x:v>現役確認済</x:v>
      </x:c>
      <x:c r="H213" s="82" t="str">
        <x:v>パンチャー</x:v>
      </x:c>
      <x:c r="I213" s="82" t="str">
        <x:v>総合型</x:v>
      </x:c>
      <x:c r="J213" s="85" t="n">
        <x:v>71</x:v>
      </x:c>
      <x:c r="K213" s="85" t="n">
        <x:v>66</x:v>
      </x:c>
      <x:c r="L213" s="91" t="str">
        <x:v>ステージハンター / 山岳賞ハンター / 集団コントローラー</x:v>
      </x:c>
      <x:c r="M213" s="88" t="n">
        <x:v>3800</x:v>
      </x:c>
      <x:c r="N213" s="85" t="n">
        <x:v>70</x:v>
      </x:c>
      <x:c r="O213" s="85" t="n">
        <x:v>75</x:v>
      </x:c>
      <x:c r="P213" s="85" t="n">
        <x:v>78</x:v>
      </x:c>
      <x:c r="Q213" s="85" t="n">
        <x:v>63</x:v>
      </x:c>
      <x:c r="R213" s="85" t="n">
        <x:v>71</x:v>
      </x:c>
      <x:c r="S213" s="85" t="n">
        <x:v>61</x:v>
      </x:c>
      <x:c r="T213" s="85" t="n">
        <x:v>67</x:v>
      </x:c>
      <x:c r="U213" s="85" t="n">
        <x:v>69</x:v>
      </x:c>
      <x:c r="V213" s="85" t="n">
        <x:v>72</x:v>
      </x:c>
      <x:c r="W213" s="85" t="n">
        <x:v>58</x:v>
      </x:c>
      <x:c r="X213" s="85" t="n">
        <x:v>69</x:v>
      </x:c>
      <x:c r="Y213" s="85" t="n">
        <x:v>64</x:v>
      </x:c>
      <x:c r="Z213" s="85" t="n">
        <x:v>58</x:v>
      </x:c>
      <x:c r="AA213" s="85" t="n">
        <x:v>73</x:v>
      </x:c>
      <x:c r="AB213" s="85" t="n">
        <x:v>72</x:v>
      </x:c>
      <x:c r="AC213" s="91" t="str">
        <x:v>2026 UCI WorldTeam名簿掲載</x:v>
      </x:c>
      <x:c r="AD213" s="91" t="str">
        <x:v>https://en.wikipedia.org/wiki/List_of_2026_UCI_WorldTeams_and_riders</x:v>
      </x:c>
      <x:c r="AE213" s="91" t="str">
        <x:v>能力・適性・Credit整合済</x:v>
      </x:c>
      <x:c r="AF213" s="91" t="str">
        <x:v>https://en.wikipedia.org/wiki/%C3%85dne_Holter</x:v>
      </x:c>
    </x:row>
    <x:row r="214" ht="26" customHeight="1">
      <x:c r="A214" s="82" t="n">
        <x:v>210</x:v>
      </x:c>
      <x:c r="B214" s="82" t="str">
        <x:v>Alessandro Romele</x:v>
      </x:c>
      <x:c r="C214" s="143" t="str"/>
      <x:c r="D214" s="82" t="str">
        <x:v>イタリア</x:v>
      </x:c>
      <x:c r="E214" s="82" t="str">
        <x:v>XDS Astana Team</x:v>
      </x:c>
      <x:c r="F214" s="82" t="str">
        <x:v>2003-08-30</x:v>
      </x:c>
      <x:c r="G214" s="82" t="str">
        <x:v>現役確認済</x:v>
      </x:c>
      <x:c r="H214" s="82" t="str">
        <x:v>パンチャー</x:v>
      </x:c>
      <x:c r="I214" s="82" t="str">
        <x:v>TT・ルーラー型</x:v>
      </x:c>
      <x:c r="J214" s="85" t="n">
        <x:v>71</x:v>
      </x:c>
      <x:c r="K214" s="85" t="n">
        <x:v>68</x:v>
      </x:c>
      <x:c r="L214" s="91" t="str">
        <x:v>ステージハンター</x:v>
      </x:c>
      <x:c r="M214" s="88" t="n">
        <x:v>3700</x:v>
      </x:c>
      <x:c r="N214" s="85" t="n">
        <x:v>69</x:v>
      </x:c>
      <x:c r="O214" s="85" t="n">
        <x:v>72</x:v>
      </x:c>
      <x:c r="P214" s="85" t="n">
        <x:v>75</x:v>
      </x:c>
      <x:c r="Q214" s="85" t="n">
        <x:v>68</x:v>
      </x:c>
      <x:c r="R214" s="85" t="n">
        <x:v>70</x:v>
      </x:c>
      <x:c r="S214" s="85" t="n">
        <x:v>63</x:v>
      </x:c>
      <x:c r="T214" s="85" t="n">
        <x:v>65</x:v>
      </x:c>
      <x:c r="U214" s="85" t="n">
        <x:v>67</x:v>
      </x:c>
      <x:c r="V214" s="85" t="n">
        <x:v>71</x:v>
      </x:c>
      <x:c r="W214" s="85" t="n">
        <x:v>55</x:v>
      </x:c>
      <x:c r="X214" s="85" t="n">
        <x:v>68</x:v>
      </x:c>
      <x:c r="Y214" s="85" t="n">
        <x:v>69</x:v>
      </x:c>
      <x:c r="Z214" s="85" t="n">
        <x:v>66</x:v>
      </x:c>
      <x:c r="AA214" s="85" t="n">
        <x:v>70</x:v>
      </x:c>
      <x:c r="AB214" s="85" t="n">
        <x:v>72</x:v>
      </x:c>
      <x:c r="AC214" s="91" t="str">
        <x:v>2026 UCI WorldTeam名簿掲載</x:v>
      </x:c>
      <x:c r="AD214" s="91" t="str">
        <x:v>https://en.wikipedia.org/wiki/List_of_2026_UCI_WorldTeams_and_riders</x:v>
      </x:c>
      <x:c r="AE214" s="91" t="str">
        <x:v>能力・適性・Credit整合済</x:v>
      </x:c>
      <x:c r="AF214" s="91" t="str">
        <x:v>https://en.wikipedia.org/wiki/Alessandro_Romele</x:v>
      </x:c>
    </x:row>
    <x:row r="215" ht="26" customHeight="1">
      <x:c r="A215" s="82" t="n">
        <x:v>211</x:v>
      </x:c>
      <x:c r="B215" s="82" t="str">
        <x:v>Erlend Blikra</x:v>
      </x:c>
      <x:c r="C215" s="143" t="str"/>
      <x:c r="D215" s="82" t="str">
        <x:v>ノルウェー</x:v>
      </x:c>
      <x:c r="E215" s="82" t="str">
        <x:v>Uno-X Mobility</x:v>
      </x:c>
      <x:c r="F215" s="82" t="str">
        <x:v>1997-01-11</x:v>
      </x:c>
      <x:c r="G215" s="82" t="str">
        <x:v>現役確認済</x:v>
      </x:c>
      <x:c r="H215" s="82" t="str">
        <x:v>パンチャー</x:v>
      </x:c>
      <x:c r="I215" s="82" t="str">
        <x:v>クライマー</x:v>
      </x:c>
      <x:c r="J215" s="85" t="n">
        <x:v>71</x:v>
      </x:c>
      <x:c r="K215" s="85" t="n">
        <x:v>68</x:v>
      </x:c>
      <x:c r="L215" s="91" t="str">
        <x:v>ステージハンター / 山岳賞ハンター</x:v>
      </x:c>
      <x:c r="M215" s="88" t="n">
        <x:v>3400</x:v>
      </x:c>
      <x:c r="N215" s="85" t="n">
        <x:v>64</x:v>
      </x:c>
      <x:c r="O215" s="85" t="n">
        <x:v>70</x:v>
      </x:c>
      <x:c r="P215" s="85" t="n">
        <x:v>73</x:v>
      </x:c>
      <x:c r="Q215" s="85" t="n">
        <x:v>66</x:v>
      </x:c>
      <x:c r="R215" s="85" t="n">
        <x:v>70</x:v>
      </x:c>
      <x:c r="S215" s="85" t="n">
        <x:v>65</x:v>
      </x:c>
      <x:c r="T215" s="85" t="n">
        <x:v>63</x:v>
      </x:c>
      <x:c r="U215" s="85" t="n">
        <x:v>66</x:v>
      </x:c>
      <x:c r="V215" s="85" t="n">
        <x:v>67</x:v>
      </x:c>
      <x:c r="W215" s="85" t="n">
        <x:v>52</x:v>
      </x:c>
      <x:c r="X215" s="85" t="n">
        <x:v>62</x:v>
      </x:c>
      <x:c r="Y215" s="85" t="n">
        <x:v>63</x:v>
      </x:c>
      <x:c r="Z215" s="85" t="n">
        <x:v>63</x:v>
      </x:c>
      <x:c r="AA215" s="85" t="n">
        <x:v>73</x:v>
      </x:c>
      <x:c r="AB215" s="85" t="n">
        <x:v>70</x:v>
      </x:c>
      <x:c r="AC215" s="91" t="str">
        <x:v>2026 UCI WorldTeam名簿掲載</x:v>
      </x:c>
      <x:c r="AD215" s="91" t="str">
        <x:v>https://en.wikipedia.org/wiki/List_of_2026_UCI_WorldTeams_and_riders</x:v>
      </x:c>
      <x:c r="AE215" s="91" t="str">
        <x:v>能力・適性・Credit整合済</x:v>
      </x:c>
      <x:c r="AF215" s="91" t="str">
        <x:v>https://en.wikipedia.org/wiki/Erlend_Blikra</x:v>
      </x:c>
    </x:row>
    <x:row r="216" ht="26" customHeight="1">
      <x:c r="A216" s="82" t="n">
        <x:v>212</x:v>
      </x:c>
      <x:c r="B216" s="82" t="str">
        <x:v>Guillaume Boivin</x:v>
      </x:c>
      <x:c r="C216" s="143" t="str"/>
      <x:c r="D216" s="82" t="str">
        <x:v>カナダ</x:v>
      </x:c>
      <x:c r="E216" s="82" t="str">
        <x:v>NSN Cycling Team</x:v>
      </x:c>
      <x:c r="F216" s="82" t="str">
        <x:v>1989-05-25</x:v>
      </x:c>
      <x:c r="G216" s="82" t="str">
        <x:v>現役確認済</x:v>
      </x:c>
      <x:c r="H216" s="82" t="str">
        <x:v>TT・ルーラー型</x:v>
      </x:c>
      <x:c r="I216" s="82" t="str">
        <x:v>総合型</x:v>
      </x:c>
      <x:c r="J216" s="85" t="n">
        <x:v>70</x:v>
      </x:c>
      <x:c r="K216" s="85" t="n">
        <x:v>78</x:v>
      </x:c>
      <x:c r="L216" s="91" t="str">
        <x:v>TTスペシャリスト / 平坦アシスト / 集団コントローラー / ブレイクアウェイキラー</x:v>
      </x:c>
      <x:c r="M216" s="88" t="n">
        <x:v>5450</x:v>
      </x:c>
      <x:c r="N216" s="85" t="n">
        <x:v>68</x:v>
      </x:c>
      <x:c r="O216" s="85" t="n">
        <x:v>65</x:v>
      </x:c>
      <x:c r="P216" s="85" t="n">
        <x:v>66</x:v>
      </x:c>
      <x:c r="Q216" s="85" t="n">
        <x:v>81</x:v>
      </x:c>
      <x:c r="R216" s="85" t="n">
        <x:v>69</x:v>
      </x:c>
      <x:c r="S216" s="85" t="n">
        <x:v>78</x:v>
      </x:c>
      <x:c r="T216" s="85" t="n">
        <x:v>74</x:v>
      </x:c>
      <x:c r="U216" s="85" t="n">
        <x:v>76</x:v>
      </x:c>
      <x:c r="V216" s="85" t="n">
        <x:v>74</x:v>
      </x:c>
      <x:c r="W216" s="85" t="n">
        <x:v>60</x:v>
      </x:c>
      <x:c r="X216" s="85" t="n">
        <x:v>72</x:v>
      </x:c>
      <x:c r="Y216" s="85" t="n">
        <x:v>70</x:v>
      </x:c>
      <x:c r="Z216" s="85" t="n">
        <x:v>78</x:v>
      </x:c>
      <x:c r="AA216" s="85" t="n">
        <x:v>65</x:v>
      </x:c>
      <x:c r="AB216" s="85" t="n">
        <x:v>67</x:v>
      </x:c>
      <x:c r="AC216" s="91" t="str">
        <x:v>2026 UCI WorldTeam名簿掲載</x:v>
      </x:c>
      <x:c r="AD216" s="91" t="str">
        <x:v>https://en.wikipedia.org/wiki/List_of_2026_UCI_WorldTeams_and_riders</x:v>
      </x:c>
      <x:c r="AE216" s="91" t="str">
        <x:v>能力・適性・Credit整合済</x:v>
      </x:c>
      <x:c r="AF216" s="91" t="str">
        <x:v>https://en.wikipedia.org/wiki/Guillaume_Boivin</x:v>
      </x:c>
    </x:row>
    <x:row r="217" ht="26" customHeight="1">
      <x:c r="A217" s="82" t="n">
        <x:v>213</x:v>
      </x:c>
      <x:c r="B217" s="82" t="str">
        <x:v>Davide Formolo</x:v>
      </x:c>
      <x:c r="C217" s="143" t="str"/>
      <x:c r="D217" s="82" t="str">
        <x:v>イタリア</x:v>
      </x:c>
      <x:c r="E217" s="82" t="str">
        <x:v>Movistar Team</x:v>
      </x:c>
      <x:c r="F217" s="82" t="str">
        <x:v>1992-10-25</x:v>
      </x:c>
      <x:c r="G217" s="82" t="str">
        <x:v>現役確認済</x:v>
      </x:c>
      <x:c r="H217" s="82" t="str">
        <x:v>クライマー</x:v>
      </x:c>
      <x:c r="I217" s="82" t="str">
        <x:v>クラシック型</x:v>
      </x:c>
      <x:c r="J217" s="85" t="n">
        <x:v>70</x:v>
      </x:c>
      <x:c r="K217" s="85" t="n">
        <x:v>73</x:v>
      </x:c>
      <x:c r="L217" s="91" t="str">
        <x:v>山岳賞ハンター / 山岳アシスト / 下り牽引</x:v>
      </x:c>
      <x:c r="M217" s="88" t="n">
        <x:v>4650</x:v>
      </x:c>
      <x:c r="N217" s="85" t="n">
        <x:v>60</x:v>
      </x:c>
      <x:c r="O217" s="85" t="n">
        <x:v>67</x:v>
      </x:c>
      <x:c r="P217" s="85" t="n">
        <x:v>70</x:v>
      </x:c>
      <x:c r="Q217" s="85" t="n">
        <x:v>64</x:v>
      </x:c>
      <x:c r="R217" s="85" t="n">
        <x:v>78</x:v>
      </x:c>
      <x:c r="S217" s="85" t="n">
        <x:v>72</x:v>
      </x:c>
      <x:c r="T217" s="85" t="n">
        <x:v>72</x:v>
      </x:c>
      <x:c r="U217" s="85" t="n">
        <x:v>68</x:v>
      </x:c>
      <x:c r="V217" s="85" t="n">
        <x:v>69</x:v>
      </x:c>
      <x:c r="W217" s="85" t="n">
        <x:v>56</x:v>
      </x:c>
      <x:c r="X217" s="85" t="n">
        <x:v>74</x:v>
      </x:c>
      <x:c r="Y217" s="85" t="n">
        <x:v>74</x:v>
      </x:c>
      <x:c r="Z217" s="85" t="n">
        <x:v>69</x:v>
      </x:c>
      <x:c r="AA217" s="85" t="n">
        <x:v>68</x:v>
      </x:c>
      <x:c r="AB217" s="85" t="n">
        <x:v>75</x:v>
      </x:c>
      <x:c r="AC217" s="91" t="str">
        <x:v>2026 UCI WorldTeam名簿掲載</x:v>
      </x:c>
      <x:c r="AD217" s="91" t="str">
        <x:v>https://en.wikipedia.org/wiki/List_of_2026_UCI_WorldTeams_and_riders</x:v>
      </x:c>
      <x:c r="AE217" s="91" t="str">
        <x:v>能力・適性・Credit整合済</x:v>
      </x:c>
      <x:c r="AF217" s="91" t="str">
        <x:v>https://en.wikipedia.org/wiki/Davide_Formolo</x:v>
      </x:c>
    </x:row>
    <x:row r="218" ht="26" customHeight="1">
      <x:c r="A218" s="82" t="n">
        <x:v>214</x:v>
      </x:c>
      <x:c r="B218" s="82" t="str">
        <x:v>Adrien Boichis</x:v>
      </x:c>
      <x:c r="C218" s="143" t="str"/>
      <x:c r="D218" s="82" t="str">
        <x:v>フランス</x:v>
      </x:c>
      <x:c r="E218" s="82" t="str">
        <x:v>Red Bull–Bora–Hansgrohe</x:v>
      </x:c>
      <x:c r="F218" s="82" t="str">
        <x:v>2003-01-02</x:v>
      </x:c>
      <x:c r="G218" s="82" t="str">
        <x:v>現役確認済</x:v>
      </x:c>
      <x:c r="H218" s="82" t="str">
        <x:v>TT・ルーラー型</x:v>
      </x:c>
      <x:c r="I218" s="82" t="str">
        <x:v>総合型</x:v>
      </x:c>
      <x:c r="J218" s="85" t="n">
        <x:v>70</x:v>
      </x:c>
      <x:c r="K218" s="85" t="n">
        <x:v>77</x:v>
      </x:c>
      <x:c r="L218" s="91" t="str">
        <x:v>平坦アシスト / TT牽引 / 集団コントローラー / ブレイクアウェイキラー</x:v>
      </x:c>
      <x:c r="M218" s="88" t="n">
        <x:v>4550</x:v>
      </x:c>
      <x:c r="N218" s="85" t="n">
        <x:v>61</x:v>
      </x:c>
      <x:c r="O218" s="85" t="n">
        <x:v>66</x:v>
      </x:c>
      <x:c r="P218" s="85" t="n">
        <x:v>66</x:v>
      </x:c>
      <x:c r="Q218" s="85" t="n">
        <x:v>83</x:v>
      </x:c>
      <x:c r="R218" s="85" t="n">
        <x:v>69</x:v>
      </x:c>
      <x:c r="S218" s="85" t="n">
        <x:v>72</x:v>
      </x:c>
      <x:c r="T218" s="85" t="n">
        <x:v>71</x:v>
      </x:c>
      <x:c r="U218" s="85" t="n">
        <x:v>72</x:v>
      </x:c>
      <x:c r="V218" s="85" t="n">
        <x:v>63</x:v>
      </x:c>
      <x:c r="W218" s="85" t="n">
        <x:v>54</x:v>
      </x:c>
      <x:c r="X218" s="85" t="n">
        <x:v>65</x:v>
      </x:c>
      <x:c r="Y218" s="85" t="n">
        <x:v>65</x:v>
      </x:c>
      <x:c r="Z218" s="85" t="n">
        <x:v>77</x:v>
      </x:c>
      <x:c r="AA218" s="85" t="n">
        <x:v>67</x:v>
      </x:c>
      <x:c r="AB218" s="85" t="n">
        <x:v>64</x:v>
      </x:c>
      <x:c r="AC218" s="91" t="str">
        <x:v>2026 UCI WorldTeam名簿掲載</x:v>
      </x:c>
      <x:c r="AD218" s="91" t="str">
        <x:v>https://en.wikipedia.org/wiki/List_of_2026_UCI_WorldTeams_and_riders</x:v>
      </x:c>
      <x:c r="AE218" s="91" t="str">
        <x:v>能力・適性・Credit整合済</x:v>
      </x:c>
      <x:c r="AF218" s="91" t="str">
        <x:v>https://en.wikipedia.org/wiki/Adrien_Boichis</x:v>
      </x:c>
    </x:row>
    <x:row r="219" ht="26" customHeight="1">
      <x:c r="A219" s="82" t="n">
        <x:v>215</x:v>
      </x:c>
      <x:c r="B219" s="82" t="str">
        <x:v>Clément Champoussin</x:v>
      </x:c>
      <x:c r="C219" s="143" t="str"/>
      <x:c r="D219" s="82" t="str">
        <x:v>フランス</x:v>
      </x:c>
      <x:c r="E219" s="82" t="str">
        <x:v>XDS Astana Team</x:v>
      </x:c>
      <x:c r="F219" s="82" t="str">
        <x:v>1998-05-29</x:v>
      </x:c>
      <x:c r="G219" s="82" t="str">
        <x:v>現役確認済</x:v>
      </x:c>
      <x:c r="H219" s="82" t="str">
        <x:v>クライマー</x:v>
      </x:c>
      <x:c r="I219" s="82" t="str">
        <x:v>総合型</x:v>
      </x:c>
      <x:c r="J219" s="85" t="n">
        <x:v>70</x:v>
      </x:c>
      <x:c r="K219" s="85" t="n">
        <x:v>73</x:v>
      </x:c>
      <x:c r="L219" s="91" t="str">
        <x:v>山岳賞ハンター / 山岳アシスト / 山岳ペースメーカー / 集団コントローラー</x:v>
      </x:c>
      <x:c r="M219" s="88" t="n">
        <x:v>4450</x:v>
      </x:c>
      <x:c r="N219" s="85" t="n">
        <x:v>59</x:v>
      </x:c>
      <x:c r="O219" s="85" t="n">
        <x:v>67</x:v>
      </x:c>
      <x:c r="P219" s="85" t="n">
        <x:v>67</x:v>
      </x:c>
      <x:c r="Q219" s="85" t="n">
        <x:v>62</x:v>
      </x:c>
      <x:c r="R219" s="85" t="n">
        <x:v>78</x:v>
      </x:c>
      <x:c r="S219" s="85" t="n">
        <x:v>71</x:v>
      </x:c>
      <x:c r="T219" s="85" t="n">
        <x:v>68</x:v>
      </x:c>
      <x:c r="U219" s="85" t="n">
        <x:v>65</x:v>
      </x:c>
      <x:c r="V219" s="85" t="n">
        <x:v>68</x:v>
      </x:c>
      <x:c r="W219" s="85" t="n">
        <x:v>57</x:v>
      </x:c>
      <x:c r="X219" s="85" t="n">
        <x:v>77</x:v>
      </x:c>
      <x:c r="Y219" s="85" t="n">
        <x:v>76</x:v>
      </x:c>
      <x:c r="Z219" s="85" t="n">
        <x:v>73</x:v>
      </x:c>
      <x:c r="AA219" s="85" t="n">
        <x:v>68</x:v>
      </x:c>
      <x:c r="AB219" s="85" t="n">
        <x:v>70</x:v>
      </x:c>
      <x:c r="AC219" s="91" t="str">
        <x:v>2026 UCI WorldTeam名簿掲載</x:v>
      </x:c>
      <x:c r="AD219" s="91" t="str">
        <x:v>https://en.wikipedia.org/wiki/List_of_2026_UCI_WorldTeams_and_riders</x:v>
      </x:c>
      <x:c r="AE219" s="91" t="str">
        <x:v>能力・適性・Credit整合済</x:v>
      </x:c>
      <x:c r="AF219" s="91" t="str">
        <x:v>https://en.wikipedia.org/wiki/Cl%C3%A9ment_Champoussin</x:v>
      </x:c>
    </x:row>
    <x:row r="220" ht="26" customHeight="1">
      <x:c r="A220" s="82" t="n">
        <x:v>216</x:v>
      </x:c>
      <x:c r="B220" s="82" t="str">
        <x:v>Einer Rubio</x:v>
      </x:c>
      <x:c r="C220" s="143" t="str"/>
      <x:c r="D220" s="82" t="str">
        <x:v>コロンビア</x:v>
      </x:c>
      <x:c r="E220" s="82" t="str">
        <x:v>Movistar Team</x:v>
      </x:c>
      <x:c r="F220" s="82" t="str">
        <x:v>1998-02-22</x:v>
      </x:c>
      <x:c r="G220" s="82" t="str">
        <x:v>現役確認済</x:v>
      </x:c>
      <x:c r="H220" s="82" t="str">
        <x:v>クライマー</x:v>
      </x:c>
      <x:c r="I220" s="82" t="str">
        <x:v>スプリンター</x:v>
      </x:c>
      <x:c r="J220" s="85" t="n">
        <x:v>70</x:v>
      </x:c>
      <x:c r="K220" s="85" t="n">
        <x:v>71</x:v>
      </x:c>
      <x:c r="L220" s="91" t="str">
        <x:v>山岳賞ハンター / スプリントトレイン / 山岳アシスト / 山岳ペースメーカー</x:v>
      </x:c>
      <x:c r="M220" s="88" t="n">
        <x:v>4200</x:v>
      </x:c>
      <x:c r="N220" s="85" t="n">
        <x:v>59</x:v>
      </x:c>
      <x:c r="O220" s="85" t="n">
        <x:v>68</x:v>
      </x:c>
      <x:c r="P220" s="85" t="n">
        <x:v>67</x:v>
      </x:c>
      <x:c r="Q220" s="85" t="n">
        <x:v>65</x:v>
      </x:c>
      <x:c r="R220" s="85" t="n">
        <x:v>78</x:v>
      </x:c>
      <x:c r="S220" s="85" t="n">
        <x:v>72</x:v>
      </x:c>
      <x:c r="T220" s="85" t="n">
        <x:v>67</x:v>
      </x:c>
      <x:c r="U220" s="85" t="n">
        <x:v>65</x:v>
      </x:c>
      <x:c r="V220" s="85" t="n">
        <x:v>64</x:v>
      </x:c>
      <x:c r="W220" s="85" t="n">
        <x:v>50</x:v>
      </x:c>
      <x:c r="X220" s="85" t="n">
        <x:v>74</x:v>
      </x:c>
      <x:c r="Y220" s="85" t="n">
        <x:v>76</x:v>
      </x:c>
      <x:c r="Z220" s="85" t="n">
        <x:v>67</x:v>
      </x:c>
      <x:c r="AA220" s="85" t="n">
        <x:v>68</x:v>
      </x:c>
      <x:c r="AB220" s="85" t="n">
        <x:v>68</x:v>
      </x:c>
      <x:c r="AC220" s="91" t="str">
        <x:v>2026 UCI WorldTeam名簿掲載</x:v>
      </x:c>
      <x:c r="AD220" s="91" t="str">
        <x:v>https://en.wikipedia.org/wiki/List_of_2026_UCI_WorldTeams_and_riders</x:v>
      </x:c>
      <x:c r="AE220" s="91" t="str">
        <x:v>能力・適性・Credit整合済</x:v>
      </x:c>
      <x:c r="AF220" s="91" t="str">
        <x:v>https://en.wikipedia.org/wiki/Einer_Rubio</x:v>
      </x:c>
    </x:row>
    <x:row r="221" ht="26" customHeight="1">
      <x:c r="A221" s="82" t="n">
        <x:v>217</x:v>
      </x:c>
      <x:c r="B221" s="82" t="str">
        <x:v>Clément Braz Afonso</x:v>
      </x:c>
      <x:c r="C221" s="143" t="str"/>
      <x:c r="D221" s="82" t="str">
        <x:v>フランス</x:v>
      </x:c>
      <x:c r="E221" s="82" t="str">
        <x:v>Groupama–FDJ United</x:v>
      </x:c>
      <x:c r="F221" s="82" t="str">
        <x:v>1999-11-08</x:v>
      </x:c>
      <x:c r="G221" s="82" t="str">
        <x:v>現役確認済</x:v>
      </x:c>
      <x:c r="H221" s="82" t="str">
        <x:v>クライマー</x:v>
      </x:c>
      <x:c r="I221" s="82" t="str">
        <x:v>スプリンター</x:v>
      </x:c>
      <x:c r="J221" s="85" t="n">
        <x:v>70</x:v>
      </x:c>
      <x:c r="K221" s="85" t="n">
        <x:v>72</x:v>
      </x:c>
      <x:c r="L221" s="91" t="str">
        <x:v>山岳賞ハンター / スプリントトレイン / 山岳アシスト</x:v>
      </x:c>
      <x:c r="M221" s="88" t="n">
        <x:v>4050</x:v>
      </x:c>
      <x:c r="N221" s="85" t="n">
        <x:v>57</x:v>
      </x:c>
      <x:c r="O221" s="85" t="n">
        <x:v>67</x:v>
      </x:c>
      <x:c r="P221" s="85" t="n">
        <x:v>68</x:v>
      </x:c>
      <x:c r="Q221" s="85" t="n">
        <x:v>58</x:v>
      </x:c>
      <x:c r="R221" s="85" t="n">
        <x:v>76</x:v>
      </x:c>
      <x:c r="S221" s="85" t="n">
        <x:v>72</x:v>
      </x:c>
      <x:c r="T221" s="85" t="n">
        <x:v>71</x:v>
      </x:c>
      <x:c r="U221" s="85" t="n">
        <x:v>63</x:v>
      </x:c>
      <x:c r="V221" s="85" t="n">
        <x:v>58</x:v>
      </x:c>
      <x:c r="W221" s="85" t="n">
        <x:v>54</x:v>
      </x:c>
      <x:c r="X221" s="85" t="n">
        <x:v>73</x:v>
      </x:c>
      <x:c r="Y221" s="85" t="n">
        <x:v>75</x:v>
      </x:c>
      <x:c r="Z221" s="85" t="n">
        <x:v>70</x:v>
      </x:c>
      <x:c r="AA221" s="85" t="n">
        <x:v>68</x:v>
      </x:c>
      <x:c r="AB221" s="85" t="n">
        <x:v>67</x:v>
      </x:c>
      <x:c r="AC221" s="91" t="str">
        <x:v>2026 UCI WorldTeam名簿掲載</x:v>
      </x:c>
      <x:c r="AD221" s="91" t="str">
        <x:v>https://en.wikipedia.org/wiki/List_of_2026_UCI_WorldTeams_and_riders</x:v>
      </x:c>
      <x:c r="AE221" s="91" t="str">
        <x:v>能力・適性・Credit整合済</x:v>
      </x:c>
      <x:c r="AF221" s="91" t="str">
        <x:v>https://en.wikipedia.org/wiki/Cl%C3%A9ment_Braz_Afonso</x:v>
      </x:c>
    </x:row>
    <x:row r="222" ht="26" customHeight="1">
      <x:c r="A222" s="82" t="n">
        <x:v>218</x:v>
      </x:c>
      <x:c r="B222" s="82" t="str">
        <x:v>Alexander Hajek</x:v>
      </x:c>
      <x:c r="C222" s="143" t="str"/>
      <x:c r="D222" s="82" t="str">
        <x:v>オーストリア</x:v>
      </x:c>
      <x:c r="E222" s="82" t="str">
        <x:v>Red Bull–Bora–Hansgrohe</x:v>
      </x:c>
      <x:c r="F222" s="82" t="str">
        <x:v>2003-07-19</x:v>
      </x:c>
      <x:c r="G222" s="82" t="str">
        <x:v>現役確認済</x:v>
      </x:c>
      <x:c r="H222" s="82" t="str">
        <x:v>クラシック型</x:v>
      </x:c>
      <x:c r="I222" s="82" t="str">
        <x:v>クライマー</x:v>
      </x:c>
      <x:c r="J222" s="85" t="n">
        <x:v>70</x:v>
      </x:c>
      <x:c r="K222" s="85" t="n">
        <x:v>73</x:v>
      </x:c>
      <x:c r="L222" s="91" t="str">
        <x:v>山岳賞ハンター / 石畳護衛</x:v>
      </x:c>
      <x:c r="M222" s="88" t="n">
        <x:v>4000</x:v>
      </x:c>
      <x:c r="N222" s="85" t="n">
        <x:v>73</x:v>
      </x:c>
      <x:c r="O222" s="85" t="n">
        <x:v>67</x:v>
      </x:c>
      <x:c r="P222" s="85" t="n">
        <x:v>69</x:v>
      </x:c>
      <x:c r="Q222" s="85" t="n">
        <x:v>72</x:v>
      </x:c>
      <x:c r="R222" s="85" t="n">
        <x:v>64</x:v>
      </x:c>
      <x:c r="S222" s="85" t="n">
        <x:v>69</x:v>
      </x:c>
      <x:c r="T222" s="85" t="n">
        <x:v>75</x:v>
      </x:c>
      <x:c r="U222" s="85" t="n">
        <x:v>68</x:v>
      </x:c>
      <x:c r="V222" s="85" t="n">
        <x:v>78</x:v>
      </x:c>
      <x:c r="W222" s="85" t="n">
        <x:v>71</x:v>
      </x:c>
      <x:c r="X222" s="85" t="n">
        <x:v>66</x:v>
      </x:c>
      <x:c r="Y222" s="85" t="n">
        <x:v>68</x:v>
      </x:c>
      <x:c r="Z222" s="85" t="n">
        <x:v>73</x:v>
      </x:c>
      <x:c r="AA222" s="85" t="n">
        <x:v>65</x:v>
      </x:c>
      <x:c r="AB222" s="85" t="n">
        <x:v>70</x:v>
      </x:c>
      <x:c r="AC222" s="91" t="str">
        <x:v>2026 UCI WorldTeam名簿掲載</x:v>
      </x:c>
      <x:c r="AD222" s="91" t="str">
        <x:v>https://en.wikipedia.org/wiki/List_of_2026_UCI_WorldTeams_and_riders</x:v>
      </x:c>
      <x:c r="AE222" s="91" t="str">
        <x:v>能力・適性・Credit整合済</x:v>
      </x:c>
      <x:c r="AF222" s="91" t="str">
        <x:v>https://en.wikipedia.org/wiki/Alexander_Hajek</x:v>
      </x:c>
    </x:row>
    <x:row r="223" ht="26" customHeight="1">
      <x:c r="A223" s="82" t="n">
        <x:v>219</x:v>
      </x:c>
      <x:c r="B223" s="82" t="str">
        <x:v>Axel Huens</x:v>
      </x:c>
      <x:c r="C223" s="143" t="str"/>
      <x:c r="D223" s="82" t="str">
        <x:v>フランス</x:v>
      </x:c>
      <x:c r="E223" s="82" t="str">
        <x:v>Groupama–FDJ United</x:v>
      </x:c>
      <x:c r="F223" s="82" t="str">
        <x:v>2001-09-05</x:v>
      </x:c>
      <x:c r="G223" s="82" t="str">
        <x:v>現役確認済</x:v>
      </x:c>
      <x:c r="H223" s="82" t="str">
        <x:v>クライマー</x:v>
      </x:c>
      <x:c r="I223" s="82" t="str">
        <x:v>スプリンター</x:v>
      </x:c>
      <x:c r="J223" s="85" t="n">
        <x:v>70</x:v>
      </x:c>
      <x:c r="K223" s="85" t="n">
        <x:v>71</x:v>
      </x:c>
      <x:c r="L223" s="91" t="str">
        <x:v>山岳賞ハンター / スプリントトレイン / 山岳アシスト / 山岳番手</x:v>
      </x:c>
      <x:c r="M223" s="88" t="n">
        <x:v>4000</x:v>
      </x:c>
      <x:c r="N223" s="85" t="n">
        <x:v>60</x:v>
      </x:c>
      <x:c r="O223" s="85" t="n">
        <x:v>66</x:v>
      </x:c>
      <x:c r="P223" s="85" t="n">
        <x:v>66</x:v>
      </x:c>
      <x:c r="Q223" s="85" t="n">
        <x:v>60</x:v>
      </x:c>
      <x:c r="R223" s="85" t="n">
        <x:v>76</x:v>
      </x:c>
      <x:c r="S223" s="85" t="n">
        <x:v>70</x:v>
      </x:c>
      <x:c r="T223" s="85" t="n">
        <x:v>72</x:v>
      </x:c>
      <x:c r="U223" s="85" t="n">
        <x:v>66</x:v>
      </x:c>
      <x:c r="V223" s="85" t="n">
        <x:v>66</x:v>
      </x:c>
      <x:c r="W223" s="85" t="n">
        <x:v>53</x:v>
      </x:c>
      <x:c r="X223" s="85" t="n">
        <x:v>75</x:v>
      </x:c>
      <x:c r="Y223" s="85" t="n">
        <x:v>73</x:v>
      </x:c>
      <x:c r="Z223" s="85" t="n">
        <x:v>66</x:v>
      </x:c>
      <x:c r="AA223" s="85" t="n">
        <x:v>68</x:v>
      </x:c>
      <x:c r="AB223" s="85" t="n">
        <x:v>69</x:v>
      </x:c>
      <x:c r="AC223" s="91" t="str">
        <x:v>2026 UCI WorldTeam名簿掲載</x:v>
      </x:c>
      <x:c r="AD223" s="91" t="str">
        <x:v>https://en.wikipedia.org/wiki/List_of_2026_UCI_WorldTeams_and_riders</x:v>
      </x:c>
      <x:c r="AE223" s="91" t="str">
        <x:v>能力・適性・Credit整合済</x:v>
      </x:c>
      <x:c r="AF223" s="91" t="str">
        <x:v>https://en.wikipedia.org/wiki/Axel_Huens</x:v>
      </x:c>
    </x:row>
    <x:row r="224" ht="26" customHeight="1">
      <x:c r="A224" s="82" t="n">
        <x:v>220</x:v>
      </x:c>
      <x:c r="B224" s="82" t="str">
        <x:v>Cyril Barthe</x:v>
      </x:c>
      <x:c r="C224" s="143" t="str"/>
      <x:c r="D224" s="82" t="str">
        <x:v>フランス</x:v>
      </x:c>
      <x:c r="E224" s="82" t="str">
        <x:v>Groupama–FDJ United</x:v>
      </x:c>
      <x:c r="F224" s="82" t="str">
        <x:v>1996-02-14</x:v>
      </x:c>
      <x:c r="G224" s="82" t="str">
        <x:v>現役確認済</x:v>
      </x:c>
      <x:c r="H224" s="82" t="str">
        <x:v>パンチャー</x:v>
      </x:c>
      <x:c r="I224" s="82" t="str">
        <x:v>クライマー</x:v>
      </x:c>
      <x:c r="J224" s="85" t="n">
        <x:v>70</x:v>
      </x:c>
      <x:c r="K224" s="85" t="n">
        <x:v>69</x:v>
      </x:c>
      <x:c r="L224" s="91" t="str">
        <x:v>ステージハンター / 山岳賞ハンター</x:v>
      </x:c>
      <x:c r="M224" s="88" t="n">
        <x:v>3850</x:v>
      </x:c>
      <x:c r="N224" s="85" t="n">
        <x:v>72</x:v>
      </x:c>
      <x:c r="O224" s="85" t="n">
        <x:v>73</x:v>
      </x:c>
      <x:c r="P224" s="85" t="n">
        <x:v>77</x:v>
      </x:c>
      <x:c r="Q224" s="85" t="n">
        <x:v>68</x:v>
      </x:c>
      <x:c r="R224" s="85" t="n">
        <x:v>71</x:v>
      </x:c>
      <x:c r="S224" s="85" t="n">
        <x:v>65</x:v>
      </x:c>
      <x:c r="T224" s="85" t="n">
        <x:v>69</x:v>
      </x:c>
      <x:c r="U224" s="85" t="n">
        <x:v>71</x:v>
      </x:c>
      <x:c r="V224" s="85" t="n">
        <x:v>71</x:v>
      </x:c>
      <x:c r="W224" s="85" t="n">
        <x:v>58</x:v>
      </x:c>
      <x:c r="X224" s="85" t="n">
        <x:v>66</x:v>
      </x:c>
      <x:c r="Y224" s="85" t="n">
        <x:v>67</x:v>
      </x:c>
      <x:c r="Z224" s="85" t="n">
        <x:v>67</x:v>
      </x:c>
      <x:c r="AA224" s="85" t="n">
        <x:v>74</x:v>
      </x:c>
      <x:c r="AB224" s="85" t="n">
        <x:v>73</x:v>
      </x:c>
      <x:c r="AC224" s="91" t="str">
        <x:v>2026 UCI WorldTeam名簿掲載</x:v>
      </x:c>
      <x:c r="AD224" s="91" t="str">
        <x:v>https://en.wikipedia.org/wiki/List_of_2026_UCI_WorldTeams_and_riders</x:v>
      </x:c>
      <x:c r="AE224" s="91" t="str">
        <x:v>能力・適性・Credit整合済</x:v>
      </x:c>
      <x:c r="AF224" s="91" t="str">
        <x:v>https://en.wikipedia.org/wiki/Cyril_Barthe</x:v>
      </x:c>
    </x:row>
    <x:row r="225" ht="26" customHeight="1">
      <x:c r="A225" s="82" t="n">
        <x:v>221</x:v>
      </x:c>
      <x:c r="B225" s="82" t="str">
        <x:v>Ewen Costiou</x:v>
      </x:c>
      <x:c r="C225" s="143" t="str"/>
      <x:c r="D225" s="82" t="str">
        <x:v>フランス</x:v>
      </x:c>
      <x:c r="E225" s="82" t="str">
        <x:v>Groupama–FDJ United</x:v>
      </x:c>
      <x:c r="F225" s="82" t="str">
        <x:v>2002-11-10</x:v>
      </x:c>
      <x:c r="G225" s="82" t="str">
        <x:v>現役確認済</x:v>
      </x:c>
      <x:c r="H225" s="82" t="str">
        <x:v>パンチャー</x:v>
      </x:c>
      <x:c r="I225" s="82" t="str">
        <x:v>スプリンター</x:v>
      </x:c>
      <x:c r="J225" s="85" t="n">
        <x:v>70</x:v>
      </x:c>
      <x:c r="K225" s="85" t="n">
        <x:v>68</x:v>
      </x:c>
      <x:c r="L225" s="91" t="str">
        <x:v>ステージハンター / 山岳賞ハンター / スプリントトレイン</x:v>
      </x:c>
      <x:c r="M225" s="88" t="n">
        <x:v>3700</x:v>
      </x:c>
      <x:c r="N225" s="85" t="n">
        <x:v>69</x:v>
      </x:c>
      <x:c r="O225" s="85" t="n">
        <x:v>71</x:v>
      </x:c>
      <x:c r="P225" s="85" t="n">
        <x:v>78</x:v>
      </x:c>
      <x:c r="Q225" s="85" t="n">
        <x:v>67</x:v>
      </x:c>
      <x:c r="R225" s="85" t="n">
        <x:v>71</x:v>
      </x:c>
      <x:c r="S225" s="85" t="n">
        <x:v>64</x:v>
      </x:c>
      <x:c r="T225" s="85" t="n">
        <x:v>62</x:v>
      </x:c>
      <x:c r="U225" s="85" t="n">
        <x:v>68</x:v>
      </x:c>
      <x:c r="V225" s="85" t="n">
        <x:v>74</x:v>
      </x:c>
      <x:c r="W225" s="85" t="n">
        <x:v>59</x:v>
      </x:c>
      <x:c r="X225" s="85" t="n">
        <x:v>69</x:v>
      </x:c>
      <x:c r="Y225" s="85" t="n">
        <x:v>66</x:v>
      </x:c>
      <x:c r="Z225" s="85" t="n">
        <x:v>61</x:v>
      </x:c>
      <x:c r="AA225" s="85" t="n">
        <x:v>72</x:v>
      </x:c>
      <x:c r="AB225" s="85" t="n">
        <x:v>69</x:v>
      </x:c>
      <x:c r="AC225" s="91" t="str">
        <x:v>2026 UCI WorldTeam名簿掲載</x:v>
      </x:c>
      <x:c r="AD225" s="91" t="str">
        <x:v>https://en.wikipedia.org/wiki/List_of_2026_UCI_WorldTeams_and_riders</x:v>
      </x:c>
      <x:c r="AE225" s="91" t="str">
        <x:v>能力・適性・Credit整合済</x:v>
      </x:c>
      <x:c r="AF225" s="91" t="str">
        <x:v>https://en.wikipedia.org/wiki/Ewen_Costiou</x:v>
      </x:c>
    </x:row>
    <x:row r="226" ht="26" customHeight="1">
      <x:c r="A226" s="82" t="n">
        <x:v>222</x:v>
      </x:c>
      <x:c r="B226" s="82" t="str">
        <x:v>Erik Nordsæter Resell</x:v>
      </x:c>
      <x:c r="C226" s="143" t="str"/>
      <x:c r="D226" s="82" t="str">
        <x:v>ノルウェー</x:v>
      </x:c>
      <x:c r="E226" s="82" t="str">
        <x:v>Uno-X Mobility</x:v>
      </x:c>
      <x:c r="F226" s="82" t="str">
        <x:v>1996-09-28</x:v>
      </x:c>
      <x:c r="G226" s="82" t="str">
        <x:v>現役確認済</x:v>
      </x:c>
      <x:c r="H226" s="82" t="str">
        <x:v>パンチャー</x:v>
      </x:c>
      <x:c r="I226" s="82" t="str">
        <x:v>スプリンター</x:v>
      </x:c>
      <x:c r="J226" s="85" t="n">
        <x:v>70</x:v>
      </x:c>
      <x:c r="K226" s="85" t="n">
        <x:v>68</x:v>
      </x:c>
      <x:c r="L226" s="91" t="str">
        <x:v>ロードキャプテン / ステージハンター / スプリントトレイン</x:v>
      </x:c>
      <x:c r="M226" s="88" t="n">
        <x:v>3450</x:v>
      </x:c>
      <x:c r="N226" s="85" t="n">
        <x:v>65</x:v>
      </x:c>
      <x:c r="O226" s="85" t="n">
        <x:v>72</x:v>
      </x:c>
      <x:c r="P226" s="85" t="n">
        <x:v>74</x:v>
      </x:c>
      <x:c r="Q226" s="85" t="n">
        <x:v>66</x:v>
      </x:c>
      <x:c r="R226" s="85" t="n">
        <x:v>70</x:v>
      </x:c>
      <x:c r="S226" s="85" t="n">
        <x:v>62</x:v>
      </x:c>
      <x:c r="T226" s="85" t="n">
        <x:v>66</x:v>
      </x:c>
      <x:c r="U226" s="85" t="n">
        <x:v>68</x:v>
      </x:c>
      <x:c r="V226" s="85" t="n">
        <x:v>71</x:v>
      </x:c>
      <x:c r="W226" s="85" t="n">
        <x:v>54</x:v>
      </x:c>
      <x:c r="X226" s="85" t="n">
        <x:v>61</x:v>
      </x:c>
      <x:c r="Y226" s="85" t="n">
        <x:v>68</x:v>
      </x:c>
      <x:c r="Z226" s="85" t="n">
        <x:v>63</x:v>
      </x:c>
      <x:c r="AA226" s="85" t="n">
        <x:v>72</x:v>
      </x:c>
      <x:c r="AB226" s="85" t="n">
        <x:v>71</x:v>
      </x:c>
      <x:c r="AC226" s="91" t="str">
        <x:v>2026 UCI WorldTeam名簿掲載</x:v>
      </x:c>
      <x:c r="AD226" s="91" t="str">
        <x:v>https://en.wikipedia.org/wiki/List_of_2026_UCI_WorldTeams_and_riders</x:v>
      </x:c>
      <x:c r="AE226" s="91" t="str">
        <x:v>能力・適性・Credit整合済</x:v>
      </x:c>
      <x:c r="AF226" s="91" t="str">
        <x:v>https://en.wikipedia.org/wiki/List_of_2026_UCI_WorldTeams_and_riders</x:v>
      </x:c>
    </x:row>
    <x:row r="227" ht="26" customHeight="1">
      <x:c r="A227" s="82" t="n">
        <x:v>223</x:v>
      </x:c>
      <x:c r="B227" s="82" t="str">
        <x:v>Daniel Skerl</x:v>
      </x:c>
      <x:c r="C227" s="143" t="str"/>
      <x:c r="D227" s="82" t="str">
        <x:v>イタリア</x:v>
      </x:c>
      <x:c r="E227" s="82" t="str">
        <x:v>Team Bahrain Victorious</x:v>
      </x:c>
      <x:c r="F227" s="82" t="str">
        <x:v>2003-03-21</x:v>
      </x:c>
      <x:c r="G227" s="82" t="str">
        <x:v>現役確認済</x:v>
      </x:c>
      <x:c r="H227" s="82" t="str">
        <x:v>パンチャー</x:v>
      </x:c>
      <x:c r="I227" s="82" t="str">
        <x:v>総合型</x:v>
      </x:c>
      <x:c r="J227" s="85" t="n">
        <x:v>70</x:v>
      </x:c>
      <x:c r="K227" s="85" t="n">
        <x:v>65</x:v>
      </x:c>
      <x:c r="L227" s="91" t="str">
        <x:v>ステージハンター / 集団コントローラー</x:v>
      </x:c>
      <x:c r="M227" s="88" t="n">
        <x:v>3300</x:v>
      </x:c>
      <x:c r="N227" s="85" t="n">
        <x:v>64</x:v>
      </x:c>
      <x:c r="O227" s="85" t="n">
        <x:v>73</x:v>
      </x:c>
      <x:c r="P227" s="85" t="n">
        <x:v>74</x:v>
      </x:c>
      <x:c r="Q227" s="85" t="n">
        <x:v>62</x:v>
      </x:c>
      <x:c r="R227" s="85" t="n">
        <x:v>71</x:v>
      </x:c>
      <x:c r="S227" s="85" t="n">
        <x:v>64</x:v>
      </x:c>
      <x:c r="T227" s="85" t="n">
        <x:v>61</x:v>
      </x:c>
      <x:c r="U227" s="85" t="n">
        <x:v>70</x:v>
      </x:c>
      <x:c r="V227" s="85" t="n">
        <x:v>71</x:v>
      </x:c>
      <x:c r="W227" s="85" t="n">
        <x:v>54</x:v>
      </x:c>
      <x:c r="X227" s="85" t="n">
        <x:v>61</x:v>
      </x:c>
      <x:c r="Y227" s="85" t="n">
        <x:v>58</x:v>
      </x:c>
      <x:c r="Z227" s="85" t="n">
        <x:v>59</x:v>
      </x:c>
      <x:c r="AA227" s="85" t="n">
        <x:v>70</x:v>
      </x:c>
      <x:c r="AB227" s="85" t="n">
        <x:v>72</x:v>
      </x:c>
      <x:c r="AC227" s="91" t="str">
        <x:v>2026 UCI WorldTeam名簿掲載</x:v>
      </x:c>
      <x:c r="AD227" s="91" t="str">
        <x:v>https://en.wikipedia.org/wiki/List_of_2026_UCI_WorldTeams_and_riders</x:v>
      </x:c>
      <x:c r="AE227" s="91" t="str">
        <x:v>能力・適性・Credit整合済</x:v>
      </x:c>
      <x:c r="AF227" s="91" t="str">
        <x:v>https://en.wikipedia.org/wiki/Daniel_Skerl</x:v>
      </x:c>
    </x:row>
    <x:row r="228" ht="26" customHeight="1">
      <x:c r="A228" s="82" t="n">
        <x:v>224</x:v>
      </x:c>
      <x:c r="B228" s="82" t="str">
        <x:v>Liam Slock</x:v>
      </x:c>
      <x:c r="C228" s="143" t="str"/>
      <x:c r="D228" s="82" t="str">
        <x:v>ベルギー</x:v>
      </x:c>
      <x:c r="E228" s="82" t="str">
        <x:v>Lotto–Intermarché</x:v>
      </x:c>
      <x:c r="F228" s="82" t="str">
        <x:v>2000-09-18</x:v>
      </x:c>
      <x:c r="G228" s="82" t="str">
        <x:v>現役確認済</x:v>
      </x:c>
      <x:c r="H228" s="82" t="str">
        <x:v>TT・ルーラー型</x:v>
      </x:c>
      <x:c r="I228" s="82" t="str">
        <x:v>スプリンター</x:v>
      </x:c>
      <x:c r="J228" s="85" t="n">
        <x:v>69</x:v>
      </x:c>
      <x:c r="K228" s="85" t="n">
        <x:v>77</x:v>
      </x:c>
      <x:c r="L228" s="91" t="str">
        <x:v>TTスペシャリスト / スプリントトレイン / 平坦アシスト / 集団コントローラー / ブレイクアウェイキラー / ポジションキーパー</x:v>
      </x:c>
      <x:c r="M228" s="88" t="n">
        <x:v>4850</x:v>
      </x:c>
      <x:c r="N228" s="85" t="n">
        <x:v>65</x:v>
      </x:c>
      <x:c r="O228" s="85" t="n">
        <x:v>65</x:v>
      </x:c>
      <x:c r="P228" s="85" t="n">
        <x:v>62</x:v>
      </x:c>
      <x:c r="Q228" s="85" t="n">
        <x:v>79</x:v>
      </x:c>
      <x:c r="R228" s="85" t="n">
        <x:v>64</x:v>
      </x:c>
      <x:c r="S228" s="85" t="n">
        <x:v>76</x:v>
      </x:c>
      <x:c r="T228" s="85" t="n">
        <x:v>74</x:v>
      </x:c>
      <x:c r="U228" s="85" t="n">
        <x:v>77</x:v>
      </x:c>
      <x:c r="V228" s="85" t="n">
        <x:v>71</x:v>
      </x:c>
      <x:c r="W228" s="85" t="n">
        <x:v>59</x:v>
      </x:c>
      <x:c r="X228" s="85" t="n">
        <x:v>70</x:v>
      </x:c>
      <x:c r="Y228" s="85" t="n">
        <x:v>66</x:v>
      </x:c>
      <x:c r="Z228" s="85" t="n">
        <x:v>79</x:v>
      </x:c>
      <x:c r="AA228" s="85" t="n">
        <x:v>66</x:v>
      </x:c>
      <x:c r="AB228" s="85" t="n">
        <x:v>65</x:v>
      </x:c>
      <x:c r="AC228" s="91" t="str">
        <x:v>2026 UCI WorldTeam名簿掲載</x:v>
      </x:c>
      <x:c r="AD228" s="91" t="str">
        <x:v>https://en.wikipedia.org/wiki/List_of_2026_UCI_WorldTeams_and_riders</x:v>
      </x:c>
      <x:c r="AE228" s="91" t="str">
        <x:v>能力・適性・Credit整合済</x:v>
      </x:c>
      <x:c r="AF228" s="91" t="str">
        <x:v>https://en.wikipedia.org/wiki/Liam_Slock</x:v>
      </x:c>
    </x:row>
    <x:row r="229" ht="26" customHeight="1">
      <x:c r="A229" s="82" t="n">
        <x:v>225</x:v>
      </x:c>
      <x:c r="B229" s="82" t="str">
        <x:v>Artem Shmidt</x:v>
      </x:c>
      <x:c r="C229" s="143" t="str"/>
      <x:c r="D229" s="82" t="str">
        <x:v>アメリカ</x:v>
      </x:c>
      <x:c r="E229" s="82" t="str">
        <x:v>Netcompany INEOS Cycling Team</x:v>
      </x:c>
      <x:c r="F229" s="82" t="str">
        <x:v>2004-01-30</x:v>
      </x:c>
      <x:c r="G229" s="82" t="str">
        <x:v>現役確認済</x:v>
      </x:c>
      <x:c r="H229" s="82" t="str">
        <x:v>TT・ルーラー型</x:v>
      </x:c>
      <x:c r="I229" s="82" t="str">
        <x:v>クライマー</x:v>
      </x:c>
      <x:c r="J229" s="85" t="n">
        <x:v>69</x:v>
      </x:c>
      <x:c r="K229" s="85" t="n">
        <x:v>78</x:v>
      </x:c>
      <x:c r="L229" s="91" t="str">
        <x:v>山岳賞ハンター / 平坦アシスト / 平坦ペースメーカー / TT牽引 / ブレイクアウェイキラー</x:v>
      </x:c>
      <x:c r="M229" s="88" t="n">
        <x:v>4700</x:v>
      </x:c>
      <x:c r="N229" s="85" t="n">
        <x:v>65</x:v>
      </x:c>
      <x:c r="O229" s="85" t="n">
        <x:v>65</x:v>
      </x:c>
      <x:c r="P229" s="85" t="n">
        <x:v>67</x:v>
      </x:c>
      <x:c r="Q229" s="85" t="n">
        <x:v>84</x:v>
      </x:c>
      <x:c r="R229" s="85" t="n">
        <x:v>69</x:v>
      </x:c>
      <x:c r="S229" s="85" t="n">
        <x:v>71</x:v>
      </x:c>
      <x:c r="T229" s="85" t="n">
        <x:v>71</x:v>
      </x:c>
      <x:c r="U229" s="85" t="n">
        <x:v>73</x:v>
      </x:c>
      <x:c r="V229" s="85" t="n">
        <x:v>69</x:v>
      </x:c>
      <x:c r="W229" s="85" t="n">
        <x:v>58</x:v>
      </x:c>
      <x:c r="X229" s="85" t="n">
        <x:v>66</x:v>
      </x:c>
      <x:c r="Y229" s="85" t="n">
        <x:v>67</x:v>
      </x:c>
      <x:c r="Z229" s="85" t="n">
        <x:v>79</x:v>
      </x:c>
      <x:c r="AA229" s="85" t="n">
        <x:v>66</x:v>
      </x:c>
      <x:c r="AB229" s="85" t="n">
        <x:v>65</x:v>
      </x:c>
      <x:c r="AC229" s="91" t="str">
        <x:v>2026 UCI WorldTeam名簿掲載</x:v>
      </x:c>
      <x:c r="AD229" s="91" t="str">
        <x:v>https://en.wikipedia.org/wiki/List_of_2026_UCI_WorldTeams_and_riders</x:v>
      </x:c>
      <x:c r="AE229" s="91" t="str">
        <x:v>能力・適性・Credit整合済</x:v>
      </x:c>
      <x:c r="AF229" s="91" t="str">
        <x:v>https://en.wikipedia.org/wiki/Artem_Shmidt</x:v>
      </x:c>
    </x:row>
    <x:row r="230" ht="26" customHeight="1">
      <x:c r="A230" s="82" t="n">
        <x:v>226</x:v>
      </x:c>
      <x:c r="B230" s="82" t="str">
        <x:v>Kamil Gradek</x:v>
      </x:c>
      <x:c r="C230" s="143" t="str"/>
      <x:c r="D230" s="82" t="str">
        <x:v>ポーランド</x:v>
      </x:c>
      <x:c r="E230" s="82" t="str">
        <x:v>Team Bahrain Victorious</x:v>
      </x:c>
      <x:c r="F230" s="82" t="str">
        <x:v>1990-09-17</x:v>
      </x:c>
      <x:c r="G230" s="82" t="str">
        <x:v>現役確認済</x:v>
      </x:c>
      <x:c r="H230" s="82" t="str">
        <x:v>TT・ルーラー型</x:v>
      </x:c>
      <x:c r="I230" s="82" t="str">
        <x:v>総合型</x:v>
      </x:c>
      <x:c r="J230" s="85" t="n">
        <x:v>69</x:v>
      </x:c>
      <x:c r="K230" s="85" t="n">
        <x:v>78</x:v>
      </x:c>
      <x:c r="L230" s="91" t="str">
        <x:v>平坦アシスト / TT牽引 / 集団コントローラー / ブレイクアウェイキラー</x:v>
      </x:c>
      <x:c r="M230" s="88" t="n">
        <x:v>4500</x:v>
      </x:c>
      <x:c r="N230" s="85" t="n">
        <x:v>67</x:v>
      </x:c>
      <x:c r="O230" s="85" t="n">
        <x:v>65</x:v>
      </x:c>
      <x:c r="P230" s="85" t="n">
        <x:v>65</x:v>
      </x:c>
      <x:c r="Q230" s="85" t="n">
        <x:v>79</x:v>
      </x:c>
      <x:c r="R230" s="85" t="n">
        <x:v>66</x:v>
      </x:c>
      <x:c r="S230" s="85" t="n">
        <x:v>73</x:v>
      </x:c>
      <x:c r="T230" s="85" t="n">
        <x:v>72</x:v>
      </x:c>
      <x:c r="U230" s="85" t="n">
        <x:v>76</x:v>
      </x:c>
      <x:c r="V230" s="85" t="n">
        <x:v>67</x:v>
      </x:c>
      <x:c r="W230" s="85" t="n">
        <x:v>63</x:v>
      </x:c>
      <x:c r="X230" s="85" t="n">
        <x:v>65</x:v>
      </x:c>
      <x:c r="Y230" s="85" t="n">
        <x:v>66</x:v>
      </x:c>
      <x:c r="Z230" s="85" t="n">
        <x:v>81</x:v>
      </x:c>
      <x:c r="AA230" s="85" t="n">
        <x:v>64</x:v>
      </x:c>
      <x:c r="AB230" s="85" t="n">
        <x:v>64</x:v>
      </x:c>
      <x:c r="AC230" s="91" t="str">
        <x:v>2026 UCI WorldTeam名簿掲載</x:v>
      </x:c>
      <x:c r="AD230" s="91" t="str">
        <x:v>https://en.wikipedia.org/wiki/List_of_2026_UCI_WorldTeams_and_riders</x:v>
      </x:c>
      <x:c r="AE230" s="91" t="str">
        <x:v>能力・適性・Credit整合済</x:v>
      </x:c>
      <x:c r="AF230" s="91" t="str">
        <x:v>https://en.wikipedia.org/wiki/Kamil_Gradek</x:v>
      </x:c>
    </x:row>
    <x:row r="231" ht="26" customHeight="1">
      <x:c r="A231" s="82" t="n">
        <x:v>227</x:v>
      </x:c>
      <x:c r="B231" s="82" t="str">
        <x:v>Francesco Busatto</x:v>
      </x:c>
      <x:c r="C231" s="143" t="str"/>
      <x:c r="D231" s="82" t="str">
        <x:v>イタリア</x:v>
      </x:c>
      <x:c r="E231" s="82" t="str">
        <x:v>Alpecin–Premier Tech</x:v>
      </x:c>
      <x:c r="F231" s="82" t="str">
        <x:v>2002-11-01</x:v>
      </x:c>
      <x:c r="G231" s="82" t="str">
        <x:v>現役確認済</x:v>
      </x:c>
      <x:c r="H231" s="82" t="str">
        <x:v>TT・ルーラー型</x:v>
      </x:c>
      <x:c r="I231" s="82" t="str">
        <x:v>総合型</x:v>
      </x:c>
      <x:c r="J231" s="85" t="n">
        <x:v>69</x:v>
      </x:c>
      <x:c r="K231" s="85" t="n">
        <x:v>76</x:v>
      </x:c>
      <x:c r="L231" s="91" t="str">
        <x:v>TTスペシャリスト / 平坦アシスト / 平坦ペースメーカー / 集団コントローラー / ブレイクアウェイキラー</x:v>
      </x:c>
      <x:c r="M231" s="88" t="n">
        <x:v>4400</x:v>
      </x:c>
      <x:c r="N231" s="85" t="n">
        <x:v>66</x:v>
      </x:c>
      <x:c r="O231" s="85" t="n">
        <x:v>66</x:v>
      </x:c>
      <x:c r="P231" s="85" t="n">
        <x:v>61</x:v>
      </x:c>
      <x:c r="Q231" s="85" t="n">
        <x:v>78</x:v>
      </x:c>
      <x:c r="R231" s="85" t="n">
        <x:v>65</x:v>
      </x:c>
      <x:c r="S231" s="85" t="n">
        <x:v>72</x:v>
      </x:c>
      <x:c r="T231" s="85" t="n">
        <x:v>73</x:v>
      </x:c>
      <x:c r="U231" s="85" t="n">
        <x:v>78</x:v>
      </x:c>
      <x:c r="V231" s="85" t="n">
        <x:v>64</x:v>
      </x:c>
      <x:c r="W231" s="85" t="n">
        <x:v>62</x:v>
      </x:c>
      <x:c r="X231" s="85" t="n">
        <x:v>65</x:v>
      </x:c>
      <x:c r="Y231" s="85" t="n">
        <x:v>69</x:v>
      </x:c>
      <x:c r="Z231" s="85" t="n">
        <x:v>77</x:v>
      </x:c>
      <x:c r="AA231" s="85" t="n">
        <x:v>67</x:v>
      </x:c>
      <x:c r="AB231" s="85" t="n">
        <x:v>66</x:v>
      </x:c>
      <x:c r="AC231" s="91" t="str">
        <x:v>2026 UCI WorldTeam名簿掲載</x:v>
      </x:c>
      <x:c r="AD231" s="91" t="str">
        <x:v>https://en.wikipedia.org/wiki/List_of_2026_UCI_WorldTeams_and_riders</x:v>
      </x:c>
      <x:c r="AE231" s="91" t="str">
        <x:v>能力・適性・Credit整合済</x:v>
      </x:c>
      <x:c r="AF231" s="91" t="str">
        <x:v>https://en.wikipedia.org/wiki/Francesco_Busatto</x:v>
      </x:c>
    </x:row>
    <x:row r="232" ht="26" customHeight="1">
      <x:c r="A232" s="82" t="n">
        <x:v>228</x:v>
      </x:c>
      <x:c r="B232" s="82" t="str">
        <x:v>Juan Pedro López</x:v>
      </x:c>
      <x:c r="C232" s="143" t="str"/>
      <x:c r="D232" s="82" t="str">
        <x:v>スペイン</x:v>
      </x:c>
      <x:c r="E232" s="82" t="str">
        <x:v>Movistar Team</x:v>
      </x:c>
      <x:c r="F232" s="82" t="str">
        <x:v>1997-07-31</x:v>
      </x:c>
      <x:c r="G232" s="82" t="str">
        <x:v>現役確認済</x:v>
      </x:c>
      <x:c r="H232" s="82" t="str">
        <x:v>クライマー</x:v>
      </x:c>
      <x:c r="I232" s="82" t="str">
        <x:v>クラシック型</x:v>
      </x:c>
      <x:c r="J232" s="85" t="n">
        <x:v>69</x:v>
      </x:c>
      <x:c r="K232" s="85" t="n">
        <x:v>72</x:v>
      </x:c>
      <x:c r="L232" s="91" t="str">
        <x:v>山岳賞ハンター / 山岳アシスト</x:v>
      </x:c>
      <x:c r="M232" s="88" t="n">
        <x:v>4100</x:v>
      </x:c>
      <x:c r="N232" s="85" t="n">
        <x:v>60</x:v>
      </x:c>
      <x:c r="O232" s="85" t="n">
        <x:v>67</x:v>
      </x:c>
      <x:c r="P232" s="85" t="n">
        <x:v>67</x:v>
      </x:c>
      <x:c r="Q232" s="85" t="n">
        <x:v>60</x:v>
      </x:c>
      <x:c r="R232" s="85" t="n">
        <x:v>75</x:v>
      </x:c>
      <x:c r="S232" s="85" t="n">
        <x:v>75</x:v>
      </x:c>
      <x:c r="T232" s="85" t="n">
        <x:v>72</x:v>
      </x:c>
      <x:c r="U232" s="85" t="n">
        <x:v>64</x:v>
      </x:c>
      <x:c r="V232" s="85" t="n">
        <x:v>67</x:v>
      </x:c>
      <x:c r="W232" s="85" t="n">
        <x:v>50</x:v>
      </x:c>
      <x:c r="X232" s="85" t="n">
        <x:v>75</x:v>
      </x:c>
      <x:c r="Y232" s="85" t="n">
        <x:v>74</x:v>
      </x:c>
      <x:c r="Z232" s="85" t="n">
        <x:v>70</x:v>
      </x:c>
      <x:c r="AA232" s="85" t="n">
        <x:v>65</x:v>
      </x:c>
      <x:c r="AB232" s="85" t="n">
        <x:v>69</x:v>
      </x:c>
      <x:c r="AC232" s="91" t="str">
        <x:v>2026 UCI WorldTeam名簿掲載</x:v>
      </x:c>
      <x:c r="AD232" s="91" t="str">
        <x:v>https://en.wikipedia.org/wiki/List_of_2026_UCI_WorldTeams_and_riders</x:v>
      </x:c>
      <x:c r="AE232" s="91" t="str">
        <x:v>能力・適性・Credit整合済</x:v>
      </x:c>
      <x:c r="AF232" s="91" t="str">
        <x:v>https://en.wikipedia.org/wiki/Juan_Pedro_L%C3%B3pez</x:v>
      </x:c>
    </x:row>
    <x:row r="233" ht="26" customHeight="1">
      <x:c r="A233" s="82" t="n">
        <x:v>229</x:v>
      </x:c>
      <x:c r="B233" s="82" t="str">
        <x:v>Jakob Omrzel</x:v>
      </x:c>
      <x:c r="C233" s="143" t="str"/>
      <x:c r="D233" s="82" t="str">
        <x:v>スロベニア</x:v>
      </x:c>
      <x:c r="E233" s="82" t="str">
        <x:v>Team Bahrain Victorious</x:v>
      </x:c>
      <x:c r="F233" s="82" t="str">
        <x:v>2006-03-21</x:v>
      </x:c>
      <x:c r="G233" s="82" t="str">
        <x:v>現役確認済</x:v>
      </x:c>
      <x:c r="H233" s="82" t="str">
        <x:v>クラシック型</x:v>
      </x:c>
      <x:c r="I233" s="82" t="str">
        <x:v>総合型</x:v>
      </x:c>
      <x:c r="J233" s="85" t="n">
        <x:v>69</x:v>
      </x:c>
      <x:c r="K233" s="85" t="n">
        <x:v>73</x:v>
      </x:c>
      <x:c r="L233" s="91" t="str">
        <x:v>石畳護衛 / 集団コントローラー / ブレイクアウェイキラー / 逃げ屋 / 超ロングスパート</x:v>
      </x:c>
      <x:c r="M233" s="88" t="n">
        <x:v>4050</x:v>
      </x:c>
      <x:c r="N233" s="85" t="n">
        <x:v>73</x:v>
      </x:c>
      <x:c r="O233" s="85" t="n">
        <x:v>68</x:v>
      </x:c>
      <x:c r="P233" s="85" t="n">
        <x:v>72</x:v>
      </x:c>
      <x:c r="Q233" s="85" t="n">
        <x:v>75</x:v>
      </x:c>
      <x:c r="R233" s="85" t="n">
        <x:v>59</x:v>
      </x:c>
      <x:c r="S233" s="85" t="n">
        <x:v>73</x:v>
      </x:c>
      <x:c r="T233" s="85" t="n">
        <x:v>72</x:v>
      </x:c>
      <x:c r="U233" s="85" t="n">
        <x:v>72</x:v>
      </x:c>
      <x:c r="V233" s="85" t="n">
        <x:v>74</x:v>
      </x:c>
      <x:c r="W233" s="85" t="n">
        <x:v>69</x:v>
      </x:c>
      <x:c r="X233" s="85" t="n">
        <x:v>68</x:v>
      </x:c>
      <x:c r="Y233" s="85" t="n">
        <x:v>68</x:v>
      </x:c>
      <x:c r="Z233" s="85" t="n">
        <x:v>74</x:v>
      </x:c>
      <x:c r="AA233" s="85" t="n">
        <x:v>69</x:v>
      </x:c>
      <x:c r="AB233" s="85" t="n">
        <x:v>77</x:v>
      </x:c>
      <x:c r="AC233" s="91" t="str">
        <x:v>2026 UCI WorldTeam名簿掲載</x:v>
      </x:c>
      <x:c r="AD233" s="91" t="str">
        <x:v>https://en.wikipedia.org/wiki/List_of_2026_UCI_WorldTeams_and_riders</x:v>
      </x:c>
      <x:c r="AE233" s="91" t="str">
        <x:v>能力・適性・Credit整合済</x:v>
      </x:c>
      <x:c r="AF233" s="91" t="str">
        <x:v>https://en.wikipedia.org/wiki/Jakob_Omrzel</x:v>
      </x:c>
    </x:row>
    <x:row r="234" ht="26" customHeight="1">
      <x:c r="A234" s="82" t="n">
        <x:v>230</x:v>
      </x:c>
      <x:c r="B234" s="82" t="str">
        <x:v>Aurélien Paret-Peintre</x:v>
      </x:c>
      <x:c r="C234" s="143" t="str"/>
      <x:c r="D234" s="82" t="str">
        <x:v>フランス</x:v>
      </x:c>
      <x:c r="E234" s="82" t="str">
        <x:v>Decathlon–CMA CGM</x:v>
      </x:c>
      <x:c r="F234" s="82" t="str">
        <x:v>1996-02-27</x:v>
      </x:c>
      <x:c r="G234" s="82" t="str">
        <x:v>現役確認済</x:v>
      </x:c>
      <x:c r="H234" s="82" t="str">
        <x:v>クライマー</x:v>
      </x:c>
      <x:c r="I234" s="82" t="str">
        <x:v>スプリンター</x:v>
      </x:c>
      <x:c r="J234" s="85" t="n">
        <x:v>69</x:v>
      </x:c>
      <x:c r="K234" s="85" t="n">
        <x:v>73</x:v>
      </x:c>
      <x:c r="L234" s="91" t="str">
        <x:v>山岳賞ハンター / スプリントトレイン / 山岳アシスト / 山岳ペースメーカー</x:v>
      </x:c>
      <x:c r="M234" s="88" t="n">
        <x:v>3950</x:v>
      </x:c>
      <x:c r="N234" s="85" t="n">
        <x:v>60</x:v>
      </x:c>
      <x:c r="O234" s="85" t="n">
        <x:v>69</x:v>
      </x:c>
      <x:c r="P234" s="85" t="n">
        <x:v>66</x:v>
      </x:c>
      <x:c r="Q234" s="85" t="n">
        <x:v>64</x:v>
      </x:c>
      <x:c r="R234" s="85" t="n">
        <x:v>76</x:v>
      </x:c>
      <x:c r="S234" s="85" t="n">
        <x:v>72</x:v>
      </x:c>
      <x:c r="T234" s="85" t="n">
        <x:v>68</x:v>
      </x:c>
      <x:c r="U234" s="85" t="n">
        <x:v>64</x:v>
      </x:c>
      <x:c r="V234" s="85" t="n">
        <x:v>61</x:v>
      </x:c>
      <x:c r="W234" s="85" t="n">
        <x:v>57</x:v>
      </x:c>
      <x:c r="X234" s="85" t="n">
        <x:v>72</x:v>
      </x:c>
      <x:c r="Y234" s="85" t="n">
        <x:v>77</x:v>
      </x:c>
      <x:c r="Z234" s="85" t="n">
        <x:v>71</x:v>
      </x:c>
      <x:c r="AA234" s="85" t="n">
        <x:v>69</x:v>
      </x:c>
      <x:c r="AB234" s="85" t="n">
        <x:v>70</x:v>
      </x:c>
      <x:c r="AC234" s="91" t="str">
        <x:v>2026 UCI WorldTeam名簿掲載</x:v>
      </x:c>
      <x:c r="AD234" s="91" t="str">
        <x:v>https://en.wikipedia.org/wiki/List_of_2026_UCI_WorldTeams_and_riders</x:v>
      </x:c>
      <x:c r="AE234" s="91" t="str">
        <x:v>能力・適性・Credit整合済</x:v>
      </x:c>
      <x:c r="AF234" s="91" t="str">
        <x:v>https://en.wikipedia.org/wiki/Aur%C3%A9lien_Paret-Peintre</x:v>
      </x:c>
    </x:row>
    <x:row r="235" ht="26" customHeight="1">
      <x:c r="A235" s="82" t="n">
        <x:v>231</x:v>
      </x:c>
      <x:c r="B235" s="82" t="str">
        <x:v>Alastair Mackellar</x:v>
      </x:c>
      <x:c r="C235" s="143" t="str"/>
      <x:c r="D235" s="82" t="str">
        <x:v>オーストラリア</x:v>
      </x:c>
      <x:c r="E235" s="82" t="str">
        <x:v>EF Education–EasyPost</x:v>
      </x:c>
      <x:c r="F235" s="82" t="str">
        <x:v>2002-01-20</x:v>
      </x:c>
      <x:c r="G235" s="82" t="str">
        <x:v>現役確認済</x:v>
      </x:c>
      <x:c r="H235" s="82" t="str">
        <x:v>クライマー</x:v>
      </x:c>
      <x:c r="I235" s="82" t="str">
        <x:v>スプリンター</x:v>
      </x:c>
      <x:c r="J235" s="85" t="n">
        <x:v>69</x:v>
      </x:c>
      <x:c r="K235" s="85" t="n">
        <x:v>72</x:v>
      </x:c>
      <x:c r="L235" s="91" t="str">
        <x:v>山岳賞ハンター / スプリントトレイン / 山岳アシスト / 山岳ペースメーカー</x:v>
      </x:c>
      <x:c r="M235" s="88" t="n">
        <x:v>3950</x:v>
      </x:c>
      <x:c r="N235" s="85" t="n">
        <x:v>56</x:v>
      </x:c>
      <x:c r="O235" s="85" t="n">
        <x:v>64</x:v>
      </x:c>
      <x:c r="P235" s="85" t="n">
        <x:v>65</x:v>
      </x:c>
      <x:c r="Q235" s="85" t="n">
        <x:v>62</x:v>
      </x:c>
      <x:c r="R235" s="85" t="n">
        <x:v>77</x:v>
      </x:c>
      <x:c r="S235" s="85" t="n">
        <x:v>73</x:v>
      </x:c>
      <x:c r="T235" s="85" t="n">
        <x:v>72</x:v>
      </x:c>
      <x:c r="U235" s="85" t="n">
        <x:v>61</x:v>
      </x:c>
      <x:c r="V235" s="85" t="n">
        <x:v>63</x:v>
      </x:c>
      <x:c r="W235" s="85" t="n">
        <x:v>54</x:v>
      </x:c>
      <x:c r="X235" s="85" t="n">
        <x:v>71</x:v>
      </x:c>
      <x:c r="Y235" s="85" t="n">
        <x:v>76</x:v>
      </x:c>
      <x:c r="Z235" s="85" t="n">
        <x:v>66</x:v>
      </x:c>
      <x:c r="AA235" s="85" t="n">
        <x:v>66</x:v>
      </x:c>
      <x:c r="AB235" s="85" t="n">
        <x:v>69</x:v>
      </x:c>
      <x:c r="AC235" s="91" t="str">
        <x:v>2026 UCI WorldTeam名簿掲載</x:v>
      </x:c>
      <x:c r="AD235" s="91" t="str">
        <x:v>https://en.wikipedia.org/wiki/List_of_2026_UCI_WorldTeams_and_riders</x:v>
      </x:c>
      <x:c r="AE235" s="91" t="str">
        <x:v>能力・適性・Credit整合済</x:v>
      </x:c>
      <x:c r="AF235" s="91" t="str">
        <x:v>https://en.wikipedia.org/wiki/Alastair_MacKellar</x:v>
      </x:c>
    </x:row>
    <x:row r="236" ht="26" customHeight="1">
      <x:c r="A236" s="82" t="n">
        <x:v>232</x:v>
      </x:c>
      <x:c r="B236" s="82" t="str">
        <x:v>Brieuc Rolland</x:v>
      </x:c>
      <x:c r="C236" s="143" t="str"/>
      <x:c r="D236" s="82" t="str">
        <x:v>フランス</x:v>
      </x:c>
      <x:c r="E236" s="82" t="str">
        <x:v>Groupama–FDJ United</x:v>
      </x:c>
      <x:c r="F236" s="82" t="str">
        <x:v>2003-08-13</x:v>
      </x:c>
      <x:c r="G236" s="82" t="str">
        <x:v>現役確認済</x:v>
      </x:c>
      <x:c r="H236" s="82" t="str">
        <x:v>クライマー</x:v>
      </x:c>
      <x:c r="I236" s="82" t="str">
        <x:v>パンチャー</x:v>
      </x:c>
      <x:c r="J236" s="85" t="n">
        <x:v>69</x:v>
      </x:c>
      <x:c r="K236" s="85" t="n">
        <x:v>73</x:v>
      </x:c>
      <x:c r="L236" s="91" t="str">
        <x:v>山岳賞ハンター / 山岳アシスト / 山岳ペースメーカー</x:v>
      </x:c>
      <x:c r="M236" s="88" t="n">
        <x:v>3750</x:v>
      </x:c>
      <x:c r="N236" s="85" t="n">
        <x:v>57</x:v>
      </x:c>
      <x:c r="O236" s="85" t="n">
        <x:v>64</x:v>
      </x:c>
      <x:c r="P236" s="85" t="n">
        <x:v>66</x:v>
      </x:c>
      <x:c r="Q236" s="85" t="n">
        <x:v>63</x:v>
      </x:c>
      <x:c r="R236" s="85" t="n">
        <x:v>74</x:v>
      </x:c>
      <x:c r="S236" s="85" t="n">
        <x:v>68</x:v>
      </x:c>
      <x:c r="T236" s="85" t="n">
        <x:v>71</x:v>
      </x:c>
      <x:c r="U236" s="85" t="n">
        <x:v>62</x:v>
      </x:c>
      <x:c r="V236" s="85" t="n">
        <x:v>65</x:v>
      </x:c>
      <x:c r="W236" s="85" t="n">
        <x:v>51</x:v>
      </x:c>
      <x:c r="X236" s="85" t="n">
        <x:v>75</x:v>
      </x:c>
      <x:c r="Y236" s="85" t="n">
        <x:v>72</x:v>
      </x:c>
      <x:c r="Z236" s="85" t="n">
        <x:v>72</x:v>
      </x:c>
      <x:c r="AA236" s="85" t="n">
        <x:v>63</x:v>
      </x:c>
      <x:c r="AB236" s="85" t="n">
        <x:v>71</x:v>
      </x:c>
      <x:c r="AC236" s="91" t="str">
        <x:v>2026 UCI WorldTeam名簿掲載</x:v>
      </x:c>
      <x:c r="AD236" s="91" t="str">
        <x:v>https://en.wikipedia.org/wiki/List_of_2026_UCI_WorldTeams_and_riders</x:v>
      </x:c>
      <x:c r="AE236" s="91" t="str">
        <x:v>能力・適性・Credit整合済</x:v>
      </x:c>
      <x:c r="AF236" s="91" t="str">
        <x:v>https://en.wikipedia.org/wiki/Brieuc_Rolland</x:v>
      </x:c>
    </x:row>
    <x:row r="237" ht="26" customHeight="1">
      <x:c r="A237" s="82" t="n">
        <x:v>233</x:v>
      </x:c>
      <x:c r="B237" s="82" t="str">
        <x:v>Albert Withen Philipsen</x:v>
      </x:c>
      <x:c r="C237" s="143" t="str"/>
      <x:c r="D237" s="82" t="str">
        <x:v>デンマーク</x:v>
      </x:c>
      <x:c r="E237" s="82" t="str">
        <x:v>Lidl–Trek</x:v>
      </x:c>
      <x:c r="F237" s="82" t="str">
        <x:v>2006-09-03</x:v>
      </x:c>
      <x:c r="G237" s="82" t="str">
        <x:v>現役確認済</x:v>
      </x:c>
      <x:c r="H237" s="82" t="str">
        <x:v>TT・ルーラー型</x:v>
      </x:c>
      <x:c r="I237" s="82" t="str">
        <x:v>クラシック型</x:v>
      </x:c>
      <x:c r="J237" s="85" t="n">
        <x:v>69</x:v>
      </x:c>
      <x:c r="K237" s="85" t="n">
        <x:v>75</x:v>
      </x:c>
      <x:c r="L237" s="91" t="str">
        <x:v>平坦ペースメーカー / TT牽引 / 集団コントローラー</x:v>
      </x:c>
      <x:c r="M237" s="88" t="n">
        <x:v>3700</x:v>
      </x:c>
      <x:c r="N237" s="85" t="n">
        <x:v>66</x:v>
      </x:c>
      <x:c r="O237" s="85" t="n">
        <x:v>60</x:v>
      </x:c>
      <x:c r="P237" s="85" t="n">
        <x:v>61</x:v>
      </x:c>
      <x:c r="Q237" s="85" t="n">
        <x:v>75</x:v>
      </x:c>
      <x:c r="R237" s="85" t="n">
        <x:v>69</x:v>
      </x:c>
      <x:c r="S237" s="85" t="n">
        <x:v>71</x:v>
      </x:c>
      <x:c r="T237" s="85" t="n">
        <x:v>69</x:v>
      </x:c>
      <x:c r="U237" s="85" t="n">
        <x:v>70</x:v>
      </x:c>
      <x:c r="V237" s="85" t="n">
        <x:v>68</x:v>
      </x:c>
      <x:c r="W237" s="85" t="n">
        <x:v>60</x:v>
      </x:c>
      <x:c r="X237" s="85" t="n">
        <x:v>66</x:v>
      </x:c>
      <x:c r="Y237" s="85" t="n">
        <x:v>64</x:v>
      </x:c>
      <x:c r="Z237" s="85" t="n">
        <x:v>80</x:v>
      </x:c>
      <x:c r="AA237" s="85" t="n">
        <x:v>64</x:v>
      </x:c>
      <x:c r="AB237" s="85" t="n">
        <x:v>60</x:v>
      </x:c>
      <x:c r="AC237" s="91" t="str">
        <x:v>2026 UCI WorldTeam名簿掲載</x:v>
      </x:c>
      <x:c r="AD237" s="91" t="str">
        <x:v>https://en.wikipedia.org/wiki/List_of_2026_UCI_WorldTeams_and_riders</x:v>
      </x:c>
      <x:c r="AE237" s="91" t="str">
        <x:v>能力・適性・Credit整合済</x:v>
      </x:c>
      <x:c r="AF237" s="91" t="str">
        <x:v>https://en.wikipedia.org/wiki/List_of_2026_UCI_WorldTeams_and_riders</x:v>
      </x:c>
    </x:row>
    <x:row r="238" ht="26" customHeight="1">
      <x:c r="A238" s="82" t="n">
        <x:v>234</x:v>
      </x:c>
      <x:c r="B238" s="82" t="str">
        <x:v>Arjen Livyns</x:v>
      </x:c>
      <x:c r="C238" s="143" t="str"/>
      <x:c r="D238" s="82" t="str">
        <x:v>ベルギー</x:v>
      </x:c>
      <x:c r="E238" s="82" t="str">
        <x:v>XDS Astana Team</x:v>
      </x:c>
      <x:c r="F238" s="82" t="str">
        <x:v>1994-09-01</x:v>
      </x:c>
      <x:c r="G238" s="82" t="str">
        <x:v>現役確認済</x:v>
      </x:c>
      <x:c r="H238" s="82" t="str">
        <x:v>パンチャー</x:v>
      </x:c>
      <x:c r="I238" s="82" t="str">
        <x:v>クラシック型</x:v>
      </x:c>
      <x:c r="J238" s="85" t="n">
        <x:v>69</x:v>
      </x:c>
      <x:c r="K238" s="85" t="n">
        <x:v>69</x:v>
      </x:c>
      <x:c r="L238" s="91" t="str">
        <x:v>ステージハンター</x:v>
      </x:c>
      <x:c r="M238" s="88" t="n">
        <x:v>3550</x:v>
      </x:c>
      <x:c r="N238" s="85" t="n">
        <x:v>69</x:v>
      </x:c>
      <x:c r="O238" s="85" t="n">
        <x:v>74</x:v>
      </x:c>
      <x:c r="P238" s="85" t="n">
        <x:v>74</x:v>
      </x:c>
      <x:c r="Q238" s="85" t="n">
        <x:v>66</x:v>
      </x:c>
      <x:c r="R238" s="85" t="n">
        <x:v>72</x:v>
      </x:c>
      <x:c r="S238" s="85" t="n">
        <x:v>65</x:v>
      </x:c>
      <x:c r="T238" s="85" t="n">
        <x:v>66</x:v>
      </x:c>
      <x:c r="U238" s="85" t="n">
        <x:v>67</x:v>
      </x:c>
      <x:c r="V238" s="85" t="n">
        <x:v>70</x:v>
      </x:c>
      <x:c r="W238" s="85" t="n">
        <x:v>58</x:v>
      </x:c>
      <x:c r="X238" s="85" t="n">
        <x:v>65</x:v>
      </x:c>
      <x:c r="Y238" s="85" t="n">
        <x:v>65</x:v>
      </x:c>
      <x:c r="Z238" s="85" t="n">
        <x:v>64</x:v>
      </x:c>
      <x:c r="AA238" s="85" t="n">
        <x:v>71</x:v>
      </x:c>
      <x:c r="AB238" s="85" t="n">
        <x:v>70</x:v>
      </x:c>
      <x:c r="AC238" s="91" t="str">
        <x:v>2026 UCI WorldTeam名簿掲載</x:v>
      </x:c>
      <x:c r="AD238" s="91" t="str">
        <x:v>https://en.wikipedia.org/wiki/List_of_2026_UCI_WorldTeams_and_riders</x:v>
      </x:c>
      <x:c r="AE238" s="91" t="str">
        <x:v>能力・適性・Credit整合済</x:v>
      </x:c>
      <x:c r="AF238" s="91" t="str">
        <x:v>https://en.wikipedia.org/wiki/Arjen_Livyns</x:v>
      </x:c>
    </x:row>
    <x:row r="239" ht="26" customHeight="1">
      <x:c r="A239" s="82" t="n">
        <x:v>235</x:v>
      </x:c>
      <x:c r="B239" s="82" t="str">
        <x:v>Loe van Belle</x:v>
      </x:c>
      <x:c r="C239" s="143" t="str"/>
      <x:c r="D239" s="82" t="str">
        <x:v>オランダ</x:v>
      </x:c>
      <x:c r="E239" s="82" t="str">
        <x:v>Visma–Lease a Bike</x:v>
      </x:c>
      <x:c r="F239" s="82" t="str">
        <x:v>2002-01-24</x:v>
      </x:c>
      <x:c r="G239" s="82" t="str">
        <x:v>現役確認済</x:v>
      </x:c>
      <x:c r="H239" s="82" t="str">
        <x:v>パンチャー</x:v>
      </x:c>
      <x:c r="I239" s="82" t="str">
        <x:v>スプリンター</x:v>
      </x:c>
      <x:c r="J239" s="85" t="n">
        <x:v>69</x:v>
      </x:c>
      <x:c r="K239" s="85" t="n">
        <x:v>67</x:v>
      </x:c>
      <x:c r="L239" s="91" t="str">
        <x:v>ステージハンター / 山岳賞ハンター / スプリントトレイン</x:v>
      </x:c>
      <x:c r="M239" s="88" t="n">
        <x:v>3500</x:v>
      </x:c>
      <x:c r="N239" s="85" t="n">
        <x:v>70</x:v>
      </x:c>
      <x:c r="O239" s="85" t="n">
        <x:v>71</x:v>
      </x:c>
      <x:c r="P239" s="85" t="n">
        <x:v>77</x:v>
      </x:c>
      <x:c r="Q239" s="85" t="n">
        <x:v>63</x:v>
      </x:c>
      <x:c r="R239" s="85" t="n">
        <x:v>72</x:v>
      </x:c>
      <x:c r="S239" s="85" t="n">
        <x:v>65</x:v>
      </x:c>
      <x:c r="T239" s="85" t="n">
        <x:v>63</x:v>
      </x:c>
      <x:c r="U239" s="85" t="n">
        <x:v>71</x:v>
      </x:c>
      <x:c r="V239" s="85" t="n">
        <x:v>73</x:v>
      </x:c>
      <x:c r="W239" s="85" t="n">
        <x:v>57</x:v>
      </x:c>
      <x:c r="X239" s="85" t="n">
        <x:v>63</x:v>
      </x:c>
      <x:c r="Y239" s="85" t="n">
        <x:v>68</x:v>
      </x:c>
      <x:c r="Z239" s="85" t="n">
        <x:v>60</x:v>
      </x:c>
      <x:c r="AA239" s="85" t="n">
        <x:v>69</x:v>
      </x:c>
      <x:c r="AB239" s="85" t="n">
        <x:v>68</x:v>
      </x:c>
      <x:c r="AC239" s="91" t="str">
        <x:v>2026 UCI WorldTeam名簿掲載</x:v>
      </x:c>
      <x:c r="AD239" s="91" t="str">
        <x:v>https://en.wikipedia.org/wiki/List_of_2026_UCI_WorldTeams_and_riders</x:v>
      </x:c>
      <x:c r="AE239" s="91" t="str">
        <x:v>能力・適性・Credit整合済</x:v>
      </x:c>
      <x:c r="AF239" s="91" t="str">
        <x:v>https://en.wikipedia.org/wiki/Loe_van_Belle</x:v>
      </x:c>
    </x:row>
    <x:row r="240" ht="26" customHeight="1">
      <x:c r="A240" s="82" t="n">
        <x:v>236</x:v>
      </x:c>
      <x:c r="B240" s="82" t="str">
        <x:v>Florian Samuel Kajamini</x:v>
      </x:c>
      <x:c r="C240" s="143" t="str"/>
      <x:c r="D240" s="82" t="str">
        <x:v>イタリア</x:v>
      </x:c>
      <x:c r="E240" s="82" t="str">
        <x:v>XDS Astana Team</x:v>
      </x:c>
      <x:c r="F240" s="82" t="str">
        <x:v>2003-02-28</x:v>
      </x:c>
      <x:c r="G240" s="82" t="str">
        <x:v>現役確認済</x:v>
      </x:c>
      <x:c r="H240" s="82" t="str">
        <x:v>パンチャー</x:v>
      </x:c>
      <x:c r="I240" s="82" t="str">
        <x:v>総合型</x:v>
      </x:c>
      <x:c r="J240" s="85" t="n">
        <x:v>69</x:v>
      </x:c>
      <x:c r="K240" s="85" t="n">
        <x:v>68</x:v>
      </x:c>
      <x:c r="L240" s="91" t="str">
        <x:v>ステージハンター / 山岳賞ハンター / 集団コントローラー</x:v>
      </x:c>
      <x:c r="M240" s="88" t="n">
        <x:v>3500</x:v>
      </x:c>
      <x:c r="N240" s="85" t="n">
        <x:v>71</x:v>
      </x:c>
      <x:c r="O240" s="85" t="n">
        <x:v>71</x:v>
      </x:c>
      <x:c r="P240" s="85" t="n">
        <x:v>77</x:v>
      </x:c>
      <x:c r="Q240" s="85" t="n">
        <x:v>64</x:v>
      </x:c>
      <x:c r="R240" s="85" t="n">
        <x:v>71</x:v>
      </x:c>
      <x:c r="S240" s="85" t="n">
        <x:v>65</x:v>
      </x:c>
      <x:c r="T240" s="85" t="n">
        <x:v>61</x:v>
      </x:c>
      <x:c r="U240" s="85" t="n">
        <x:v>68</x:v>
      </x:c>
      <x:c r="V240" s="85" t="n">
        <x:v>71</x:v>
      </x:c>
      <x:c r="W240" s="85" t="n">
        <x:v>52</x:v>
      </x:c>
      <x:c r="X240" s="85" t="n">
        <x:v>65</x:v>
      </x:c>
      <x:c r="Y240" s="85" t="n">
        <x:v>62</x:v>
      </x:c>
      <x:c r="Z240" s="85" t="n">
        <x:v>64</x:v>
      </x:c>
      <x:c r="AA240" s="85" t="n">
        <x:v>73</x:v>
      </x:c>
      <x:c r="AB240" s="85" t="n">
        <x:v>72</x:v>
      </x:c>
      <x:c r="AC240" s="91" t="str">
        <x:v>2026 UCI WorldTeam名簿掲載</x:v>
      </x:c>
      <x:c r="AD240" s="91" t="str">
        <x:v>https://en.wikipedia.org/wiki/List_of_2026_UCI_WorldTeams_and_riders</x:v>
      </x:c>
      <x:c r="AE240" s="91" t="str">
        <x:v>能力・適性・Credit整合済</x:v>
      </x:c>
      <x:c r="AF240" s="91" t="str">
        <x:v>https://en.wikipedia.org/wiki/List_of_2026_UCI_WorldTeams_and_riders</x:v>
      </x:c>
    </x:row>
    <x:row r="241" ht="26" customHeight="1">
      <x:c r="A241" s="82" t="n">
        <x:v>237</x:v>
      </x:c>
      <x:c r="B241" s="82" t="str">
        <x:v>Davide De Pretto</x:v>
      </x:c>
      <x:c r="C241" s="143" t="str"/>
      <x:c r="D241" s="82" t="str">
        <x:v>イタリア</x:v>
      </x:c>
      <x:c r="E241" s="82" t="str">
        <x:v>Team Jayco–AlUla</x:v>
      </x:c>
      <x:c r="F241" s="82" t="str">
        <x:v>2002-04-19</x:v>
      </x:c>
      <x:c r="G241" s="82" t="str">
        <x:v>現役確認済</x:v>
      </x:c>
      <x:c r="H241" s="82" t="str">
        <x:v>パンチャー</x:v>
      </x:c>
      <x:c r="I241" s="82" t="str">
        <x:v>スプリンター</x:v>
      </x:c>
      <x:c r="J241" s="85" t="n">
        <x:v>69</x:v>
      </x:c>
      <x:c r="K241" s="85" t="n">
        <x:v>66</x:v>
      </x:c>
      <x:c r="L241" s="91" t="str">
        <x:v>ステージハンター / スプリントトレイン</x:v>
      </x:c>
      <x:c r="M241" s="88" t="n">
        <x:v>3500</x:v>
      </x:c>
      <x:c r="N241" s="85" t="n">
        <x:v>63</x:v>
      </x:c>
      <x:c r="O241" s="85" t="n">
        <x:v>73</x:v>
      </x:c>
      <x:c r="P241" s="85" t="n">
        <x:v>75</x:v>
      </x:c>
      <x:c r="Q241" s="85" t="n">
        <x:v>67</x:v>
      </x:c>
      <x:c r="R241" s="85" t="n">
        <x:v>70</x:v>
      </x:c>
      <x:c r="S241" s="85" t="n">
        <x:v>65</x:v>
      </x:c>
      <x:c r="T241" s="85" t="n">
        <x:v>64</x:v>
      </x:c>
      <x:c r="U241" s="85" t="n">
        <x:v>65</x:v>
      </x:c>
      <x:c r="V241" s="85" t="n">
        <x:v>72</x:v>
      </x:c>
      <x:c r="W241" s="85" t="n">
        <x:v>50</x:v>
      </x:c>
      <x:c r="X241" s="85" t="n">
        <x:v>67</x:v>
      </x:c>
      <x:c r="Y241" s="85" t="n">
        <x:v>64</x:v>
      </x:c>
      <x:c r="Z241" s="85" t="n">
        <x:v>61</x:v>
      </x:c>
      <x:c r="AA241" s="85" t="n">
        <x:v>71</x:v>
      </x:c>
      <x:c r="AB241" s="85" t="n">
        <x:v>73</x:v>
      </x:c>
      <x:c r="AC241" s="91" t="str">
        <x:v>2026 UCI WorldTeam名簿掲載</x:v>
      </x:c>
      <x:c r="AD241" s="91" t="str">
        <x:v>https://en.wikipedia.org/wiki/List_of_2026_UCI_WorldTeams_and_riders</x:v>
      </x:c>
      <x:c r="AE241" s="91" t="str">
        <x:v>能力・適性・Credit整合済</x:v>
      </x:c>
      <x:c r="AF241" s="91" t="str">
        <x:v>https://en.wikipedia.org/wiki/Davide_De_Pretto</x:v>
      </x:c>
    </x:row>
    <x:row r="242" ht="26" customHeight="1">
      <x:c r="A242" s="82" t="n">
        <x:v>238</x:v>
      </x:c>
      <x:c r="B242" s="82" t="str">
        <x:v>Gil Gelders</x:v>
      </x:c>
      <x:c r="C242" s="143" t="str"/>
      <x:c r="D242" s="82" t="str">
        <x:v>ベルギー</x:v>
      </x:c>
      <x:c r="E242" s="82" t="str">
        <x:v>Soudal–Quick-Step</x:v>
      </x:c>
      <x:c r="F242" s="82" t="str">
        <x:v>2002-12-16</x:v>
      </x:c>
      <x:c r="G242" s="82" t="str">
        <x:v>現役確認済</x:v>
      </x:c>
      <x:c r="H242" s="82" t="str">
        <x:v>総合型</x:v>
      </x:c>
      <x:c r="I242" s="82" t="str">
        <x:v>スプリンター</x:v>
      </x:c>
      <x:c r="J242" s="85" t="n">
        <x:v>69</x:v>
      </x:c>
      <x:c r="K242" s="85" t="n">
        <x:v>69</x:v>
      </x:c>
      <x:c r="L242" s="91" t="str">
        <x:v>ロードキャプテン / 山岳賞ハンター / スプリントトレイン / 山岳アシスト</x:v>
      </x:c>
      <x:c r="M242" s="88" t="n">
        <x:v>3500</x:v>
      </x:c>
      <x:c r="N242" s="85" t="n">
        <x:v>56</x:v>
      </x:c>
      <x:c r="O242" s="85" t="n">
        <x:v>64</x:v>
      </x:c>
      <x:c r="P242" s="85" t="n">
        <x:v>66</x:v>
      </x:c>
      <x:c r="Q242" s="85" t="n">
        <x:v>65</x:v>
      </x:c>
      <x:c r="R242" s="85" t="n">
        <x:v>74</x:v>
      </x:c>
      <x:c r="S242" s="85" t="n">
        <x:v>70</x:v>
      </x:c>
      <x:c r="T242" s="85" t="n">
        <x:v>70</x:v>
      </x:c>
      <x:c r="U242" s="85" t="n">
        <x:v>65</x:v>
      </x:c>
      <x:c r="V242" s="85" t="n">
        <x:v>61</x:v>
      </x:c>
      <x:c r="W242" s="85" t="n">
        <x:v>52</x:v>
      </x:c>
      <x:c r="X242" s="85" t="n">
        <x:v>76</x:v>
      </x:c>
      <x:c r="Y242" s="85" t="n">
        <x:v>74</x:v>
      </x:c>
      <x:c r="Z242" s="85" t="n">
        <x:v>63</x:v>
      </x:c>
      <x:c r="AA242" s="85" t="n">
        <x:v>72</x:v>
      </x:c>
      <x:c r="AB242" s="85" t="n">
        <x:v>61</x:v>
      </x:c>
      <x:c r="AC242" s="91" t="str">
        <x:v>2026 UCI WorldTeam名簿掲載</x:v>
      </x:c>
      <x:c r="AD242" s="91" t="str">
        <x:v>https://en.wikipedia.org/wiki/List_of_2026_UCI_WorldTeams_and_riders</x:v>
      </x:c>
      <x:c r="AE242" s="91" t="str">
        <x:v>能力・適性・Credit整合済</x:v>
      </x:c>
      <x:c r="AF242" s="91" t="str">
        <x:v>https://en.wikipedia.org/wiki/Gil_Gelders</x:v>
      </x:c>
    </x:row>
    <x:row r="243" ht="26" customHeight="1">
      <x:c r="A243" s="82" t="n">
        <x:v>239</x:v>
      </x:c>
      <x:c r="B243" s="82" t="str">
        <x:v>Clément Berthet</x:v>
      </x:c>
      <x:c r="C243" s="143" t="str"/>
      <x:c r="D243" s="82" t="str">
        <x:v>フランス</x:v>
      </x:c>
      <x:c r="E243" s="82" t="str">
        <x:v>Groupama–FDJ United</x:v>
      </x:c>
      <x:c r="F243" s="82" t="str">
        <x:v>1997-08-02</x:v>
      </x:c>
      <x:c r="G243" s="82" t="str">
        <x:v>現役確認済</x:v>
      </x:c>
      <x:c r="H243" s="82" t="str">
        <x:v>パンチャー</x:v>
      </x:c>
      <x:c r="I243" s="82" t="str">
        <x:v>総合型</x:v>
      </x:c>
      <x:c r="J243" s="85" t="n">
        <x:v>69</x:v>
      </x:c>
      <x:c r="K243" s="85" t="n">
        <x:v>67</x:v>
      </x:c>
      <x:c r="L243" s="91" t="str">
        <x:v>ステージハンター / 下り牽引 / 集団コントローラー</x:v>
      </x:c>
      <x:c r="M243" s="88" t="n">
        <x:v>3400</x:v>
      </x:c>
      <x:c r="N243" s="85" t="n">
        <x:v>71</x:v>
      </x:c>
      <x:c r="O243" s="85" t="n">
        <x:v>71</x:v>
      </x:c>
      <x:c r="P243" s="85" t="n">
        <x:v>74</x:v>
      </x:c>
      <x:c r="Q243" s="85" t="n">
        <x:v>68</x:v>
      </x:c>
      <x:c r="R243" s="85" t="n">
        <x:v>70</x:v>
      </x:c>
      <x:c r="S243" s="85" t="n">
        <x:v>63</x:v>
      </x:c>
      <x:c r="T243" s="85" t="n">
        <x:v>63</x:v>
      </x:c>
      <x:c r="U243" s="85" t="n">
        <x:v>69</x:v>
      </x:c>
      <x:c r="V243" s="85" t="n">
        <x:v>72</x:v>
      </x:c>
      <x:c r="W243" s="85" t="n">
        <x:v>53</x:v>
      </x:c>
      <x:c r="X243" s="85" t="n">
        <x:v>64</x:v>
      </x:c>
      <x:c r="Y243" s="85" t="n">
        <x:v>64</x:v>
      </x:c>
      <x:c r="Z243" s="85" t="n">
        <x:v>65</x:v>
      </x:c>
      <x:c r="AA243" s="85" t="n">
        <x:v>71</x:v>
      </x:c>
      <x:c r="AB243" s="85" t="n">
        <x:v>75</x:v>
      </x:c>
      <x:c r="AC243" s="91" t="str">
        <x:v>2026 UCI WorldTeam名簿掲載</x:v>
      </x:c>
      <x:c r="AD243" s="91" t="str">
        <x:v>https://en.wikipedia.org/wiki/List_of_2026_UCI_WorldTeams_and_riders</x:v>
      </x:c>
      <x:c r="AE243" s="91" t="str">
        <x:v>能力・適性・Credit整合済</x:v>
      </x:c>
      <x:c r="AF243" s="91" t="str">
        <x:v>https://en.wikipedia.org/wiki/Cl%C3%A9ment_Berthet</x:v>
      </x:c>
    </x:row>
    <x:row r="244" ht="26" customHeight="1">
      <x:c r="A244" s="82" t="n">
        <x:v>240</x:v>
      </x:c>
      <x:c r="B244" s="82" t="str">
        <x:v>Dillon Corkery</x:v>
      </x:c>
      <x:c r="C244" s="143" t="str"/>
      <x:c r="D244" s="82" t="str">
        <x:v>アイルランド</x:v>
      </x:c>
      <x:c r="E244" s="82" t="str">
        <x:v>Team Picnic–PostNL</x:v>
      </x:c>
      <x:c r="F244" s="82" t="str">
        <x:v>1999-02-12</x:v>
      </x:c>
      <x:c r="G244" s="82" t="str">
        <x:v>現役確認済</x:v>
      </x:c>
      <x:c r="H244" s="82" t="str">
        <x:v>スプリンター</x:v>
      </x:c>
      <x:c r="I244" s="82" t="str">
        <x:v>総合型</x:v>
      </x:c>
      <x:c r="J244" s="85" t="n">
        <x:v>69</x:v>
      </x:c>
      <x:c r="K244" s="85" t="n">
        <x:v>65</x:v>
      </x:c>
      <x:c r="L244" s="91" t="str">
        <x:v>ロードキャプテン / リードアウト / 下り牽引 / 集団コントローラー / 無賃乗車</x:v>
      </x:c>
      <x:c r="M244" s="88" t="n">
        <x:v>3200</x:v>
      </x:c>
      <x:c r="N244" s="85" t="n">
        <x:v>79</x:v>
      </x:c>
      <x:c r="O244" s="85" t="n">
        <x:v>72</x:v>
      </x:c>
      <x:c r="P244" s="85" t="n">
        <x:v>60</x:v>
      </x:c>
      <x:c r="Q244" s="85" t="n">
        <x:v>66</x:v>
      </x:c>
      <x:c r="R244" s="85" t="n">
        <x:v>59</x:v>
      </x:c>
      <x:c r="S244" s="85" t="n">
        <x:v>58</x:v>
      </x:c>
      <x:c r="T244" s="85" t="n">
        <x:v>63</x:v>
      </x:c>
      <x:c r="U244" s="85" t="n">
        <x:v>68</x:v>
      </x:c>
      <x:c r="V244" s="85" t="n">
        <x:v>68</x:v>
      </x:c>
      <x:c r="W244" s="85" t="n">
        <x:v>52</x:v>
      </x:c>
      <x:c r="X244" s="85" t="n">
        <x:v>59</x:v>
      </x:c>
      <x:c r="Y244" s="85" t="n">
        <x:v>64</x:v>
      </x:c>
      <x:c r="Z244" s="85" t="n">
        <x:v>63</x:v>
      </x:c>
      <x:c r="AA244" s="85" t="n">
        <x:v>69</x:v>
      </x:c>
      <x:c r="AB244" s="85" t="n">
        <x:v>62</x:v>
      </x:c>
      <x:c r="AC244" s="91" t="str">
        <x:v>2026 UCI WorldTeam名簿掲載</x:v>
      </x:c>
      <x:c r="AD244" s="91" t="str">
        <x:v>https://en.wikipedia.org/wiki/List_of_2026_UCI_WorldTeams_and_riders</x:v>
      </x:c>
      <x:c r="AE244" s="91" t="str">
        <x:v>能力・適性・Credit整合済</x:v>
      </x:c>
      <x:c r="AF244" s="91" t="str">
        <x:v>https://en.wikipedia.org/wiki/Dillon_Corkery</x:v>
      </x:c>
    </x:row>
    <x:row r="245" ht="26" customHeight="1">
      <x:c r="A245" s="82" t="n">
        <x:v>241</x:v>
      </x:c>
      <x:c r="B245" s="82" t="str">
        <x:v>Casper Pedersen</x:v>
      </x:c>
      <x:c r="C245" s="143" t="str"/>
      <x:c r="D245" s="82" t="str">
        <x:v>デンマーク</x:v>
      </x:c>
      <x:c r="E245" s="82" t="str">
        <x:v>Soudal–Quick-Step</x:v>
      </x:c>
      <x:c r="F245" s="82" t="str">
        <x:v>1996-03-15</x:v>
      </x:c>
      <x:c r="G245" s="82" t="str">
        <x:v>現役確認済</x:v>
      </x:c>
      <x:c r="H245" s="82" t="str">
        <x:v>TT・ルーラー型</x:v>
      </x:c>
      <x:c r="I245" s="82" t="str">
        <x:v>総合型</x:v>
      </x:c>
      <x:c r="J245" s="85" t="n">
        <x:v>68</x:v>
      </x:c>
      <x:c r="K245" s="85" t="n">
        <x:v>77</x:v>
      </x:c>
      <x:c r="L245" s="91" t="str">
        <x:v>平坦アシスト / TT牽引 / 集団コントローラー / ブレイクアウェイキラー</x:v>
      </x:c>
      <x:c r="M245" s="88" t="n">
        <x:v>4850</x:v>
      </x:c>
      <x:c r="N245" s="85" t="n">
        <x:v>70</x:v>
      </x:c>
      <x:c r="O245" s="85" t="n">
        <x:v>68</x:v>
      </x:c>
      <x:c r="P245" s="85" t="n">
        <x:v>66</x:v>
      </x:c>
      <x:c r="Q245" s="85" t="n">
        <x:v>79</x:v>
      </x:c>
      <x:c r="R245" s="85" t="n">
        <x:v>69</x:v>
      </x:c>
      <x:c r="S245" s="85" t="n">
        <x:v>75</x:v>
      </x:c>
      <x:c r="T245" s="85" t="n">
        <x:v>75</x:v>
      </x:c>
      <x:c r="U245" s="85" t="n">
        <x:v>73</x:v>
      </x:c>
      <x:c r="V245" s="85" t="n">
        <x:v>67</x:v>
      </x:c>
      <x:c r="W245" s="85" t="n">
        <x:v>57</x:v>
      </x:c>
      <x:c r="X245" s="85" t="n">
        <x:v>72</x:v>
      </x:c>
      <x:c r="Y245" s="85" t="n">
        <x:v>71</x:v>
      </x:c>
      <x:c r="Z245" s="85" t="n">
        <x:v>81</x:v>
      </x:c>
      <x:c r="AA245" s="85" t="n">
        <x:v>66</x:v>
      </x:c>
      <x:c r="AB245" s="85" t="n">
        <x:v>68</x:v>
      </x:c>
      <x:c r="AC245" s="91" t="str">
        <x:v>2026 UCI WorldTeam名簿掲載</x:v>
      </x:c>
      <x:c r="AD245" s="91" t="str">
        <x:v>https://en.wikipedia.org/wiki/List_of_2026_UCI_WorldTeams_and_riders</x:v>
      </x:c>
      <x:c r="AE245" s="91" t="str">
        <x:v>能力・適性・Credit整合済</x:v>
      </x:c>
      <x:c r="AF245" s="91" t="str">
        <x:v>https://en.wikipedia.org/wiki/Casper_Pedersen</x:v>
      </x:c>
    </x:row>
    <x:row r="246" ht="26" customHeight="1">
      <x:c r="A246" s="82" t="n">
        <x:v>242</x:v>
      </x:c>
      <x:c r="B246" s="82" t="str">
        <x:v>Christopher Juul-Jensen</x:v>
      </x:c>
      <x:c r="C246" s="143" t="str"/>
      <x:c r="D246" s="82" t="str">
        <x:v>デンマーク</x:v>
      </x:c>
      <x:c r="E246" s="82" t="str">
        <x:v>Team Jayco–AlUla</x:v>
      </x:c>
      <x:c r="F246" s="82" t="str">
        <x:v>1989-07-06</x:v>
      </x:c>
      <x:c r="G246" s="82" t="str">
        <x:v>現役確認済</x:v>
      </x:c>
      <x:c r="H246" s="82" t="str">
        <x:v>TT・ルーラー型</x:v>
      </x:c>
      <x:c r="I246" s="82" t="str">
        <x:v>スプリンター</x:v>
      </x:c>
      <x:c r="J246" s="85" t="n">
        <x:v>68</x:v>
      </x:c>
      <x:c r="K246" s="85" t="n">
        <x:v>78</x:v>
      </x:c>
      <x:c r="L246" s="91" t="str">
        <x:v>スプリントトレイン / 平坦アシスト / 平坦ペースメーカー / TT牽引 / ブレイクアウェイキラー</x:v>
      </x:c>
      <x:c r="M246" s="88" t="n">
        <x:v>4750</x:v>
      </x:c>
      <x:c r="N246" s="85" t="n">
        <x:v>65</x:v>
      </x:c>
      <x:c r="O246" s="85" t="n">
        <x:v>67</x:v>
      </x:c>
      <x:c r="P246" s="85" t="n">
        <x:v>66</x:v>
      </x:c>
      <x:c r="Q246" s="85" t="n">
        <x:v>80</x:v>
      </x:c>
      <x:c r="R246" s="85" t="n">
        <x:v>69</x:v>
      </x:c>
      <x:c r="S246" s="85" t="n">
        <x:v>74</x:v>
      </x:c>
      <x:c r="T246" s="85" t="n">
        <x:v>73</x:v>
      </x:c>
      <x:c r="U246" s="85" t="n">
        <x:v>74</x:v>
      </x:c>
      <x:c r="V246" s="85" t="n">
        <x:v>68</x:v>
      </x:c>
      <x:c r="W246" s="85" t="n">
        <x:v>60</x:v>
      </x:c>
      <x:c r="X246" s="85" t="n">
        <x:v>71</x:v>
      </x:c>
      <x:c r="Y246" s="85" t="n">
        <x:v>72</x:v>
      </x:c>
      <x:c r="Z246" s="85" t="n">
        <x:v>80</x:v>
      </x:c>
      <x:c r="AA246" s="85" t="n">
        <x:v>65</x:v>
      </x:c>
      <x:c r="AB246" s="85" t="n">
        <x:v>67</x:v>
      </x:c>
      <x:c r="AC246" s="91" t="str">
        <x:v>2026 UCI WorldTeam名簿掲載</x:v>
      </x:c>
      <x:c r="AD246" s="91" t="str">
        <x:v>https://en.wikipedia.org/wiki/List_of_2026_UCI_WorldTeams_and_riders</x:v>
      </x:c>
      <x:c r="AE246" s="91" t="str">
        <x:v>能力・適性・Credit整合済</x:v>
      </x:c>
      <x:c r="AF246" s="91" t="str">
        <x:v>https://en.wikipedia.org/wiki/Christopher_Juul-Jensen</x:v>
      </x:c>
    </x:row>
    <x:row r="247" ht="26" customHeight="1">
      <x:c r="A247" s="82" t="n">
        <x:v>243</x:v>
      </x:c>
      <x:c r="B247" s="82" t="str">
        <x:v>Felix Engelhardt</x:v>
      </x:c>
      <x:c r="C247" s="143" t="str"/>
      <x:c r="D247" s="82" t="str">
        <x:v>ドイツ</x:v>
      </x:c>
      <x:c r="E247" s="82" t="str">
        <x:v>Team Jayco–AlUla</x:v>
      </x:c>
      <x:c r="F247" s="82" t="str">
        <x:v>2000-08-19</x:v>
      </x:c>
      <x:c r="G247" s="82" t="str">
        <x:v>現役確認済</x:v>
      </x:c>
      <x:c r="H247" s="82" t="str">
        <x:v>TT・ルーラー型</x:v>
      </x:c>
      <x:c r="I247" s="82" t="str">
        <x:v>総合型</x:v>
      </x:c>
      <x:c r="J247" s="85" t="n">
        <x:v>68</x:v>
      </x:c>
      <x:c r="K247" s="85" t="n">
        <x:v>75</x:v>
      </x:c>
      <x:c r="L247" s="91" t="str">
        <x:v>TT牽引 / 集団コントローラー / ブレイクアウェイキラー / 横風分断</x:v>
      </x:c>
      <x:c r="M247" s="88" t="n">
        <x:v>4150</x:v>
      </x:c>
      <x:c r="N247" s="85" t="n">
        <x:v>63</x:v>
      </x:c>
      <x:c r="O247" s="85" t="n">
        <x:v>66</x:v>
      </x:c>
      <x:c r="P247" s="85" t="n">
        <x:v>62</x:v>
      </x:c>
      <x:c r="Q247" s="85" t="n">
        <x:v>78</x:v>
      </x:c>
      <x:c r="R247" s="85" t="n">
        <x:v>66</x:v>
      </x:c>
      <x:c r="S247" s="85" t="n">
        <x:v>71</x:v>
      </x:c>
      <x:c r="T247" s="85" t="n">
        <x:v>73</x:v>
      </x:c>
      <x:c r="U247" s="85" t="n">
        <x:v>75</x:v>
      </x:c>
      <x:c r="V247" s="85" t="n">
        <x:v>68</x:v>
      </x:c>
      <x:c r="W247" s="85" t="n">
        <x:v>59</x:v>
      </x:c>
      <x:c r="X247" s="85" t="n">
        <x:v>68</x:v>
      </x:c>
      <x:c r="Y247" s="85" t="n">
        <x:v>70</x:v>
      </x:c>
      <x:c r="Z247" s="85" t="n">
        <x:v>75</x:v>
      </x:c>
      <x:c r="AA247" s="85" t="n">
        <x:v>64</x:v>
      </x:c>
      <x:c r="AB247" s="85" t="n">
        <x:v>66</x:v>
      </x:c>
      <x:c r="AC247" s="91" t="str">
        <x:v>2026 UCI WorldTeam名簿掲載</x:v>
      </x:c>
      <x:c r="AD247" s="91" t="str">
        <x:v>https://en.wikipedia.org/wiki/List_of_2026_UCI_WorldTeams_and_riders</x:v>
      </x:c>
      <x:c r="AE247" s="91" t="str">
        <x:v>能力・適性・Credit整合済</x:v>
      </x:c>
      <x:c r="AF247" s="91" t="str">
        <x:v>https://en.wikipedia.org/wiki/Felix_Engelhardt</x:v>
      </x:c>
    </x:row>
    <x:row r="248" ht="26" customHeight="1">
      <x:c r="A248" s="82" t="n">
        <x:v>244</x:v>
      </x:c>
      <x:c r="B248" s="82" t="str">
        <x:v>Jenno Berckmoes</x:v>
      </x:c>
      <x:c r="C248" s="143" t="str"/>
      <x:c r="D248" s="82" t="str">
        <x:v>ベルギー</x:v>
      </x:c>
      <x:c r="E248" s="82" t="str">
        <x:v>Lotto–Intermarché</x:v>
      </x:c>
      <x:c r="F248" s="82" t="str">
        <x:v>2001-02-04</x:v>
      </x:c>
      <x:c r="G248" s="82" t="str">
        <x:v>現役確認済</x:v>
      </x:c>
      <x:c r="H248" s="82" t="str">
        <x:v>クラシック型</x:v>
      </x:c>
      <x:c r="I248" s="82" t="str">
        <x:v>スプリンター</x:v>
      </x:c>
      <x:c r="J248" s="85" t="n">
        <x:v>68</x:v>
      </x:c>
      <x:c r="K248" s="85" t="n">
        <x:v>73</x:v>
      </x:c>
      <x:c r="L248" s="91" t="str">
        <x:v>スプリントトレイン / 石畳護衛 / 横風分断</x:v>
      </x:c>
      <x:c r="M248" s="88" t="n">
        <x:v>3900</x:v>
      </x:c>
      <x:c r="N248" s="85" t="n">
        <x:v>73</x:v>
      </x:c>
      <x:c r="O248" s="85" t="n">
        <x:v>67</x:v>
      </x:c>
      <x:c r="P248" s="85" t="n">
        <x:v>71</x:v>
      </x:c>
      <x:c r="Q248" s="85" t="n">
        <x:v>73</x:v>
      </x:c>
      <x:c r="R248" s="85" t="n">
        <x:v>59</x:v>
      </x:c>
      <x:c r="S248" s="85" t="n">
        <x:v>72</x:v>
      </x:c>
      <x:c r="T248" s="85" t="n">
        <x:v>74</x:v>
      </x:c>
      <x:c r="U248" s="85" t="n">
        <x:v>69</x:v>
      </x:c>
      <x:c r="V248" s="85" t="n">
        <x:v>76</x:v>
      </x:c>
      <x:c r="W248" s="85" t="n">
        <x:v>73</x:v>
      </x:c>
      <x:c r="X248" s="85" t="n">
        <x:v>67</x:v>
      </x:c>
      <x:c r="Y248" s="85" t="n">
        <x:v>67</x:v>
      </x:c>
      <x:c r="Z248" s="85" t="n">
        <x:v>71</x:v>
      </x:c>
      <x:c r="AA248" s="85" t="n">
        <x:v>66</x:v>
      </x:c>
      <x:c r="AB248" s="85" t="n">
        <x:v>73</x:v>
      </x:c>
      <x:c r="AC248" s="91" t="str">
        <x:v>2026 UCI WorldTeam名簿掲載</x:v>
      </x:c>
      <x:c r="AD248" s="91" t="str">
        <x:v>https://en.wikipedia.org/wiki/List_of_2026_UCI_WorldTeams_and_riders</x:v>
      </x:c>
      <x:c r="AE248" s="91" t="str">
        <x:v>能力・適性・Credit整合済</x:v>
      </x:c>
      <x:c r="AF248" s="91" t="str">
        <x:v>https://en.wikipedia.org/wiki/Jenno_Berckmoes</x:v>
      </x:c>
    </x:row>
    <x:row r="249" ht="26" customHeight="1">
      <x:c r="A249" s="82" t="n">
        <x:v>245</x:v>
      </x:c>
      <x:c r="B249" s="82" t="str">
        <x:v>Jakob Söderqvist</x:v>
      </x:c>
      <x:c r="C249" s="143" t="str"/>
      <x:c r="D249" s="82" t="str">
        <x:v>SWE</x:v>
      </x:c>
      <x:c r="E249" s="82" t="str">
        <x:v>Lidl–Trek</x:v>
      </x:c>
      <x:c r="F249" s="82" t="str">
        <x:v>2003-05-31</x:v>
      </x:c>
      <x:c r="G249" s="82" t="str">
        <x:v>現役確認済</x:v>
      </x:c>
      <x:c r="H249" s="82" t="str">
        <x:v>TT・ルーラー型</x:v>
      </x:c>
      <x:c r="I249" s="82" t="str">
        <x:v>クライマー</x:v>
      </x:c>
      <x:c r="J249" s="85" t="n">
        <x:v>68</x:v>
      </x:c>
      <x:c r="K249" s="85" t="n">
        <x:v>75</x:v>
      </x:c>
      <x:c r="L249" s="91" t="str">
        <x:v>山岳賞ハンター / TT牽引 / 集団コントローラー</x:v>
      </x:c>
      <x:c r="M249" s="88" t="n">
        <x:v>3750</x:v>
      </x:c>
      <x:c r="N249" s="85" t="n">
        <x:v>62</x:v>
      </x:c>
      <x:c r="O249" s="85" t="n">
        <x:v>62</x:v>
      </x:c>
      <x:c r="P249" s="85" t="n">
        <x:v>63</x:v>
      </x:c>
      <x:c r="Q249" s="85" t="n">
        <x:v>77</x:v>
      </x:c>
      <x:c r="R249" s="85" t="n">
        <x:v>66</x:v>
      </x:c>
      <x:c r="S249" s="85" t="n">
        <x:v>71</x:v>
      </x:c>
      <x:c r="T249" s="85" t="n">
        <x:v>72</x:v>
      </x:c>
      <x:c r="U249" s="85" t="n">
        <x:v>73</x:v>
      </x:c>
      <x:c r="V249" s="85" t="n">
        <x:v>64</x:v>
      </x:c>
      <x:c r="W249" s="85" t="n">
        <x:v>55</x:v>
      </x:c>
      <x:c r="X249" s="85" t="n">
        <x:v>63</x:v>
      </x:c>
      <x:c r="Y249" s="85" t="n">
        <x:v>65</x:v>
      </x:c>
      <x:c r="Z249" s="85" t="n">
        <x:v>76</x:v>
      </x:c>
      <x:c r="AA249" s="85" t="n">
        <x:v>63</x:v>
      </x:c>
      <x:c r="AB249" s="85" t="n">
        <x:v>65</x:v>
      </x:c>
      <x:c r="AC249" s="91" t="str">
        <x:v>2026 UCI WorldTeam名簿掲載</x:v>
      </x:c>
      <x:c r="AD249" s="91" t="str">
        <x:v>https://en.wikipedia.org/wiki/List_of_2026_UCI_WorldTeams_and_riders</x:v>
      </x:c>
      <x:c r="AE249" s="91" t="str">
        <x:v>能力・適性・Credit整合済</x:v>
      </x:c>
      <x:c r="AF249" s="91" t="str">
        <x:v>https://en.wikipedia.org/wiki/Jakob_S%C3%B6derqvist</x:v>
      </x:c>
    </x:row>
    <x:row r="250" ht="26" customHeight="1">
      <x:c r="A250" s="82" t="n">
        <x:v>246</x:v>
      </x:c>
      <x:c r="B250" s="82" t="str">
        <x:v>Johannes Kulset</x:v>
      </x:c>
      <x:c r="C250" s="143" t="str"/>
      <x:c r="D250" s="82" t="str">
        <x:v>ノルウェー</x:v>
      </x:c>
      <x:c r="E250" s="82" t="str">
        <x:v>Uno-X Mobility</x:v>
      </x:c>
      <x:c r="F250" s="82" t="str">
        <x:v>2004-04-14</x:v>
      </x:c>
      <x:c r="G250" s="82" t="str">
        <x:v>現役確認済</x:v>
      </x:c>
      <x:c r="H250" s="82" t="str">
        <x:v>クライマー</x:v>
      </x:c>
      <x:c r="I250" s="82" t="str">
        <x:v>総合型</x:v>
      </x:c>
      <x:c r="J250" s="85" t="n">
        <x:v>68</x:v>
      </x:c>
      <x:c r="K250" s="85" t="n">
        <x:v>72</x:v>
      </x:c>
      <x:c r="L250" s="91" t="str">
        <x:v>山岳賞ハンター / 山岳アシスト / 集団コントローラー</x:v>
      </x:c>
      <x:c r="M250" s="88" t="n">
        <x:v>3600</x:v>
      </x:c>
      <x:c r="N250" s="85" t="n">
        <x:v>55</x:v>
      </x:c>
      <x:c r="O250" s="85" t="n">
        <x:v>61</x:v>
      </x:c>
      <x:c r="P250" s="85" t="n">
        <x:v>66</x:v>
      </x:c>
      <x:c r="Q250" s="85" t="n">
        <x:v>61</x:v>
      </x:c>
      <x:c r="R250" s="85" t="n">
        <x:v>73</x:v>
      </x:c>
      <x:c r="S250" s="85" t="n">
        <x:v>72</x:v>
      </x:c>
      <x:c r="T250" s="85" t="n">
        <x:v>68</x:v>
      </x:c>
      <x:c r="U250" s="85" t="n">
        <x:v>58</x:v>
      </x:c>
      <x:c r="V250" s="85" t="n">
        <x:v>66</x:v>
      </x:c>
      <x:c r="W250" s="85" t="n">
        <x:v>50</x:v>
      </x:c>
      <x:c r="X250" s="85" t="n">
        <x:v>74</x:v>
      </x:c>
      <x:c r="Y250" s="85" t="n">
        <x:v>75</x:v>
      </x:c>
      <x:c r="Z250" s="85" t="n">
        <x:v>68</x:v>
      </x:c>
      <x:c r="AA250" s="85" t="n">
        <x:v>66</x:v>
      </x:c>
      <x:c r="AB250" s="85" t="n">
        <x:v>69</x:v>
      </x:c>
      <x:c r="AC250" s="91" t="str">
        <x:v>2026 UCI WorldTeam名簿掲載</x:v>
      </x:c>
      <x:c r="AD250" s="91" t="str">
        <x:v>https://en.wikipedia.org/wiki/List_of_2026_UCI_WorldTeams_and_riders</x:v>
      </x:c>
      <x:c r="AE250" s="91" t="str">
        <x:v>能力・適性・Credit整合済</x:v>
      </x:c>
      <x:c r="AF250" s="91" t="str">
        <x:v>https://en.wikipedia.org/wiki/Johannes_Kulset</x:v>
      </x:c>
    </x:row>
    <x:row r="251" ht="26" customHeight="1">
      <x:c r="A251" s="82" t="n">
        <x:v>247</x:v>
      </x:c>
      <x:c r="B251" s="82" t="str">
        <x:v>Archie Ryan (cyclist)</x:v>
      </x:c>
      <x:c r="C251" s="143" t="str"/>
      <x:c r="D251" s="82" t="str">
        <x:v>アイルランド</x:v>
      </x:c>
      <x:c r="E251" s="82" t="str">
        <x:v>EF Education–EasyPost</x:v>
      </x:c>
      <x:c r="F251" s="82" t="str">
        <x:v>2001-11-16</x:v>
      </x:c>
      <x:c r="G251" s="82" t="str">
        <x:v>現役確認済</x:v>
      </x:c>
      <x:c r="H251" s="82" t="str">
        <x:v>クライマー</x:v>
      </x:c>
      <x:c r="I251" s="82" t="str">
        <x:v>総合型</x:v>
      </x:c>
      <x:c r="J251" s="85" t="n">
        <x:v>68</x:v>
      </x:c>
      <x:c r="K251" s="85" t="n">
        <x:v>70</x:v>
      </x:c>
      <x:c r="L251" s="91" t="str">
        <x:v>山岳賞ハンター / 山岳アシスト / 山岳番手 / 集団コントローラー</x:v>
      </x:c>
      <x:c r="M251" s="88" t="n">
        <x:v>3500</x:v>
      </x:c>
      <x:c r="N251" s="85" t="n">
        <x:v>57</x:v>
      </x:c>
      <x:c r="O251" s="85" t="n">
        <x:v>61</x:v>
      </x:c>
      <x:c r="P251" s="85" t="n">
        <x:v>68</x:v>
      </x:c>
      <x:c r="Q251" s="85" t="n">
        <x:v>57</x:v>
      </x:c>
      <x:c r="R251" s="85" t="n">
        <x:v>75</x:v>
      </x:c>
      <x:c r="S251" s="85" t="n">
        <x:v>68</x:v>
      </x:c>
      <x:c r="T251" s="85" t="n">
        <x:v>67</x:v>
      </x:c>
      <x:c r="U251" s="85" t="n">
        <x:v>57</x:v>
      </x:c>
      <x:c r="V251" s="85" t="n">
        <x:v>65</x:v>
      </x:c>
      <x:c r="W251" s="85" t="n">
        <x:v>53</x:v>
      </x:c>
      <x:c r="X251" s="85" t="n">
        <x:v>74</x:v>
      </x:c>
      <x:c r="Y251" s="85" t="n">
        <x:v>74</x:v>
      </x:c>
      <x:c r="Z251" s="85" t="n">
        <x:v>64</x:v>
      </x:c>
      <x:c r="AA251" s="85" t="n">
        <x:v>67</x:v>
      </x:c>
      <x:c r="AB251" s="85" t="n">
        <x:v>65</x:v>
      </x:c>
      <x:c r="AC251" s="91" t="str">
        <x:v>2026 UCI WorldTeam名簿掲載</x:v>
      </x:c>
      <x:c r="AD251" s="91" t="str">
        <x:v>https://en.wikipedia.org/wiki/List_of_2026_UCI_WorldTeams_and_riders</x:v>
      </x:c>
      <x:c r="AE251" s="91" t="str">
        <x:v>能力・適性・Credit整合済</x:v>
      </x:c>
      <x:c r="AF251" s="91" t="str">
        <x:v>https://en.wikipedia.org/wiki/Archie_Ryan_(cyclist)</x:v>
      </x:c>
    </x:row>
    <x:row r="252" ht="26" customHeight="1">
      <x:c r="A252" s="82" t="n">
        <x:v>248</x:v>
      </x:c>
      <x:c r="B252" s="82" t="str">
        <x:v>Josh Kench</x:v>
      </x:c>
      <x:c r="C252" s="143" t="str"/>
      <x:c r="D252" s="82" t="str">
        <x:v>ニュージーランド</x:v>
      </x:c>
      <x:c r="E252" s="82" t="str">
        <x:v>Groupama–FDJ United</x:v>
      </x:c>
      <x:c r="F252" s="82" t="str">
        <x:v>2001-05-06</x:v>
      </x:c>
      <x:c r="G252" s="82" t="str">
        <x:v>現役確認済</x:v>
      </x:c>
      <x:c r="H252" s="82" t="str">
        <x:v>クラシック型</x:v>
      </x:c>
      <x:c r="I252" s="82" t="str">
        <x:v>TT・ルーラー型</x:v>
      </x:c>
      <x:c r="J252" s="85" t="n">
        <x:v>68</x:v>
      </x:c>
      <x:c r="K252" s="85" t="n">
        <x:v>72</x:v>
      </x:c>
      <x:c r="L252" s="91" t="str">
        <x:v>石畳護衛</x:v>
      </x:c>
      <x:c r="M252" s="88" t="n">
        <x:v>3350</x:v>
      </x:c>
      <x:c r="N252" s="85" t="n">
        <x:v>70</x:v>
      </x:c>
      <x:c r="O252" s="85" t="n">
        <x:v>66</x:v>
      </x:c>
      <x:c r="P252" s="85" t="n">
        <x:v>69</x:v>
      </x:c>
      <x:c r="Q252" s="85" t="n">
        <x:v>70</x:v>
      </x:c>
      <x:c r="R252" s="85" t="n">
        <x:v>65</x:v>
      </x:c>
      <x:c r="S252" s="85" t="n">
        <x:v>69</x:v>
      </x:c>
      <x:c r="T252" s="85" t="n">
        <x:v>71</x:v>
      </x:c>
      <x:c r="U252" s="85" t="n">
        <x:v>75</x:v>
      </x:c>
      <x:c r="V252" s="85" t="n">
        <x:v>72</x:v>
      </x:c>
      <x:c r="W252" s="85" t="n">
        <x:v>65</x:v>
      </x:c>
      <x:c r="X252" s="85" t="n">
        <x:v>66</x:v>
      </x:c>
      <x:c r="Y252" s="85" t="n">
        <x:v>65</x:v>
      </x:c>
      <x:c r="Z252" s="85" t="n">
        <x:v>71</x:v>
      </x:c>
      <x:c r="AA252" s="85" t="n">
        <x:v>64</x:v>
      </x:c>
      <x:c r="AB252" s="85" t="n">
        <x:v>68</x:v>
      </x:c>
      <x:c r="AC252" s="91" t="str">
        <x:v>2026 UCI WorldTeam名簿掲載</x:v>
      </x:c>
      <x:c r="AD252" s="91" t="str">
        <x:v>https://en.wikipedia.org/wiki/List_of_2026_UCI_WorldTeams_and_riders</x:v>
      </x:c>
      <x:c r="AE252" s="91" t="str">
        <x:v>能力・適性・Credit整合済</x:v>
      </x:c>
      <x:c r="AF252" s="91" t="str">
        <x:v>https://en.wikipedia.org/wiki/Josh_Kench</x:v>
      </x:c>
    </x:row>
    <x:row r="253" ht="26" customHeight="1">
      <x:c r="A253" s="82" t="n">
        <x:v>249</x:v>
      </x:c>
      <x:c r="B253" s="82" t="str">
        <x:v>Floris Van Tricht</x:v>
      </x:c>
      <x:c r="C253" s="143" t="str"/>
      <x:c r="D253" s="82" t="str">
        <x:v>ベルギー</x:v>
      </x:c>
      <x:c r="E253" s="82" t="str">
        <x:v>NSN Cycling Team</x:v>
      </x:c>
      <x:c r="F253" s="82" t="str">
        <x:v>2001-06-23</x:v>
      </x:c>
      <x:c r="G253" s="82" t="str">
        <x:v>現役確認済</x:v>
      </x:c>
      <x:c r="H253" s="82" t="str">
        <x:v>スプリンター</x:v>
      </x:c>
      <x:c r="I253" s="82" t="str">
        <x:v>クライマー</x:v>
      </x:c>
      <x:c r="J253" s="85" t="n">
        <x:v>68</x:v>
      </x:c>
      <x:c r="K253" s="85" t="n">
        <x:v>63</x:v>
      </x:c>
      <x:c r="L253" s="91" t="str">
        <x:v>山岳賞ハンター / リードアウト / 下り牽引</x:v>
      </x:c>
      <x:c r="M253" s="88" t="n">
        <x:v>2850</x:v>
      </x:c>
      <x:c r="N253" s="85" t="n">
        <x:v>72</x:v>
      </x:c>
      <x:c r="O253" s="85" t="n">
        <x:v>72</x:v>
      </x:c>
      <x:c r="P253" s="85" t="n">
        <x:v>61</x:v>
      </x:c>
      <x:c r="Q253" s="85" t="n">
        <x:v>65</x:v>
      </x:c>
      <x:c r="R253" s="85" t="n">
        <x:v>52</x:v>
      </x:c>
      <x:c r="S253" s="85" t="n">
        <x:v>59</x:v>
      </x:c>
      <x:c r="T253" s="85" t="n">
        <x:v>58</x:v>
      </x:c>
      <x:c r="U253" s="85" t="n">
        <x:v>64</x:v>
      </x:c>
      <x:c r="V253" s="85" t="n">
        <x:v>65</x:v>
      </x:c>
      <x:c r="W253" s="85" t="n">
        <x:v>53</x:v>
      </x:c>
      <x:c r="X253" s="85" t="n">
        <x:v>58</x:v>
      </x:c>
      <x:c r="Y253" s="85" t="n">
        <x:v>57</x:v>
      </x:c>
      <x:c r="Z253" s="85" t="n">
        <x:v>61</x:v>
      </x:c>
      <x:c r="AA253" s="85" t="n">
        <x:v>70</x:v>
      </x:c>
      <x:c r="AB253" s="85" t="n">
        <x:v>64</x:v>
      </x:c>
      <x:c r="AC253" s="91" t="str">
        <x:v>2026 UCI WorldTeam名簿掲載</x:v>
      </x:c>
      <x:c r="AD253" s="91" t="str">
        <x:v>https://en.wikipedia.org/wiki/List_of_2026_UCI_WorldTeams_and_riders</x:v>
      </x:c>
      <x:c r="AE253" s="91" t="str">
        <x:v>能力・適性・Credit整合済</x:v>
      </x:c>
      <x:c r="AF253" s="91" t="str">
        <x:v>https://en.wikipedia.org/wiki/Floris_Van_Tricht</x:v>
      </x:c>
    </x:row>
    <x:row r="254" ht="26" customHeight="1">
      <x:c r="A254" s="82" t="n">
        <x:v>250</x:v>
      </x:c>
      <x:c r="B254" s="82" t="str">
        <x:v>Bart Lemmen</x:v>
      </x:c>
      <x:c r="C254" s="143" t="str"/>
      <x:c r="D254" s="82" t="str">
        <x:v>オランダ</x:v>
      </x:c>
      <x:c r="E254" s="82" t="str">
        <x:v>Visma–Lease a Bike</x:v>
      </x:c>
      <x:c r="F254" s="82" t="str">
        <x:v>1995-10-14</x:v>
      </x:c>
      <x:c r="G254" s="82" t="str">
        <x:v>現役確認済</x:v>
      </x:c>
      <x:c r="H254" s="82" t="str">
        <x:v>TT・ルーラー型</x:v>
      </x:c>
      <x:c r="I254" s="82" t="str">
        <x:v>クラシック型</x:v>
      </x:c>
      <x:c r="J254" s="85" t="n">
        <x:v>67</x:v>
      </x:c>
      <x:c r="K254" s="85" t="n">
        <x:v>77</x:v>
      </x:c>
      <x:c r="L254" s="91" t="str">
        <x:v>TTスペシャリスト / 平坦アシスト / 集団コントローラー / ブレイクアウェイキラー / 横風要員 / 逃げ屋</x:v>
      </x:c>
      <x:c r="M254" s="88" t="n">
        <x:v>4800</x:v>
      </x:c>
      <x:c r="N254" s="85" t="n">
        <x:v>66</x:v>
      </x:c>
      <x:c r="O254" s="85" t="n">
        <x:v>67</x:v>
      </x:c>
      <x:c r="P254" s="85" t="n">
        <x:v>66</x:v>
      </x:c>
      <x:c r="Q254" s="85" t="n">
        <x:v>80</x:v>
      </x:c>
      <x:c r="R254" s="85" t="n">
        <x:v>69</x:v>
      </x:c>
      <x:c r="S254" s="85" t="n">
        <x:v>76</x:v>
      </x:c>
      <x:c r="T254" s="85" t="n">
        <x:v>75</x:v>
      </x:c>
      <x:c r="U254" s="85" t="n">
        <x:v>78</x:v>
      </x:c>
      <x:c r="V254" s="85" t="n">
        <x:v>65</x:v>
      </x:c>
      <x:c r="W254" s="85" t="n">
        <x:v>55</x:v>
      </x:c>
      <x:c r="X254" s="85" t="n">
        <x:v>71</x:v>
      </x:c>
      <x:c r="Y254" s="85" t="n">
        <x:v>71</x:v>
      </x:c>
      <x:c r="Z254" s="85" t="n">
        <x:v>79</x:v>
      </x:c>
      <x:c r="AA254" s="85" t="n">
        <x:v>66</x:v>
      </x:c>
      <x:c r="AB254" s="85" t="n">
        <x:v>65</x:v>
      </x:c>
      <x:c r="AC254" s="91" t="str">
        <x:v>2026 UCI WorldTeam名簿掲載</x:v>
      </x:c>
      <x:c r="AD254" s="91" t="str">
        <x:v>https://en.wikipedia.org/wiki/List_of_2026_UCI_WorldTeams_and_riders</x:v>
      </x:c>
      <x:c r="AE254" s="91" t="str">
        <x:v>能力・適性・Credit整合済</x:v>
      </x:c>
      <x:c r="AF254" s="91" t="str">
        <x:v>https://en.wikipedia.org/wiki/Bart_Lemmen</x:v>
      </x:c>
    </x:row>
    <x:row r="255" ht="26" customHeight="1">
      <x:c r="A255" s="82" t="n">
        <x:v>251</x:v>
      </x:c>
      <x:c r="B255" s="82" t="str">
        <x:v>Davide Piganzoli</x:v>
      </x:c>
      <x:c r="C255" s="143" t="str"/>
      <x:c r="D255" s="82" t="str">
        <x:v>イタリア</x:v>
      </x:c>
      <x:c r="E255" s="82" t="str">
        <x:v>Visma–Lease a Bike</x:v>
      </x:c>
      <x:c r="F255" s="82" t="str">
        <x:v>2002-07-08</x:v>
      </x:c>
      <x:c r="G255" s="82" t="str">
        <x:v>現役確認済</x:v>
      </x:c>
      <x:c r="H255" s="82" t="str">
        <x:v>TT・ルーラー型</x:v>
      </x:c>
      <x:c r="I255" s="82" t="str">
        <x:v>総合型</x:v>
      </x:c>
      <x:c r="J255" s="85" t="n">
        <x:v>67</x:v>
      </x:c>
      <x:c r="K255" s="85" t="n">
        <x:v>77</x:v>
      </x:c>
      <x:c r="L255" s="91" t="str">
        <x:v>平坦アシスト / TT牽引 / 集団コントローラー / ポジションキーパー</x:v>
      </x:c>
      <x:c r="M255" s="88" t="n">
        <x:v>3900</x:v>
      </x:c>
      <x:c r="N255" s="85" t="n">
        <x:v>60</x:v>
      </x:c>
      <x:c r="O255" s="85" t="n">
        <x:v>65</x:v>
      </x:c>
      <x:c r="P255" s="85" t="n">
        <x:v>61</x:v>
      </x:c>
      <x:c r="Q255" s="85" t="n">
        <x:v>79</x:v>
      </x:c>
      <x:c r="R255" s="85" t="n">
        <x:v>67</x:v>
      </x:c>
      <x:c r="S255" s="85" t="n">
        <x:v>70</x:v>
      </x:c>
      <x:c r="T255" s="85" t="n">
        <x:v>70</x:v>
      </x:c>
      <x:c r="U255" s="85" t="n">
        <x:v>76</x:v>
      </x:c>
      <x:c r="V255" s="85" t="n">
        <x:v>70</x:v>
      </x:c>
      <x:c r="W255" s="85" t="n">
        <x:v>61</x:v>
      </x:c>
      <x:c r="X255" s="85" t="n">
        <x:v>64</x:v>
      </x:c>
      <x:c r="Y255" s="85" t="n">
        <x:v>67</x:v>
      </x:c>
      <x:c r="Z255" s="85" t="n">
        <x:v>81</x:v>
      </x:c>
      <x:c r="AA255" s="85" t="n">
        <x:v>66</x:v>
      </x:c>
      <x:c r="AB255" s="85" t="n">
        <x:v>64</x:v>
      </x:c>
      <x:c r="AC255" s="91" t="str">
        <x:v>2026 UCI WorldTeam名簿掲載</x:v>
      </x:c>
      <x:c r="AD255" s="91" t="str">
        <x:v>https://en.wikipedia.org/wiki/List_of_2026_UCI_WorldTeams_and_riders</x:v>
      </x:c>
      <x:c r="AE255" s="91" t="str">
        <x:v>能力・適性・Credit整合済</x:v>
      </x:c>
      <x:c r="AF255" s="91" t="str">
        <x:v>https://en.wikipedia.org/wiki/Davide_Piganzoli</x:v>
      </x:c>
    </x:row>
    <x:row r="256" ht="26" customHeight="1">
      <x:c r="A256" s="82" t="n">
        <x:v>252</x:v>
      </x:c>
      <x:c r="B256" s="82" t="str">
        <x:v>Harold Martín López</x:v>
      </x:c>
      <x:c r="C256" s="143" t="str"/>
      <x:c r="D256" s="82" t="str">
        <x:v>エクアドル</x:v>
      </x:c>
      <x:c r="E256" s="82" t="str">
        <x:v>XDS Astana Team</x:v>
      </x:c>
      <x:c r="F256" s="82" t="str">
        <x:v>2000-12-03</x:v>
      </x:c>
      <x:c r="G256" s="82" t="str">
        <x:v>現役確認済</x:v>
      </x:c>
      <x:c r="H256" s="82" t="str">
        <x:v>クライマー</x:v>
      </x:c>
      <x:c r="I256" s="82" t="str">
        <x:v>TT・ルーラー型</x:v>
      </x:c>
      <x:c r="J256" s="85" t="n">
        <x:v>67</x:v>
      </x:c>
      <x:c r="K256" s="85" t="n">
        <x:v>71</x:v>
      </x:c>
      <x:c r="L256" s="91" t="str">
        <x:v>山岳賞ハンター / 山岳アシスト</x:v>
      </x:c>
      <x:c r="M256" s="88" t="n">
        <x:v>3450</x:v>
      </x:c>
      <x:c r="N256" s="85" t="n">
        <x:v>52</x:v>
      </x:c>
      <x:c r="O256" s="85" t="n">
        <x:v>66</x:v>
      </x:c>
      <x:c r="P256" s="85" t="n">
        <x:v>67</x:v>
      </x:c>
      <x:c r="Q256" s="85" t="n">
        <x:v>62</x:v>
      </x:c>
      <x:c r="R256" s="85" t="n">
        <x:v>74</x:v>
      </x:c>
      <x:c r="S256" s="85" t="n">
        <x:v>70</x:v>
      </x:c>
      <x:c r="T256" s="85" t="n">
        <x:v>66</x:v>
      </x:c>
      <x:c r="U256" s="85" t="n">
        <x:v>62</x:v>
      </x:c>
      <x:c r="V256" s="85" t="n">
        <x:v>57</x:v>
      </x:c>
      <x:c r="W256" s="85" t="n">
        <x:v>52</x:v>
      </x:c>
      <x:c r="X256" s="85" t="n">
        <x:v>73</x:v>
      </x:c>
      <x:c r="Y256" s="85" t="n">
        <x:v>73</x:v>
      </x:c>
      <x:c r="Z256" s="85" t="n">
        <x:v>69</x:v>
      </x:c>
      <x:c r="AA256" s="85" t="n">
        <x:v>67</x:v>
      </x:c>
      <x:c r="AB256" s="85" t="n">
        <x:v>71</x:v>
      </x:c>
      <x:c r="AC256" s="91" t="str">
        <x:v>2026 UCI WorldTeam名簿掲載</x:v>
      </x:c>
      <x:c r="AD256" s="91" t="str">
        <x:v>https://en.wikipedia.org/wiki/List_of_2026_UCI_WorldTeams_and_riders</x:v>
      </x:c>
      <x:c r="AE256" s="91" t="str">
        <x:v>能力・適性・Credit整合済</x:v>
      </x:c>
      <x:c r="AF256" s="91" t="str">
        <x:v>https://en.wikipedia.org/wiki/Harold_Mart%C3%ADn_L%C3%B3pez</x:v>
      </x:c>
    </x:row>
    <x:row r="257" ht="26" customHeight="1">
      <x:c r="A257" s="82" t="n">
        <x:v>253</x:v>
      </x:c>
      <x:c r="B257" s="82" t="str">
        <x:v>Henri-François Renard-Haquin</x:v>
      </x:c>
      <x:c r="C257" s="143" t="str"/>
      <x:c r="D257" s="82" t="str">
        <x:v>フランス</x:v>
      </x:c>
      <x:c r="E257" s="82" t="str">
        <x:v>Team Picnic–PostNL</x:v>
      </x:c>
      <x:c r="F257" s="82" t="str">
        <x:v>2002-12-12</x:v>
      </x:c>
      <x:c r="G257" s="82" t="str">
        <x:v>現役確認済</x:v>
      </x:c>
      <x:c r="H257" s="82" t="str">
        <x:v>クラシック型</x:v>
      </x:c>
      <x:c r="I257" s="82" t="str">
        <x:v>クライマー</x:v>
      </x:c>
      <x:c r="J257" s="85" t="n">
        <x:v>67</x:v>
      </x:c>
      <x:c r="K257" s="85" t="n">
        <x:v>70</x:v>
      </x:c>
      <x:c r="L257" s="91" t="str">
        <x:v>山岳賞ハンター / 石畳護衛 / 下り牽引</x:v>
      </x:c>
      <x:c r="M257" s="88" t="n">
        <x:v>3350</x:v>
      </x:c>
      <x:c r="N257" s="85" t="n">
        <x:v>72</x:v>
      </x:c>
      <x:c r="O257" s="85" t="n">
        <x:v>68</x:v>
      </x:c>
      <x:c r="P257" s="85" t="n">
        <x:v>70</x:v>
      </x:c>
      <x:c r="Q257" s="85" t="n">
        <x:v>70</x:v>
      </x:c>
      <x:c r="R257" s="85" t="n">
        <x:v>59</x:v>
      </x:c>
      <x:c r="S257" s="85" t="n">
        <x:v>71</x:v>
      </x:c>
      <x:c r="T257" s="85" t="n">
        <x:v>71</x:v>
      </x:c>
      <x:c r="U257" s="85" t="n">
        <x:v>74</x:v>
      </x:c>
      <x:c r="V257" s="85" t="n">
        <x:v>74</x:v>
      </x:c>
      <x:c r="W257" s="85" t="n">
        <x:v>66</x:v>
      </x:c>
      <x:c r="X257" s="85" t="n">
        <x:v>63</x:v>
      </x:c>
      <x:c r="Y257" s="85" t="n">
        <x:v>66</x:v>
      </x:c>
      <x:c r="Z257" s="85" t="n">
        <x:v>65</x:v>
      </x:c>
      <x:c r="AA257" s="85" t="n">
        <x:v>65</x:v>
      </x:c>
      <x:c r="AB257" s="85" t="n">
        <x:v>69</x:v>
      </x:c>
      <x:c r="AC257" s="91" t="str">
        <x:v>2026 UCI WorldTeam名簿掲載</x:v>
      </x:c>
      <x:c r="AD257" s="91" t="str">
        <x:v>https://en.wikipedia.org/wiki/List_of_2026_UCI_WorldTeams_and_riders</x:v>
      </x:c>
      <x:c r="AE257" s="91" t="str">
        <x:v>能力・適性・Credit整合済</x:v>
      </x:c>
      <x:c r="AF257" s="91" t="str">
        <x:v>https://en.wikipedia.org/wiki/Henri-Fran%C3%A7ois_Renard-Haquin</x:v>
      </x:c>
    </x:row>
    <x:row r="258" ht="26" customHeight="1">
      <x:c r="A258" s="82" t="n">
        <x:v>254</x:v>
      </x:c>
      <x:c r="B258" s="82" t="str">
        <x:v>Lennert Belmans</x:v>
      </x:c>
      <x:c r="C258" s="143" t="str"/>
      <x:c r="D258" s="82" t="str">
        <x:v>ベルギー</x:v>
      </x:c>
      <x:c r="E258" s="82" t="str">
        <x:v>Alpecin–Premier Tech</x:v>
      </x:c>
      <x:c r="F258" s="82" t="str">
        <x:v>2002-02-15</x:v>
      </x:c>
      <x:c r="G258" s="82" t="str">
        <x:v>現役確認済</x:v>
      </x:c>
      <x:c r="H258" s="82" t="str">
        <x:v>クラシック型</x:v>
      </x:c>
      <x:c r="I258" s="82" t="str">
        <x:v>TT・ルーラー型</x:v>
      </x:c>
      <x:c r="J258" s="85" t="n">
        <x:v>67</x:v>
      </x:c>
      <x:c r="K258" s="85" t="n">
        <x:v>71</x:v>
      </x:c>
      <x:c r="L258" s="91" t="str">
        <x:v>石畳護衛 / 集団コントローラー</x:v>
      </x:c>
      <x:c r="M258" s="88" t="n">
        <x:v>3300</x:v>
      </x:c>
      <x:c r="N258" s="85" t="n">
        <x:v>72</x:v>
      </x:c>
      <x:c r="O258" s="85" t="n">
        <x:v>69</x:v>
      </x:c>
      <x:c r="P258" s="85" t="n">
        <x:v>68</x:v>
      </x:c>
      <x:c r="Q258" s="85" t="n">
        <x:v>72</x:v>
      </x:c>
      <x:c r="R258" s="85" t="n">
        <x:v>61</x:v>
      </x:c>
      <x:c r="S258" s="85" t="n">
        <x:v>70</x:v>
      </x:c>
      <x:c r="T258" s="85" t="n">
        <x:v>69</x:v>
      </x:c>
      <x:c r="U258" s="85" t="n">
        <x:v>69</x:v>
      </x:c>
      <x:c r="V258" s="85" t="n">
        <x:v>71</x:v>
      </x:c>
      <x:c r="W258" s="85" t="n">
        <x:v>71</x:v>
      </x:c>
      <x:c r="X258" s="85" t="n">
        <x:v>60</x:v>
      </x:c>
      <x:c r="Y258" s="85" t="n">
        <x:v>59</x:v>
      </x:c>
      <x:c r="Z258" s="85" t="n">
        <x:v>71</x:v>
      </x:c>
      <x:c r="AA258" s="85" t="n">
        <x:v>67</x:v>
      </x:c>
      <x:c r="AB258" s="85" t="n">
        <x:v>69</x:v>
      </x:c>
      <x:c r="AC258" s="91" t="str">
        <x:v>2026 UCI WorldTeam名簿掲載</x:v>
      </x:c>
      <x:c r="AD258" s="91" t="str">
        <x:v>https://en.wikipedia.org/wiki/List_of_2026_UCI_WorldTeams_and_riders</x:v>
      </x:c>
      <x:c r="AE258" s="91" t="str">
        <x:v>能力・適性・Credit整合済</x:v>
      </x:c>
      <x:c r="AF258" s="91" t="str">
        <x:v>https://en.wikipedia.org/wiki/Lennert_Belmans</x:v>
      </x:c>
    </x:row>
    <x:row r="259" ht="26" customHeight="1">
      <x:c r="A259" s="82" t="n">
        <x:v>255</x:v>
      </x:c>
      <x:c r="B259" s="82" t="str">
        <x:v>Bastien Tronchon</x:v>
      </x:c>
      <x:c r="C259" s="143" t="str"/>
      <x:c r="D259" s="82" t="str">
        <x:v>フランス</x:v>
      </x:c>
      <x:c r="E259" s="82" t="str">
        <x:v>Groupama–FDJ United</x:v>
      </x:c>
      <x:c r="F259" s="82" t="str">
        <x:v>2002-03-29</x:v>
      </x:c>
      <x:c r="G259" s="82" t="str">
        <x:v>現役確認済</x:v>
      </x:c>
      <x:c r="H259" s="82" t="str">
        <x:v>パンチャー</x:v>
      </x:c>
      <x:c r="I259" s="82" t="str">
        <x:v>スプリンター</x:v>
      </x:c>
      <x:c r="J259" s="85" t="n">
        <x:v>67</x:v>
      </x:c>
      <x:c r="K259" s="85" t="n">
        <x:v>66</x:v>
      </x:c>
      <x:c r="L259" s="91" t="str">
        <x:v>ステージハンター / 山岳賞ハンター / スプリントトレイン</x:v>
      </x:c>
      <x:c r="M259" s="88" t="n">
        <x:v>3300</x:v>
      </x:c>
      <x:c r="N259" s="85" t="n">
        <x:v>68</x:v>
      </x:c>
      <x:c r="O259" s="85" t="n">
        <x:v>73</x:v>
      </x:c>
      <x:c r="P259" s="85" t="n">
        <x:v>77</x:v>
      </x:c>
      <x:c r="Q259" s="85" t="n">
        <x:v>66</x:v>
      </x:c>
      <x:c r="R259" s="85" t="n">
        <x:v>71</x:v>
      </x:c>
      <x:c r="S259" s="85" t="n">
        <x:v>64</x:v>
      </x:c>
      <x:c r="T259" s="85" t="n">
        <x:v>64</x:v>
      </x:c>
      <x:c r="U259" s="85" t="n">
        <x:v>69</x:v>
      </x:c>
      <x:c r="V259" s="85" t="n">
        <x:v>71</x:v>
      </x:c>
      <x:c r="W259" s="85" t="n">
        <x:v>56</x:v>
      </x:c>
      <x:c r="X259" s="85" t="n">
        <x:v>64</x:v>
      </x:c>
      <x:c r="Y259" s="85" t="n">
        <x:v>65</x:v>
      </x:c>
      <x:c r="Z259" s="85" t="n">
        <x:v>60</x:v>
      </x:c>
      <x:c r="AA259" s="85" t="n">
        <x:v>72</x:v>
      </x:c>
      <x:c r="AB259" s="85" t="n">
        <x:v>71</x:v>
      </x:c>
      <x:c r="AC259" s="91" t="str">
        <x:v>2026 UCI WorldTeam名簿掲載</x:v>
      </x:c>
      <x:c r="AD259" s="91" t="str">
        <x:v>https://en.wikipedia.org/wiki/List_of_2026_UCI_WorldTeams_and_riders</x:v>
      </x:c>
      <x:c r="AE259" s="91" t="str">
        <x:v>能力・適性・Credit整合済</x:v>
      </x:c>
      <x:c r="AF259" s="91" t="str">
        <x:v>https://en.wikipedia.org/wiki/Bastien_Tronchon</x:v>
      </x:c>
    </x:row>
    <x:row r="260" ht="26" customHeight="1">
      <x:c r="A260" s="82" t="n">
        <x:v>256</x:v>
      </x:c>
      <x:c r="B260" s="82" t="str">
        <x:v>Laurens De Plus</x:v>
      </x:c>
      <x:c r="C260" s="143" t="str"/>
      <x:c r="D260" s="82" t="str">
        <x:v>ベルギー</x:v>
      </x:c>
      <x:c r="E260" s="82" t="str">
        <x:v>Netcompany INEOS Cycling Team</x:v>
      </x:c>
      <x:c r="F260" s="82" t="str">
        <x:v>1995-09-04</x:v>
      </x:c>
      <x:c r="G260" s="82" t="str">
        <x:v>現役確認済</x:v>
      </x:c>
      <x:c r="H260" s="82" t="str">
        <x:v>クライマー</x:v>
      </x:c>
      <x:c r="I260" s="82" t="str">
        <x:v>総合型</x:v>
      </x:c>
      <x:c r="J260" s="85" t="n">
        <x:v>66</x:v>
      </x:c>
      <x:c r="K260" s="85" t="n">
        <x:v>76</x:v>
      </x:c>
      <x:c r="L260" s="91" t="str">
        <x:v>山岳賞ハンター / 山岳アシスト / 集団コントローラー</x:v>
      </x:c>
      <x:c r="M260" s="88" t="n">
        <x:v>3750</x:v>
      </x:c>
      <x:c r="N260" s="85" t="n">
        <x:v>56</x:v>
      </x:c>
      <x:c r="O260" s="85" t="n">
        <x:v>67</x:v>
      </x:c>
      <x:c r="P260" s="85" t="n">
        <x:v>70</x:v>
      </x:c>
      <x:c r="Q260" s="85" t="n">
        <x:v>65</x:v>
      </x:c>
      <x:c r="R260" s="85" t="n">
        <x:v>75</x:v>
      </x:c>
      <x:c r="S260" s="85" t="n">
        <x:v>70</x:v>
      </x:c>
      <x:c r="T260" s="85" t="n">
        <x:v>70</x:v>
      </x:c>
      <x:c r="U260" s="85" t="n">
        <x:v>64</x:v>
      </x:c>
      <x:c r="V260" s="85" t="n">
        <x:v>66</x:v>
      </x:c>
      <x:c r="W260" s="85" t="n">
        <x:v>50</x:v>
      </x:c>
      <x:c r="X260" s="85" t="n">
        <x:v>75</x:v>
      </x:c>
      <x:c r="Y260" s="85" t="n">
        <x:v>76</x:v>
      </x:c>
      <x:c r="Z260" s="85" t="n">
        <x:v>72</x:v>
      </x:c>
      <x:c r="AA260" s="85" t="n">
        <x:v>65</x:v>
      </x:c>
      <x:c r="AB260" s="85" t="n">
        <x:v>71</x:v>
      </x:c>
      <x:c r="AC260" s="91" t="str">
        <x:v>2026 UCI WorldTeam名簿掲載</x:v>
      </x:c>
      <x:c r="AD260" s="91" t="str">
        <x:v>https://en.wikipedia.org/wiki/List_of_2026_UCI_WorldTeams_and_riders</x:v>
      </x:c>
      <x:c r="AE260" s="91" t="str">
        <x:v>能力・適性・Credit整合済</x:v>
      </x:c>
      <x:c r="AF260" s="91" t="str">
        <x:v>https://en.wikipedia.org/wiki/Special:Search?search=Laurens%20De%20Plus%20cyclist</x:v>
      </x:c>
    </x:row>
    <x:row r="261" ht="26" customHeight="1">
      <x:c r="A261" s="82" t="n">
        <x:v>257</x:v>
      </x:c>
      <x:c r="B261" s="82" t="str">
        <x:v>Alessandro Covi</x:v>
      </x:c>
      <x:c r="C261" s="143" t="str"/>
      <x:c r="D261" s="82" t="str">
        <x:v>イタリア</x:v>
      </x:c>
      <x:c r="E261" s="82" t="str">
        <x:v>Team Jayco–AlUla</x:v>
      </x:c>
      <x:c r="F261" s="82" t="str">
        <x:v>1998-09-28</x:v>
      </x:c>
      <x:c r="G261" s="82" t="str">
        <x:v>現役確認済</x:v>
      </x:c>
      <x:c r="H261" s="82" t="str">
        <x:v>TT・ルーラー型</x:v>
      </x:c>
      <x:c r="I261" s="82" t="str">
        <x:v>スプリンター</x:v>
      </x:c>
      <x:c r="J261" s="85" t="n">
        <x:v>66</x:v>
      </x:c>
      <x:c r="K261" s="85" t="n">
        <x:v>77</x:v>
      </x:c>
      <x:c r="L261" s="91" t="str">
        <x:v>スプリントトレイン / 平坦アシスト / TT牽引 / 集団コントローラー</x:v>
      </x:c>
      <x:c r="M261" s="88" t="n">
        <x:v>3650</x:v>
      </x:c>
      <x:c r="N261" s="85" t="n">
        <x:v>67</x:v>
      </x:c>
      <x:c r="O261" s="85" t="n">
        <x:v>61</x:v>
      </x:c>
      <x:c r="P261" s="85" t="n">
        <x:v>64</x:v>
      </x:c>
      <x:c r="Q261" s="85" t="n">
        <x:v>75</x:v>
      </x:c>
      <x:c r="R261" s="85" t="n">
        <x:v>63</x:v>
      </x:c>
      <x:c r="S261" s="85" t="n">
        <x:v>71</x:v>
      </x:c>
      <x:c r="T261" s="85" t="n">
        <x:v>72</x:v>
      </x:c>
      <x:c r="U261" s="85" t="n">
        <x:v>70</x:v>
      </x:c>
      <x:c r="V261" s="85" t="n">
        <x:v>67</x:v>
      </x:c>
      <x:c r="W261" s="85" t="n">
        <x:v>55</x:v>
      </x:c>
      <x:c r="X261" s="85" t="n">
        <x:v>64</x:v>
      </x:c>
      <x:c r="Y261" s="85" t="n">
        <x:v>69</x:v>
      </x:c>
      <x:c r="Z261" s="85" t="n">
        <x:v>82</x:v>
      </x:c>
      <x:c r="AA261" s="85" t="n">
        <x:v>64</x:v>
      </x:c>
      <x:c r="AB261" s="85" t="n">
        <x:v>65</x:v>
      </x:c>
      <x:c r="AC261" s="91" t="str">
        <x:v>2026 UCI WorldTeam名簿掲載</x:v>
      </x:c>
      <x:c r="AD261" s="91" t="str">
        <x:v>https://en.wikipedia.org/wiki/List_of_2026_UCI_WorldTeams_and_riders</x:v>
      </x:c>
      <x:c r="AE261" s="91" t="str">
        <x:v>能力・適性・Credit整合済</x:v>
      </x:c>
      <x:c r="AF261" s="91" t="str">
        <x:v>https://en.wikipedia.org/wiki/Alessandro_Covi</x:v>
      </x:c>
    </x:row>
    <x:row r="262" ht="26" customHeight="1">
      <x:c r="A262" s="82" t="n">
        <x:v>258</x:v>
      </x:c>
      <x:c r="B262" s="82" t="str">
        <x:v>Darren van Bekkum</x:v>
      </x:c>
      <x:c r="C262" s="143" t="str"/>
      <x:c r="D262" s="82" t="str">
        <x:v>オランダ</x:v>
      </x:c>
      <x:c r="E262" s="82" t="str">
        <x:v>XDS Astana Team</x:v>
      </x:c>
      <x:c r="F262" s="82" t="str">
        <x:v>2002-03-20</x:v>
      </x:c>
      <x:c r="G262" s="82" t="str">
        <x:v>現役確認済</x:v>
      </x:c>
      <x:c r="H262" s="82" t="str">
        <x:v>クライマー</x:v>
      </x:c>
      <x:c r="I262" s="82" t="str">
        <x:v>クラシック型</x:v>
      </x:c>
      <x:c r="J262" s="85" t="n">
        <x:v>66</x:v>
      </x:c>
      <x:c r="K262" s="85" t="n">
        <x:v>71</x:v>
      </x:c>
      <x:c r="L262" s="91" t="str">
        <x:v>山岳賞ハンター / 山岳アシスト / 山岳番手</x:v>
      </x:c>
      <x:c r="M262" s="88" t="n">
        <x:v>3250</x:v>
      </x:c>
      <x:c r="N262" s="85" t="n">
        <x:v>52</x:v>
      </x:c>
      <x:c r="O262" s="85" t="n">
        <x:v>59</x:v>
      </x:c>
      <x:c r="P262" s="85" t="n">
        <x:v>67</x:v>
      </x:c>
      <x:c r="Q262" s="85" t="n">
        <x:v>59</x:v>
      </x:c>
      <x:c r="R262" s="85" t="n">
        <x:v>75</x:v>
      </x:c>
      <x:c r="S262" s="85" t="n">
        <x:v>69</x:v>
      </x:c>
      <x:c r="T262" s="85" t="n">
        <x:v>68</x:v>
      </x:c>
      <x:c r="U262" s="85" t="n">
        <x:v>60</x:v>
      </x:c>
      <x:c r="V262" s="85" t="n">
        <x:v>65</x:v>
      </x:c>
      <x:c r="W262" s="85" t="n">
        <x:v>54</x:v>
      </x:c>
      <x:c r="X262" s="85" t="n">
        <x:v>71</x:v>
      </x:c>
      <x:c r="Y262" s="85" t="n">
        <x:v>72</x:v>
      </x:c>
      <x:c r="Z262" s="85" t="n">
        <x:v>69</x:v>
      </x:c>
      <x:c r="AA262" s="85" t="n">
        <x:v>63</x:v>
      </x:c>
      <x:c r="AB262" s="85" t="n">
        <x:v>69</x:v>
      </x:c>
      <x:c r="AC262" s="91" t="str">
        <x:v>2026 UCI WorldTeam名簿掲載</x:v>
      </x:c>
      <x:c r="AD262" s="91" t="str">
        <x:v>https://en.wikipedia.org/wiki/List_of_2026_UCI_WorldTeams_and_riders</x:v>
      </x:c>
      <x:c r="AE262" s="91" t="str">
        <x:v>能力・適性・Credit整合済</x:v>
      </x:c>
      <x:c r="AF262" s="91" t="str">
        <x:v>https://en.wikipedia.org/wiki/Darren_van_Bekkum</x:v>
      </x:c>
    </x:row>
    <x:row r="263" ht="26" customHeight="1">
      <x:c r="A263" s="82" t="n">
        <x:v>259</x:v>
      </x:c>
      <x:c r="B263" s="82" t="str">
        <x:v>Anton Kuzmin</x:v>
      </x:c>
      <x:c r="C263" s="143" t="str"/>
      <x:c r="D263" s="82" t="str">
        <x:v>カザフスタン</x:v>
      </x:c>
      <x:c r="E263" s="82" t="str">
        <x:v>XDS Astana Team</x:v>
      </x:c>
      <x:c r="F263" s="82" t="str">
        <x:v>1996-11-20</x:v>
      </x:c>
      <x:c r="G263" s="82" t="str">
        <x:v>現役確認済</x:v>
      </x:c>
      <x:c r="H263" s="82" t="str">
        <x:v>TT・ルーラー型</x:v>
      </x:c>
      <x:c r="I263" s="82" t="str">
        <x:v>総合型</x:v>
      </x:c>
      <x:c r="J263" s="85" t="n">
        <x:v>66</x:v>
      </x:c>
      <x:c r="K263" s="85" t="n">
        <x:v>73</x:v>
      </x:c>
      <x:c r="L263" s="91" t="str">
        <x:v>TT牽引 / 集団コントローラー / 横風分断</x:v>
      </x:c>
      <x:c r="M263" s="88" t="n">
        <x:v>3150</x:v>
      </x:c>
      <x:c r="N263" s="85" t="n">
        <x:v>58</x:v>
      </x:c>
      <x:c r="O263" s="85" t="n">
        <x:v>62</x:v>
      </x:c>
      <x:c r="P263" s="85" t="n">
        <x:v>59</x:v>
      </x:c>
      <x:c r="Q263" s="85" t="n">
        <x:v>75</x:v>
      </x:c>
      <x:c r="R263" s="85" t="n">
        <x:v>63</x:v>
      </x:c>
      <x:c r="S263" s="85" t="n">
        <x:v>68</x:v>
      </x:c>
      <x:c r="T263" s="85" t="n">
        <x:v>68</x:v>
      </x:c>
      <x:c r="U263" s="85" t="n">
        <x:v>72</x:v>
      </x:c>
      <x:c r="V263" s="85" t="n">
        <x:v>62</x:v>
      </x:c>
      <x:c r="W263" s="85" t="n">
        <x:v>53</x:v>
      </x:c>
      <x:c r="X263" s="85" t="n">
        <x:v>61</x:v>
      </x:c>
      <x:c r="Y263" s="85" t="n">
        <x:v>61</x:v>
      </x:c>
      <x:c r="Z263" s="85" t="n">
        <x:v>77</x:v>
      </x:c>
      <x:c r="AA263" s="85" t="n">
        <x:v>64</x:v>
      </x:c>
      <x:c r="AB263" s="85" t="n">
        <x:v>64</x:v>
      </x:c>
      <x:c r="AC263" s="91" t="str">
        <x:v>2026 UCI WorldTeam名簿掲載</x:v>
      </x:c>
      <x:c r="AD263" s="91" t="str">
        <x:v>https://en.wikipedia.org/wiki/List_of_2026_UCI_WorldTeams_and_riders</x:v>
      </x:c>
      <x:c r="AE263" s="91" t="str">
        <x:v>能力・適性・Credit整合済</x:v>
      </x:c>
      <x:c r="AF263" s="91" t="str">
        <x:v>https://en.wikipedia.org/wiki/Anton_Kuzmin</x:v>
      </x:c>
    </x:row>
    <x:row r="264" ht="26" customHeight="1">
      <x:c r="A264" s="82" t="n">
        <x:v>260</x:v>
      </x:c>
      <x:c r="B264" s="82" t="str">
        <x:v>Alessandro Borgo</x:v>
      </x:c>
      <x:c r="C264" s="143" t="str"/>
      <x:c r="D264" s="82" t="str">
        <x:v>イタリア</x:v>
      </x:c>
      <x:c r="E264" s="82" t="str">
        <x:v>Team Bahrain Victorious</x:v>
      </x:c>
      <x:c r="F264" s="82" t="str">
        <x:v>2005-02-06</x:v>
      </x:c>
      <x:c r="G264" s="82" t="str">
        <x:v>現役確認済</x:v>
      </x:c>
      <x:c r="H264" s="82" t="str">
        <x:v>TT・ルーラー型</x:v>
      </x:c>
      <x:c r="I264" s="82" t="str">
        <x:v>クラシック型</x:v>
      </x:c>
      <x:c r="J264" s="85" t="n">
        <x:v>66</x:v>
      </x:c>
      <x:c r="K264" s="85" t="n">
        <x:v>73</x:v>
      </x:c>
      <x:c r="L264" s="91" t="str">
        <x:v>TT牽引 / 集団コントローラー</x:v>
      </x:c>
      <x:c r="M264" s="88" t="n">
        <x:v>3100</x:v>
      </x:c>
      <x:c r="N264" s="85" t="n">
        <x:v>59</x:v>
      </x:c>
      <x:c r="O264" s="85" t="n">
        <x:v>61</x:v>
      </x:c>
      <x:c r="P264" s="85" t="n">
        <x:v>58</x:v>
      </x:c>
      <x:c r="Q264" s="85" t="n">
        <x:v>73</x:v>
      </x:c>
      <x:c r="R264" s="85" t="n">
        <x:v>63</x:v>
      </x:c>
      <x:c r="S264" s="85" t="n">
        <x:v>70</x:v>
      </x:c>
      <x:c r="T264" s="85" t="n">
        <x:v>69</x:v>
      </x:c>
      <x:c r="U264" s="85" t="n">
        <x:v>70</x:v>
      </x:c>
      <x:c r="V264" s="85" t="n">
        <x:v>64</x:v>
      </x:c>
      <x:c r="W264" s="85" t="n">
        <x:v>54</x:v>
      </x:c>
      <x:c r="X264" s="85" t="n">
        <x:v>63</x:v>
      </x:c>
      <x:c r="Y264" s="85" t="n">
        <x:v>61</x:v>
      </x:c>
      <x:c r="Z264" s="85" t="n">
        <x:v>74</x:v>
      </x:c>
      <x:c r="AA264" s="85" t="n">
        <x:v>59</x:v>
      </x:c>
      <x:c r="AB264" s="85" t="n">
        <x:v>63</x:v>
      </x:c>
      <x:c r="AC264" s="91" t="str">
        <x:v>2026 UCI WorldTeam名簿掲載</x:v>
      </x:c>
      <x:c r="AD264" s="91" t="str">
        <x:v>https://en.wikipedia.org/wiki/List_of_2026_UCI_WorldTeams_and_riders</x:v>
      </x:c>
      <x:c r="AE264" s="91" t="str">
        <x:v>能力・適性・Credit整合済</x:v>
      </x:c>
      <x:c r="AF264" s="91" t="str">
        <x:v>https://en.wikipedia.org/wiki/Alessandro_Borgo</x:v>
      </x:c>
    </x:row>
    <x:row r="265" ht="26" customHeight="1">
      <x:c r="A265" s="82" t="n">
        <x:v>261</x:v>
      </x:c>
      <x:c r="B265" s="82" t="str">
        <x:v>Luke Plapp</x:v>
      </x:c>
      <x:c r="C265" s="143" t="str"/>
      <x:c r="D265" s="82" t="str">
        <x:v>オーストラリア</x:v>
      </x:c>
      <x:c r="E265" s="82" t="str">
        <x:v>Team Jayco–AlUla</x:v>
      </x:c>
      <x:c r="F265" s="82" t="str">
        <x:v>2000-12-25</x:v>
      </x:c>
      <x:c r="G265" s="82" t="str">
        <x:v>現役確認済</x:v>
      </x:c>
      <x:c r="H265" s="82" t="str">
        <x:v>TT・ルーラー型</x:v>
      </x:c>
      <x:c r="I265" s="82" t="str">
        <x:v>総合型</x:v>
      </x:c>
      <x:c r="J265" s="85" t="n">
        <x:v>65</x:v>
      </x:c>
      <x:c r="K265" s="85" t="n">
        <x:v>79</x:v>
      </x:c>
      <x:c r="L265" s="91" t="str">
        <x:v>ロードキャプテン / 平坦アシスト / TT牽引 / 集団コントローラー</x:v>
      </x:c>
      <x:c r="M265" s="88" t="n">
        <x:v>3650</x:v>
      </x:c>
      <x:c r="N265" s="85" t="n">
        <x:v>64</x:v>
      </x:c>
      <x:c r="O265" s="85" t="n">
        <x:v>63</x:v>
      </x:c>
      <x:c r="P265" s="85" t="n">
        <x:v>65</x:v>
      </x:c>
      <x:c r="Q265" s="85" t="n">
        <x:v>78</x:v>
      </x:c>
      <x:c r="R265" s="85" t="n">
        <x:v>70</x:v>
      </x:c>
      <x:c r="S265" s="85" t="n">
        <x:v>70</x:v>
      </x:c>
      <x:c r="T265" s="85" t="n">
        <x:v>70</x:v>
      </x:c>
      <x:c r="U265" s="85" t="n">
        <x:v>72</x:v>
      </x:c>
      <x:c r="V265" s="85" t="n">
        <x:v>67</x:v>
      </x:c>
      <x:c r="W265" s="85" t="n">
        <x:v>50</x:v>
      </x:c>
      <x:c r="X265" s="85" t="n">
        <x:v>68</x:v>
      </x:c>
      <x:c r="Y265" s="85" t="n">
        <x:v>68</x:v>
      </x:c>
      <x:c r="Z265" s="85" t="n">
        <x:v>77</x:v>
      </x:c>
      <x:c r="AA265" s="85" t="n">
        <x:v>63</x:v>
      </x:c>
      <x:c r="AB265" s="85" t="n">
        <x:v>64</x:v>
      </x:c>
      <x:c r="AC265" s="91" t="str">
        <x:v>2026 UCI WorldTeam名簿掲載</x:v>
      </x:c>
      <x:c r="AD265" s="91" t="str">
        <x:v>https://en.wikipedia.org/wiki/List_of_2026_UCI_WorldTeams_and_riders</x:v>
      </x:c>
      <x:c r="AE265" s="91" t="str">
        <x:v>能力・適性・Credit整合済</x:v>
      </x:c>
      <x:c r="AF265" s="91" t="str">
        <x:v>https://en.wikipedia.org/wiki/Special:Search?search=Luke%20Plapp%20cyclist</x:v>
      </x:c>
    </x:row>
    <x:row r="266" ht="26" customHeight="1">
      <x:c r="A266" s="82" t="n">
        <x:v>262</x:v>
      </x:c>
      <x:c r="B266" s="82" t="str">
        <x:v>Adam Yates</x:v>
      </x:c>
      <x:c r="C266" s="143" t="str"/>
      <x:c r="D266" s="82" t="str">
        <x:v>イギリス</x:v>
      </x:c>
      <x:c r="E266" s="82" t="str">
        <x:v>UAE Team Emirates XRG</x:v>
      </x:c>
      <x:c r="F266" s="82" t="str">
        <x:v>1992-08-07</x:v>
      </x:c>
      <x:c r="G266" s="82" t="str">
        <x:v>現役確認済</x:v>
      </x:c>
      <x:c r="H266" s="82" t="str">
        <x:v>クライマー</x:v>
      </x:c>
      <x:c r="I266" s="82" t="str">
        <x:v>総合型</x:v>
      </x:c>
      <x:c r="J266" s="85" t="n">
        <x:v>65</x:v>
      </x:c>
      <x:c r="K266" s="85" t="n">
        <x:v>76</x:v>
      </x:c>
      <x:c r="L266" s="91" t="str">
        <x:v>山岳賞ハンター / 山岳アシスト / 集団コントローラー</x:v>
      </x:c>
      <x:c r="M266" s="88" t="n">
        <x:v>3600</x:v>
      </x:c>
      <x:c r="N266" s="85" t="n">
        <x:v>56</x:v>
      </x:c>
      <x:c r="O266" s="85" t="n">
        <x:v>67</x:v>
      </x:c>
      <x:c r="P266" s="85" t="n">
        <x:v>69</x:v>
      </x:c>
      <x:c r="Q266" s="85" t="n">
        <x:v>65</x:v>
      </x:c>
      <x:c r="R266" s="85" t="n">
        <x:v>75</x:v>
      </x:c>
      <x:c r="S266" s="85" t="n">
        <x:v>70</x:v>
      </x:c>
      <x:c r="T266" s="85" t="n">
        <x:v>69</x:v>
      </x:c>
      <x:c r="U266" s="85" t="n">
        <x:v>63</x:v>
      </x:c>
      <x:c r="V266" s="85" t="n">
        <x:v>65</x:v>
      </x:c>
      <x:c r="W266" s="85" t="n">
        <x:v>50</x:v>
      </x:c>
      <x:c r="X266" s="85" t="n">
        <x:v>75</x:v>
      </x:c>
      <x:c r="Y266" s="85" t="n">
        <x:v>75</x:v>
      </x:c>
      <x:c r="Z266" s="85" t="n">
        <x:v>72</x:v>
      </x:c>
      <x:c r="AA266" s="85" t="n">
        <x:v>65</x:v>
      </x:c>
      <x:c r="AB266" s="85" t="n">
        <x:v>70</x:v>
      </x:c>
      <x:c r="AC266" s="91" t="str">
        <x:v>2026 UCI WorldTeam名簿掲載</x:v>
      </x:c>
      <x:c r="AD266" s="91" t="str">
        <x:v>https://en.wikipedia.org/wiki/List_of_2026_UCI_WorldTeams_and_riders</x:v>
      </x:c>
      <x:c r="AE266" s="91" t="str">
        <x:v>能力・適性・Credit整合済</x:v>
      </x:c>
      <x:c r="AF266" s="91" t="str">
        <x:v>https://en.wikipedia.org/wiki/Special:Search?search=Adam%20Yates%20cyclist</x:v>
      </x:c>
    </x:row>
    <x:row r="267" ht="26" customHeight="1">
      <x:c r="A267" s="82" t="n">
        <x:v>263</x:v>
      </x:c>
      <x:c r="B267" s="82" t="str">
        <x:v>Anders Halland Johannessen</x:v>
      </x:c>
      <x:c r="C267" s="143" t="str"/>
      <x:c r="D267" s="82" t="str">
        <x:v>ノルウェー</x:v>
      </x:c>
      <x:c r="E267" s="82" t="str">
        <x:v>Uno-X Mobility</x:v>
      </x:c>
      <x:c r="F267" s="82" t="str">
        <x:v>1999-08-23</x:v>
      </x:c>
      <x:c r="G267" s="82" t="str">
        <x:v>現役確認済</x:v>
      </x:c>
      <x:c r="H267" s="82" t="str">
        <x:v>TT・ルーラー型</x:v>
      </x:c>
      <x:c r="I267" s="82" t="str">
        <x:v>クラシック型</x:v>
      </x:c>
      <x:c r="J267" s="85" t="n">
        <x:v>65</x:v>
      </x:c>
      <x:c r="K267" s="85" t="n">
        <x:v>72</x:v>
      </x:c>
      <x:c r="L267" s="91" t="str">
        <x:v>平坦ペースメーカー / 集団コントローラー</x:v>
      </x:c>
      <x:c r="M267" s="88" t="n">
        <x:v>2950</x:v>
      </x:c>
      <x:c r="N267" s="85" t="n">
        <x:v>58</x:v>
      </x:c>
      <x:c r="O267" s="85" t="n">
        <x:v>58</x:v>
      </x:c>
      <x:c r="P267" s="85" t="n">
        <x:v>61</x:v>
      </x:c>
      <x:c r="Q267" s="85" t="n">
        <x:v>73</x:v>
      </x:c>
      <x:c r="R267" s="85" t="n">
        <x:v>64</x:v>
      </x:c>
      <x:c r="S267" s="85" t="n">
        <x:v>68</x:v>
      </x:c>
      <x:c r="T267" s="85" t="n">
        <x:v>72</x:v>
      </x:c>
      <x:c r="U267" s="85" t="n">
        <x:v>71</x:v>
      </x:c>
      <x:c r="V267" s="85" t="n">
        <x:v>59</x:v>
      </x:c>
      <x:c r="W267" s="85" t="n">
        <x:v>51</x:v>
      </x:c>
      <x:c r="X267" s="85" t="n">
        <x:v>63</x:v>
      </x:c>
      <x:c r="Y267" s="85" t="n">
        <x:v>60</x:v>
      </x:c>
      <x:c r="Z267" s="85" t="n">
        <x:v>72</x:v>
      </x:c>
      <x:c r="AA267" s="85" t="n">
        <x:v>61</x:v>
      </x:c>
      <x:c r="AB267" s="85" t="n">
        <x:v>60</x:v>
      </x:c>
      <x:c r="AC267" s="91" t="str">
        <x:v>2026 UCI WorldTeam名簿掲載</x:v>
      </x:c>
      <x:c r="AD267" s="91" t="str">
        <x:v>https://en.wikipedia.org/wiki/List_of_2026_UCI_WorldTeams_and_riders</x:v>
      </x:c>
      <x:c r="AE267" s="91" t="str">
        <x:v>能力・適性・Credit整合済</x:v>
      </x:c>
      <x:c r="AF267" s="91" t="str">
        <x:v>https://en.wikipedia.org/wiki/Anders_Halland_Johannessen</x:v>
      </x:c>
    </x:row>
    <x:row r="268" ht="26" customHeight="1">
      <x:c r="A268" s="82" t="n">
        <x:v>264</x:v>
      </x:c>
      <x:c r="B268" s="82" t="str">
        <x:v>Tobias Foss</x:v>
      </x:c>
      <x:c r="C268" s="143" t="str">
        <x:v>北欧のクロノ王</x:v>
      </x:c>
      <x:c r="D268" s="82" t="str">
        <x:v>ノルウェー</x:v>
      </x:c>
      <x:c r="E268" s="82" t="str">
        <x:v>Netcompany INEOS Cycling Team</x:v>
      </x:c>
      <x:c r="F268" s="82" t="str">
        <x:v>1997-05-25</x:v>
      </x:c>
      <x:c r="G268" s="82" t="str">
        <x:v>現役確認済</x:v>
      </x:c>
      <x:c r="H268" s="82" t="str">
        <x:v>TT・ルーラー型</x:v>
      </x:c>
      <x:c r="I268" s="82" t="str">
        <x:v>総合型</x:v>
      </x:c>
      <x:c r="J268" s="85" t="n">
        <x:v>64</x:v>
      </x:c>
      <x:c r="K268" s="85" t="n">
        <x:v>80</x:v>
      </x:c>
      <x:c r="L268" s="91" t="str">
        <x:v>ロードキャプテン / TTスペシャリスト / 平坦アシスト / 集団コントローラー / ブレイクアウェイキラー / トラブル復帰牽引</x:v>
      </x:c>
      <x:c r="M268" s="88" t="n">
        <x:v>4950</x:v>
      </x:c>
      <x:c r="N268" s="85" t="n">
        <x:v>64</x:v>
      </x:c>
      <x:c r="O268" s="85" t="n">
        <x:v>62</x:v>
      </x:c>
      <x:c r="P268" s="85" t="n">
        <x:v>64</x:v>
      </x:c>
      <x:c r="Q268" s="85" t="n">
        <x:v>78</x:v>
      </x:c>
      <x:c r="R268" s="85" t="n">
        <x:v>69</x:v>
      </x:c>
      <x:c r="S268" s="85" t="n">
        <x:v>70</x:v>
      </x:c>
      <x:c r="T268" s="85" t="n">
        <x:v>70</x:v>
      </x:c>
      <x:c r="U268" s="85" t="n">
        <x:v>72</x:v>
      </x:c>
      <x:c r="V268" s="85" t="n">
        <x:v>66</x:v>
      </x:c>
      <x:c r="W268" s="85" t="n">
        <x:v>50</x:v>
      </x:c>
      <x:c r="X268" s="85" t="n">
        <x:v>67</x:v>
      </x:c>
      <x:c r="Y268" s="85" t="n">
        <x:v>67</x:v>
      </x:c>
      <x:c r="Z268" s="85" t="n">
        <x:v>78</x:v>
      </x:c>
      <x:c r="AA268" s="85" t="n">
        <x:v>62</x:v>
      </x:c>
      <x:c r="AB268" s="85" t="n">
        <x:v>63</x:v>
      </x:c>
      <x:c r="AC268" s="91" t="str">
        <x:v>2026 UCI WorldTeam名簿掲載</x:v>
      </x:c>
      <x:c r="AD268" s="91" t="str">
        <x:v>https://en.wikipedia.org/wiki/List_of_2026_UCI_WorldTeams_and_riders</x:v>
      </x:c>
      <x:c r="AE268" s="91" t="str">
        <x:v>能力・適性・Credit整合済</x:v>
      </x:c>
      <x:c r="AF268" s="91" t="str">
        <x:v>https://en.wikipedia.org/wiki/Special:Search?search=Tobias%20Foss%20cyclist</x:v>
      </x:c>
    </x:row>
    <x:row r="269" ht="26" customHeight="1">
      <x:c r="A269" s="82" t="n">
        <x:v>265</x:v>
      </x:c>
      <x:c r="B269" s="82" t="str">
        <x:v>Damiano Caruso</x:v>
      </x:c>
      <x:c r="C269" s="143" t="str"/>
      <x:c r="D269" s="82" t="str">
        <x:v>イタリア</x:v>
      </x:c>
      <x:c r="E269" s="82" t="str">
        <x:v>Team Bahrain Victorious</x:v>
      </x:c>
      <x:c r="F269" s="82" t="str">
        <x:v>1987-10-12</x:v>
      </x:c>
      <x:c r="G269" s="82" t="str">
        <x:v>現役確認済</x:v>
      </x:c>
      <x:c r="H269" s="82" t="str">
        <x:v>クライマー</x:v>
      </x:c>
      <x:c r="I269" s="82" t="str">
        <x:v>総合型</x:v>
      </x:c>
      <x:c r="J269" s="85" t="n">
        <x:v>64</x:v>
      </x:c>
      <x:c r="K269" s="85" t="n">
        <x:v>76</x:v>
      </x:c>
      <x:c r="L269" s="91" t="str">
        <x:v>山岳賞ハンター / 山岳アシスト / 集団コントローラー</x:v>
      </x:c>
      <x:c r="M269" s="88" t="n">
        <x:v>3550</x:v>
      </x:c>
      <x:c r="N269" s="85" t="n">
        <x:v>56</x:v>
      </x:c>
      <x:c r="O269" s="85" t="n">
        <x:v>67</x:v>
      </x:c>
      <x:c r="P269" s="85" t="n">
        <x:v>69</x:v>
      </x:c>
      <x:c r="Q269" s="85" t="n">
        <x:v>65</x:v>
      </x:c>
      <x:c r="R269" s="85" t="n">
        <x:v>75</x:v>
      </x:c>
      <x:c r="S269" s="85" t="n">
        <x:v>70</x:v>
      </x:c>
      <x:c r="T269" s="85" t="n">
        <x:v>69</x:v>
      </x:c>
      <x:c r="U269" s="85" t="n">
        <x:v>63</x:v>
      </x:c>
      <x:c r="V269" s="85" t="n">
        <x:v>63</x:v>
      </x:c>
      <x:c r="W269" s="85" t="n">
        <x:v>50</x:v>
      </x:c>
      <x:c r="X269" s="85" t="n">
        <x:v>75</x:v>
      </x:c>
      <x:c r="Y269" s="85" t="n">
        <x:v>75</x:v>
      </x:c>
      <x:c r="Z269" s="85" t="n">
        <x:v>72</x:v>
      </x:c>
      <x:c r="AA269" s="85" t="n">
        <x:v>64</x:v>
      </x:c>
      <x:c r="AB269" s="85" t="n">
        <x:v>70</x:v>
      </x:c>
      <x:c r="AC269" s="91" t="str">
        <x:v>2026 UCI WorldTeam名簿掲載</x:v>
      </x:c>
      <x:c r="AD269" s="91" t="str">
        <x:v>https://en.wikipedia.org/wiki/List_of_2026_UCI_WorldTeams_and_riders</x:v>
      </x:c>
      <x:c r="AE269" s="91" t="str">
        <x:v>能力・適性・Credit整合済</x:v>
      </x:c>
      <x:c r="AF269" s="91" t="str">
        <x:v>https://en.wikipedia.org/wiki/Special:Search?search=Damiano%20Caruso%20cyclist</x:v>
      </x:c>
    </x:row>
    <x:row r="270" ht="26" customHeight="1">
      <x:c r="A270" s="82" t="n">
        <x:v>266</x:v>
      </x:c>
      <x:c r="B270" s="82" t="str">
        <x:v>Carlos Verona</x:v>
      </x:c>
      <x:c r="C270" s="143" t="str"/>
      <x:c r="D270" s="82" t="str">
        <x:v>スペイン</x:v>
      </x:c>
      <x:c r="E270" s="82" t="str">
        <x:v>Lidl–Trek</x:v>
      </x:c>
      <x:c r="F270" s="82" t="str">
        <x:v>1992-11-04</x:v>
      </x:c>
      <x:c r="G270" s="82" t="str">
        <x:v>現役確認済</x:v>
      </x:c>
      <x:c r="H270" s="82" t="str">
        <x:v>クライマー</x:v>
      </x:c>
      <x:c r="I270" s="82" t="str">
        <x:v>総合型</x:v>
      </x:c>
      <x:c r="J270" s="85" t="n">
        <x:v>64</x:v>
      </x:c>
      <x:c r="K270" s="85" t="n">
        <x:v>75</x:v>
      </x:c>
      <x:c r="L270" s="91" t="str">
        <x:v>山岳賞ハンター / 山岳アシスト / 山岳番手 / 集団コントローラー</x:v>
      </x:c>
      <x:c r="M270" s="88" t="n">
        <x:v>3350</x:v>
      </x:c>
      <x:c r="N270" s="85" t="n">
        <x:v>56</x:v>
      </x:c>
      <x:c r="O270" s="85" t="n">
        <x:v>66</x:v>
      </x:c>
      <x:c r="P270" s="85" t="n">
        <x:v>69</x:v>
      </x:c>
      <x:c r="Q270" s="85" t="n">
        <x:v>64</x:v>
      </x:c>
      <x:c r="R270" s="85" t="n">
        <x:v>74</x:v>
      </x:c>
      <x:c r="S270" s="85" t="n">
        <x:v>69</x:v>
      </x:c>
      <x:c r="T270" s="85" t="n">
        <x:v>69</x:v>
      </x:c>
      <x:c r="U270" s="85" t="n">
        <x:v>63</x:v>
      </x:c>
      <x:c r="V270" s="85" t="n">
        <x:v>63</x:v>
      </x:c>
      <x:c r="W270" s="85" t="n">
        <x:v>50</x:v>
      </x:c>
      <x:c r="X270" s="85" t="n">
        <x:v>75</x:v>
      </x:c>
      <x:c r="Y270" s="85" t="n">
        <x:v>75</x:v>
      </x:c>
      <x:c r="Z270" s="85" t="n">
        <x:v>71</x:v>
      </x:c>
      <x:c r="AA270" s="85" t="n">
        <x:v>64</x:v>
      </x:c>
      <x:c r="AB270" s="85" t="n">
        <x:v>70</x:v>
      </x:c>
      <x:c r="AC270" s="91" t="str">
        <x:v>2026 UCI WorldTeam名簿掲載</x:v>
      </x:c>
      <x:c r="AD270" s="91" t="str">
        <x:v>https://en.wikipedia.org/wiki/List_of_2026_UCI_WorldTeams_and_riders</x:v>
      </x:c>
      <x:c r="AE270" s="91" t="str">
        <x:v>能力・適性・Credit整合済</x:v>
      </x:c>
      <x:c r="AF270" s="91" t="str">
        <x:v>https://en.wikipedia.org/wiki/Special:Search?search=Carlos%20Verona%20cyclist</x:v>
      </x:c>
    </x:row>
    <x:row r="271" ht="26" customHeight="1">
      <x:c r="A271" s="82" t="n">
        <x:v>267</x:v>
      </x:c>
      <x:c r="B271" s="82" t="str">
        <x:v>Mike Teunissen</x:v>
      </x:c>
      <x:c r="C271" s="143" t="str"/>
      <x:c r="D271" s="82" t="str">
        <x:v>オランダ</x:v>
      </x:c>
      <x:c r="E271" s="82" t="str">
        <x:v>XDS Astana Team</x:v>
      </x:c>
      <x:c r="F271" s="82" t="str">
        <x:v>1992-08-25</x:v>
      </x:c>
      <x:c r="G271" s="82" t="str">
        <x:v>現役確認済</x:v>
      </x:c>
      <x:c r="H271" s="82" t="str">
        <x:v>スプリンター</x:v>
      </x:c>
      <x:c r="I271" s="82" t="str">
        <x:v>TT・ルーラー型</x:v>
      </x:c>
      <x:c r="J271" s="85" t="n">
        <x:v>64</x:v>
      </x:c>
      <x:c r="K271" s="85" t="n">
        <x:v>75</x:v>
      </x:c>
      <x:c r="L271" s="91" t="str">
        <x:v>リードアウト / 最終発射台 / スプリントトレイン</x:v>
      </x:c>
      <x:c r="M271" s="88" t="n">
        <x:v>3300</x:v>
      </x:c>
      <x:c r="N271" s="85" t="n">
        <x:v>79</x:v>
      </x:c>
      <x:c r="O271" s="85" t="n">
        <x:v>76</x:v>
      </x:c>
      <x:c r="P271" s="85" t="n">
        <x:v>65</x:v>
      </x:c>
      <x:c r="Q271" s="85" t="n">
        <x:v>71</x:v>
      </x:c>
      <x:c r="R271" s="85" t="n">
        <x:v>58</x:v>
      </x:c>
      <x:c r="S271" s="85" t="n">
        <x:v>63</x:v>
      </x:c>
      <x:c r="T271" s="85" t="n">
        <x:v>62</x:v>
      </x:c>
      <x:c r="U271" s="85" t="n">
        <x:v>66</x:v>
      </x:c>
      <x:c r="V271" s="85" t="n">
        <x:v>67</x:v>
      </x:c>
      <x:c r="W271" s="85" t="n">
        <x:v>77</x:v>
      </x:c>
      <x:c r="X271" s="85" t="n">
        <x:v>65</x:v>
      </x:c>
      <x:c r="Y271" s="85" t="n">
        <x:v>65</x:v>
      </x:c>
      <x:c r="Z271" s="85" t="n">
        <x:v>69</x:v>
      </x:c>
      <x:c r="AA271" s="85" t="n">
        <x:v>70</x:v>
      </x:c>
      <x:c r="AB271" s="85" t="n">
        <x:v>63</x:v>
      </x:c>
      <x:c r="AC271" s="91" t="str">
        <x:v>2026 UCI WorldTeam名簿掲載</x:v>
      </x:c>
      <x:c r="AD271" s="91" t="str">
        <x:v>https://en.wikipedia.org/wiki/List_of_2026_UCI_WorldTeams_and_riders</x:v>
      </x:c>
      <x:c r="AE271" s="91" t="str">
        <x:v>能力・適性・Credit整合済</x:v>
      </x:c>
      <x:c r="AF271" s="91" t="str">
        <x:v>https://en.wikipedia.org/wiki/Special:Search?search=Mike%20Teunissen%20cyclist</x:v>
      </x:c>
    </x:row>
    <x:row r="272" ht="26" customHeight="1">
      <x:c r="A272" s="82" t="n">
        <x:v>268</x:v>
      </x:c>
      <x:c r="B272" s="82" t="str">
        <x:v>Baptiste Veistroffer</x:v>
      </x:c>
      <x:c r="C272" s="143" t="str"/>
      <x:c r="D272" s="82" t="str">
        <x:v>フランス</x:v>
      </x:c>
      <x:c r="E272" s="82" t="str">
        <x:v>Lotto–Intermarché</x:v>
      </x:c>
      <x:c r="F272" s="82" t="str">
        <x:v>2000-05-29</x:v>
      </x:c>
      <x:c r="G272" s="82" t="str">
        <x:v>現役確認済</x:v>
      </x:c>
      <x:c r="H272" s="82" t="str">
        <x:v>TT・ルーラー型</x:v>
      </x:c>
      <x:c r="I272" s="82" t="str">
        <x:v>クラシック型</x:v>
      </x:c>
      <x:c r="J272" s="85" t="n">
        <x:v>64</x:v>
      </x:c>
      <x:c r="K272" s="85" t="n">
        <x:v>73</x:v>
      </x:c>
      <x:c r="L272" s="91" t="str">
        <x:v>ロードキャプテン / TT牽引 / 横風分断</x:v>
      </x:c>
      <x:c r="M272" s="88" t="n">
        <x:v>2950</x:v>
      </x:c>
      <x:c r="N272" s="85" t="n">
        <x:v>60</x:v>
      </x:c>
      <x:c r="O272" s="85" t="n">
        <x:v>57</x:v>
      </x:c>
      <x:c r="P272" s="85" t="n">
        <x:v>62</x:v>
      </x:c>
      <x:c r="Q272" s="85" t="n">
        <x:v>74</x:v>
      </x:c>
      <x:c r="R272" s="85" t="n">
        <x:v>67</x:v>
      </x:c>
      <x:c r="S272" s="85" t="n">
        <x:v>68</x:v>
      </x:c>
      <x:c r="T272" s="85" t="n">
        <x:v>66</x:v>
      </x:c>
      <x:c r="U272" s="85" t="n">
        <x:v>70</x:v>
      </x:c>
      <x:c r="V272" s="85" t="n">
        <x:v>61</x:v>
      </x:c>
      <x:c r="W272" s="85" t="n">
        <x:v>54</x:v>
      </x:c>
      <x:c r="X272" s="85" t="n">
        <x:v>66</x:v>
      </x:c>
      <x:c r="Y272" s="85" t="n">
        <x:v>63</x:v>
      </x:c>
      <x:c r="Z272" s="85" t="n">
        <x:v>74</x:v>
      </x:c>
      <x:c r="AA272" s="85" t="n">
        <x:v>63</x:v>
      </x:c>
      <x:c r="AB272" s="85" t="n">
        <x:v>63</x:v>
      </x:c>
      <x:c r="AC272" s="91" t="str">
        <x:v>2026 UCI WorldTeam名簿掲載</x:v>
      </x:c>
      <x:c r="AD272" s="91" t="str">
        <x:v>https://en.wikipedia.org/wiki/List_of_2026_UCI_WorldTeams_and_riders</x:v>
      </x:c>
      <x:c r="AE272" s="91" t="str">
        <x:v>能力・適性・Credit整合済</x:v>
      </x:c>
      <x:c r="AF272" s="91" t="str">
        <x:v>https://en.wikipedia.org/wiki/Baptiste_Veistroffer</x:v>
      </x:c>
    </x:row>
    <x:row r="273" ht="26" customHeight="1">
      <x:c r="A273" s="82" t="n">
        <x:v>269</x:v>
      </x:c>
      <x:c r="B273" s="82" t="str">
        <x:v>Bob Jungels</x:v>
      </x:c>
      <x:c r="C273" s="143" t="str"/>
      <x:c r="D273" s="82" t="str">
        <x:v>ルクセンブルク</x:v>
      </x:c>
      <x:c r="E273" s="82" t="str">
        <x:v>Netcompany INEOS Cycling Team</x:v>
      </x:c>
      <x:c r="F273" s="82" t="str">
        <x:v>1992-09-22</x:v>
      </x:c>
      <x:c r="G273" s="82" t="str">
        <x:v>現役確認済</x:v>
      </x:c>
      <x:c r="H273" s="82" t="str">
        <x:v>TT・ルーラー型</x:v>
      </x:c>
      <x:c r="I273" s="82" t="str">
        <x:v>総合型</x:v>
      </x:c>
      <x:c r="J273" s="85" t="n">
        <x:v>63</x:v>
      </x:c>
      <x:c r="K273" s="85" t="n">
        <x:v>80</x:v>
      </x:c>
      <x:c r="L273" s="91" t="str">
        <x:v>ロードキャプテン / 平坦アシスト / 平坦ペースメーカー / TT牽引 / 集団コントローラー</x:v>
      </x:c>
      <x:c r="M273" s="88" t="n">
        <x:v>3450</x:v>
      </x:c>
      <x:c r="N273" s="85" t="n">
        <x:v>64</x:v>
      </x:c>
      <x:c r="O273" s="85" t="n">
        <x:v>63</x:v>
      </x:c>
      <x:c r="P273" s="85" t="n">
        <x:v>66</x:v>
      </x:c>
      <x:c r="Q273" s="85" t="n">
        <x:v>77</x:v>
      </x:c>
      <x:c r="R273" s="85" t="n">
        <x:v>70</x:v>
      </x:c>
      <x:c r="S273" s="85" t="n">
        <x:v>70</x:v>
      </x:c>
      <x:c r="T273" s="85" t="n">
        <x:v>70</x:v>
      </x:c>
      <x:c r="U273" s="85" t="n">
        <x:v>72</x:v>
      </x:c>
      <x:c r="V273" s="85" t="n">
        <x:v>66</x:v>
      </x:c>
      <x:c r="W273" s="85" t="n">
        <x:v>50</x:v>
      </x:c>
      <x:c r="X273" s="85" t="n">
        <x:v>68</x:v>
      </x:c>
      <x:c r="Y273" s="85" t="n">
        <x:v>68</x:v>
      </x:c>
      <x:c r="Z273" s="85" t="n">
        <x:v>78</x:v>
      </x:c>
      <x:c r="AA273" s="85" t="n">
        <x:v>62</x:v>
      </x:c>
      <x:c r="AB273" s="85" t="n">
        <x:v>65</x:v>
      </x:c>
      <x:c r="AC273" s="91" t="str">
        <x:v>2026 UCI WorldTeam名簿掲載</x:v>
      </x:c>
      <x:c r="AD273" s="91" t="str">
        <x:v>https://en.wikipedia.org/wiki/List_of_2026_UCI_WorldTeams_and_riders</x:v>
      </x:c>
      <x:c r="AE273" s="91" t="str">
        <x:v>能力・適性・Credit整合済</x:v>
      </x:c>
      <x:c r="AF273" s="91" t="str">
        <x:v>https://en.wikipedia.org/wiki/Special:Search?search=Bob%20Jungels%20cyclist</x:v>
      </x:c>
    </x:row>
    <x:row r="274" ht="26" customHeight="1">
      <x:c r="A274" s="82" t="n">
        <x:v>270</x:v>
      </x:c>
      <x:c r="B274" s="82" t="str">
        <x:v>Santiago Buitrago</x:v>
      </x:c>
      <x:c r="C274" s="143" t="str"/>
      <x:c r="D274" s="82" t="str">
        <x:v>コロンビア</x:v>
      </x:c>
      <x:c r="E274" s="82" t="str">
        <x:v>Team Bahrain Victorious</x:v>
      </x:c>
      <x:c r="F274" s="82" t="str">
        <x:v>1999-09-26</x:v>
      </x:c>
      <x:c r="G274" s="82" t="str">
        <x:v>現役確認済</x:v>
      </x:c>
      <x:c r="H274" s="82" t="str">
        <x:v>クライマー</x:v>
      </x:c>
      <x:c r="I274" s="82" t="str">
        <x:v>総合型</x:v>
      </x:c>
      <x:c r="J274" s="85" t="n">
        <x:v>63</x:v>
      </x:c>
      <x:c r="K274" s="85" t="n">
        <x:v>77</x:v>
      </x:c>
      <x:c r="L274" s="91" t="str">
        <x:v>山岳賞ハンター / 山岳アシスト / 山岳ペースメーカー / 集団コントローラー</x:v>
      </x:c>
      <x:c r="M274" s="88" t="n">
        <x:v>3450</x:v>
      </x:c>
      <x:c r="N274" s="85" t="n">
        <x:v>56</x:v>
      </x:c>
      <x:c r="O274" s="85" t="n">
        <x:v>67</x:v>
      </x:c>
      <x:c r="P274" s="85" t="n">
        <x:v>69</x:v>
      </x:c>
      <x:c r="Q274" s="85" t="n">
        <x:v>65</x:v>
      </x:c>
      <x:c r="R274" s="85" t="n">
        <x:v>75</x:v>
      </x:c>
      <x:c r="S274" s="85" t="n">
        <x:v>70</x:v>
      </x:c>
      <x:c r="T274" s="85" t="n">
        <x:v>69</x:v>
      </x:c>
      <x:c r="U274" s="85" t="n">
        <x:v>63</x:v>
      </x:c>
      <x:c r="V274" s="85" t="n">
        <x:v>64</x:v>
      </x:c>
      <x:c r="W274" s="85" t="n">
        <x:v>50</x:v>
      </x:c>
      <x:c r="X274" s="85" t="n">
        <x:v>75</x:v>
      </x:c>
      <x:c r="Y274" s="85" t="n">
        <x:v>75</x:v>
      </x:c>
      <x:c r="Z274" s="85" t="n">
        <x:v>73</x:v>
      </x:c>
      <x:c r="AA274" s="85" t="n">
        <x:v>64</x:v>
      </x:c>
      <x:c r="AB274" s="85" t="n">
        <x:v>70</x:v>
      </x:c>
      <x:c r="AC274" s="91" t="str">
        <x:v>2026 UCI WorldTeam名簿掲載</x:v>
      </x:c>
      <x:c r="AD274" s="91" t="str">
        <x:v>https://en.wikipedia.org/wiki/List_of_2026_UCI_WorldTeams_and_riders</x:v>
      </x:c>
      <x:c r="AE274" s="91" t="str">
        <x:v>能力・適性・Credit整合済</x:v>
      </x:c>
      <x:c r="AF274" s="91" t="str">
        <x:v>https://en.wikipedia.org/wiki/Special:Search?search=Santiago%20Buitrago%20cyclist</x:v>
      </x:c>
    </x:row>
    <x:row r="275" ht="26" customHeight="1">
      <x:c r="A275" s="82" t="n">
        <x:v>271</x:v>
      </x:c>
      <x:c r="B275" s="82" t="str">
        <x:v>Wilco Kelderman</x:v>
      </x:c>
      <x:c r="C275" s="143" t="str"/>
      <x:c r="D275" s="82" t="str">
        <x:v>オランダ</x:v>
      </x:c>
      <x:c r="E275" s="82" t="str">
        <x:v>Visma–Lease a Bike</x:v>
      </x:c>
      <x:c r="F275" s="82" t="str">
        <x:v>1991-03-25</x:v>
      </x:c>
      <x:c r="G275" s="82" t="str">
        <x:v>現役確認済</x:v>
      </x:c>
      <x:c r="H275" s="82" t="str">
        <x:v>クライマー</x:v>
      </x:c>
      <x:c r="I275" s="82" t="str">
        <x:v>総合型</x:v>
      </x:c>
      <x:c r="J275" s="85" t="n">
        <x:v>63</x:v>
      </x:c>
      <x:c r="K275" s="85" t="n">
        <x:v>77</x:v>
      </x:c>
      <x:c r="L275" s="91" t="str">
        <x:v>山岳賞ハンター / 山岳アシスト / 集団コントローラー</x:v>
      </x:c>
      <x:c r="M275" s="88" t="n">
        <x:v>3400</x:v>
      </x:c>
      <x:c r="N275" s="85" t="n">
        <x:v>56</x:v>
      </x:c>
      <x:c r="O275" s="85" t="n">
        <x:v>66</x:v>
      </x:c>
      <x:c r="P275" s="85" t="n">
        <x:v>69</x:v>
      </x:c>
      <x:c r="Q275" s="85" t="n">
        <x:v>64</x:v>
      </x:c>
      <x:c r="R275" s="85" t="n">
        <x:v>75</x:v>
      </x:c>
      <x:c r="S275" s="85" t="n">
        <x:v>70</x:v>
      </x:c>
      <x:c r="T275" s="85" t="n">
        <x:v>69</x:v>
      </x:c>
      <x:c r="U275" s="85" t="n">
        <x:v>63</x:v>
      </x:c>
      <x:c r="V275" s="85" t="n">
        <x:v>63</x:v>
      </x:c>
      <x:c r="W275" s="85" t="n">
        <x:v>50</x:v>
      </x:c>
      <x:c r="X275" s="85" t="n">
        <x:v>75</x:v>
      </x:c>
      <x:c r="Y275" s="85" t="n">
        <x:v>75</x:v>
      </x:c>
      <x:c r="Z275" s="85" t="n">
        <x:v>73</x:v>
      </x:c>
      <x:c r="AA275" s="85" t="n">
        <x:v>64</x:v>
      </x:c>
      <x:c r="AB275" s="85" t="n">
        <x:v>70</x:v>
      </x:c>
      <x:c r="AC275" s="91" t="str">
        <x:v>2026 UCI WorldTeam名簿掲載</x:v>
      </x:c>
      <x:c r="AD275" s="91" t="str">
        <x:v>https://en.wikipedia.org/wiki/List_of_2026_UCI_WorldTeams_and_riders</x:v>
      </x:c>
      <x:c r="AE275" s="91" t="str">
        <x:v>能力・適性・Credit整合済</x:v>
      </x:c>
      <x:c r="AF275" s="91" t="str">
        <x:v>https://en.wikipedia.org/wiki/Special:Search?search=Wilco%20Kelderman%20cyclist</x:v>
      </x:c>
    </x:row>
    <x:row r="276" ht="26" customHeight="1">
      <x:c r="A276" s="82" t="n">
        <x:v>272</x:v>
      </x:c>
      <x:c r="B276" s="82" t="str">
        <x:v>Thymen Arensman</x:v>
      </x:c>
      <x:c r="C276" s="143" t="str"/>
      <x:c r="D276" s="82" t="str">
        <x:v>オランダ</x:v>
      </x:c>
      <x:c r="E276" s="82" t="str">
        <x:v>Netcompany INEOS Cycling Team</x:v>
      </x:c>
      <x:c r="F276" s="82" t="str">
        <x:v>1999-12-04</x:v>
      </x:c>
      <x:c r="G276" s="82" t="str">
        <x:v>現役確認済</x:v>
      </x:c>
      <x:c r="H276" s="82" t="str">
        <x:v>クライマー</x:v>
      </x:c>
      <x:c r="I276" s="82" t="str">
        <x:v>総合型</x:v>
      </x:c>
      <x:c r="J276" s="85" t="n">
        <x:v>63</x:v>
      </x:c>
      <x:c r="K276" s="85" t="n">
        <x:v>75</x:v>
      </x:c>
      <x:c r="L276" s="91" t="str">
        <x:v>山岳賞ハンター / 山岳アシスト / 集団コントローラー</x:v>
      </x:c>
      <x:c r="M276" s="88" t="n">
        <x:v>3150</x:v>
      </x:c>
      <x:c r="N276" s="85" t="n">
        <x:v>56</x:v>
      </x:c>
      <x:c r="O276" s="85" t="n">
        <x:v>65</x:v>
      </x:c>
      <x:c r="P276" s="85" t="n">
        <x:v>68</x:v>
      </x:c>
      <x:c r="Q276" s="85" t="n">
        <x:v>63</x:v>
      </x:c>
      <x:c r="R276" s="85" t="n">
        <x:v>74</x:v>
      </x:c>
      <x:c r="S276" s="85" t="n">
        <x:v>69</x:v>
      </x:c>
      <x:c r="T276" s="85" t="n">
        <x:v>68</x:v>
      </x:c>
      <x:c r="U276" s="85" t="n">
        <x:v>61</x:v>
      </x:c>
      <x:c r="V276" s="85" t="n">
        <x:v>62</x:v>
      </x:c>
      <x:c r="W276" s="85" t="n">
        <x:v>50</x:v>
      </x:c>
      <x:c r="X276" s="85" t="n">
        <x:v>73</x:v>
      </x:c>
      <x:c r="Y276" s="85" t="n">
        <x:v>74</x:v>
      </x:c>
      <x:c r="Z276" s="85" t="n">
        <x:v>71</x:v>
      </x:c>
      <x:c r="AA276" s="85" t="n">
        <x:v>63</x:v>
      </x:c>
      <x:c r="AB276" s="85" t="n">
        <x:v>68</x:v>
      </x:c>
      <x:c r="AC276" s="91" t="str">
        <x:v>2026 UCI WorldTeam名簿掲載</x:v>
      </x:c>
      <x:c r="AD276" s="91" t="str">
        <x:v>https://en.wikipedia.org/wiki/List_of_2026_UCI_WorldTeams_and_riders</x:v>
      </x:c>
      <x:c r="AE276" s="91" t="str">
        <x:v>能力・適性・Credit整合済</x:v>
      </x:c>
      <x:c r="AF276" s="91" t="str">
        <x:v>https://en.wikipedia.org/wiki/Special:Search?search=Thymen%20Arensman%20cyclist</x:v>
      </x:c>
    </x:row>
    <x:row r="277" ht="26" customHeight="1">
      <x:c r="A277" s="82" t="n">
        <x:v>273</x:v>
      </x:c>
      <x:c r="B277" s="82" t="str">
        <x:v>Taco van der Hoorn</x:v>
      </x:c>
      <x:c r="C277" s="143" t="str"/>
      <x:c r="D277" s="82" t="str">
        <x:v>オランダ</x:v>
      </x:c>
      <x:c r="E277" s="82" t="str">
        <x:v>Lotto–Intermarché</x:v>
      </x:c>
      <x:c r="F277" s="82" t="str">
        <x:v>1993-12-04</x:v>
      </x:c>
      <x:c r="G277" s="82" t="str">
        <x:v>現役確認済</x:v>
      </x:c>
      <x:c r="H277" s="82" t="str">
        <x:v>クラシック型</x:v>
      </x:c>
      <x:c r="I277" s="82" t="str">
        <x:v>パンチャー</x:v>
      </x:c>
      <x:c r="J277" s="85" t="n">
        <x:v>63</x:v>
      </x:c>
      <x:c r="K277" s="85" t="n">
        <x:v>78</x:v>
      </x:c>
      <x:c r="L277" s="91" t="str">
        <x:v>ロードキャプテン / 平坦アシスト / 石畳護衛</x:v>
      </x:c>
      <x:c r="M277" s="88" t="n">
        <x:v>3000</x:v>
      </x:c>
      <x:c r="N277" s="85" t="n">
        <x:v>73</x:v>
      </x:c>
      <x:c r="O277" s="85" t="n">
        <x:v>72</x:v>
      </x:c>
      <x:c r="P277" s="85" t="n">
        <x:v>74</x:v>
      </x:c>
      <x:c r="Q277" s="85" t="n">
        <x:v>72</x:v>
      </x:c>
      <x:c r="R277" s="85" t="n">
        <x:v>67</x:v>
      </x:c>
      <x:c r="S277" s="85" t="n">
        <x:v>69</x:v>
      </x:c>
      <x:c r="T277" s="85" t="n">
        <x:v>73</x:v>
      </x:c>
      <x:c r="U277" s="85" t="n">
        <x:v>73</x:v>
      </x:c>
      <x:c r="V277" s="85" t="n">
        <x:v>77</x:v>
      </x:c>
      <x:c r="W277" s="85" t="n">
        <x:v>50</x:v>
      </x:c>
      <x:c r="X277" s="85" t="n">
        <x:v>67</x:v>
      </x:c>
      <x:c r="Y277" s="85" t="n">
        <x:v>67</x:v>
      </x:c>
      <x:c r="Z277" s="85" t="n">
        <x:v>75</x:v>
      </x:c>
      <x:c r="AA277" s="85" t="n">
        <x:v>66</x:v>
      </x:c>
      <x:c r="AB277" s="85" t="n">
        <x:v>74</x:v>
      </x:c>
      <x:c r="AC277" s="91" t="str">
        <x:v>2026 UCI WorldTeam名簿掲載</x:v>
      </x:c>
      <x:c r="AD277" s="91" t="str">
        <x:v>https://en.wikipedia.org/wiki/List_of_2026_UCI_WorldTeams_and_riders</x:v>
      </x:c>
      <x:c r="AE277" s="91" t="str">
        <x:v>能力・適性・Credit整合済</x:v>
      </x:c>
      <x:c r="AF277" s="91" t="str">
        <x:v>https://en.wikipedia.org/wiki/Special:Search?search=Taco%20van%20der%20Hoorn%20cyclist</x:v>
      </x:c>
    </x:row>
    <x:row r="278" ht="26" customHeight="1">
      <x:c r="A278" s="82" t="n">
        <x:v>274</x:v>
      </x:c>
      <x:c r="B278" s="82" t="str">
        <x:v>Jordan Labrosse</x:v>
      </x:c>
      <x:c r="C278" s="143" t="str"/>
      <x:c r="D278" s="82" t="str">
        <x:v>フランス</x:v>
      </x:c>
      <x:c r="E278" s="82" t="str">
        <x:v>Decathlon–CMA CGM</x:v>
      </x:c>
      <x:c r="F278" s="82" t="str">
        <x:v>2002-09-15</x:v>
      </x:c>
      <x:c r="G278" s="82" t="str">
        <x:v>現役確認済</x:v>
      </x:c>
      <x:c r="H278" s="82" t="str">
        <x:v>TT・ルーラー型</x:v>
      </x:c>
      <x:c r="I278" s="82" t="str">
        <x:v>クラシック型</x:v>
      </x:c>
      <x:c r="J278" s="85" t="n">
        <x:v>63</x:v>
      </x:c>
      <x:c r="K278" s="85" t="n">
        <x:v>71</x:v>
      </x:c>
      <x:c r="L278" s="91" t="str">
        <x:v>集団コントローラー</x:v>
      </x:c>
      <x:c r="M278" s="88" t="n">
        <x:v>2800</x:v>
      </x:c>
      <x:c r="N278" s="85" t="n">
        <x:v>63</x:v>
      </x:c>
      <x:c r="O278" s="85" t="n">
        <x:v>60</x:v>
      </x:c>
      <x:c r="P278" s="85" t="n">
        <x:v>57</x:v>
      </x:c>
      <x:c r="Q278" s="85" t="n">
        <x:v>72</x:v>
      </x:c>
      <x:c r="R278" s="85" t="n">
        <x:v>59</x:v>
      </x:c>
      <x:c r="S278" s="85" t="n">
        <x:v>66</x:v>
      </x:c>
      <x:c r="T278" s="85" t="n">
        <x:v>64</x:v>
      </x:c>
      <x:c r="U278" s="85" t="n">
        <x:v>70</x:v>
      </x:c>
      <x:c r="V278" s="85" t="n">
        <x:v>60</x:v>
      </x:c>
      <x:c r="W278" s="85" t="n">
        <x:v>57</x:v>
      </x:c>
      <x:c r="X278" s="85" t="n">
        <x:v>61</x:v>
      </x:c>
      <x:c r="Y278" s="85" t="n">
        <x:v>63</x:v>
      </x:c>
      <x:c r="Z278" s="85" t="n">
        <x:v>74</x:v>
      </x:c>
      <x:c r="AA278" s="85" t="n">
        <x:v>57</x:v>
      </x:c>
      <x:c r="AB278" s="85" t="n">
        <x:v>57</x:v>
      </x:c>
      <x:c r="AC278" s="91" t="str">
        <x:v>2026 UCI WorldTeam名簿掲載</x:v>
      </x:c>
      <x:c r="AD278" s="91" t="str">
        <x:v>https://en.wikipedia.org/wiki/List_of_2026_UCI_WorldTeams_and_riders</x:v>
      </x:c>
      <x:c r="AE278" s="91" t="str">
        <x:v>能力・適性・Credit整合済</x:v>
      </x:c>
      <x:c r="AF278" s="91" t="str">
        <x:v>https://en.wikipedia.org/wiki/Jordan_Labrosse</x:v>
      </x:c>
    </x:row>
    <x:row r="279" ht="26" customHeight="1">
      <x:c r="A279" s="82" t="n">
        <x:v>275</x:v>
      </x:c>
      <x:c r="B279" s="82" t="str">
        <x:v>Tao Geoghegan Hart</x:v>
      </x:c>
      <x:c r="C279" s="143" t="str"/>
      <x:c r="D279" s="82" t="str">
        <x:v>イギリス</x:v>
      </x:c>
      <x:c r="E279" s="82" t="str">
        <x:v>Lidl–Trek</x:v>
      </x:c>
      <x:c r="F279" s="82" t="str">
        <x:v>1995-03-30</x:v>
      </x:c>
      <x:c r="G279" s="82" t="str">
        <x:v>現役確認済</x:v>
      </x:c>
      <x:c r="H279" s="82" t="str">
        <x:v>クライマー</x:v>
      </x:c>
      <x:c r="I279" s="82" t="str">
        <x:v>総合型</x:v>
      </x:c>
      <x:c r="J279" s="85" t="n">
        <x:v>62</x:v>
      </x:c>
      <x:c r="K279" s="85" t="n">
        <x:v>77</x:v>
      </x:c>
      <x:c r="L279" s="91" t="str">
        <x:v>山岳賞ハンター / 山岳アシスト / 山岳番手 / 集団コントローラー / サテライトライダー</x:v>
      </x:c>
      <x:c r="M279" s="88" t="n">
        <x:v>3350</x:v>
      </x:c>
      <x:c r="N279" s="85" t="n">
        <x:v>56</x:v>
      </x:c>
      <x:c r="O279" s="85" t="n">
        <x:v>67</x:v>
      </x:c>
      <x:c r="P279" s="85" t="n">
        <x:v>69</x:v>
      </x:c>
      <x:c r="Q279" s="85" t="n">
        <x:v>66</x:v>
      </x:c>
      <x:c r="R279" s="85" t="n">
        <x:v>75</x:v>
      </x:c>
      <x:c r="S279" s="85" t="n">
        <x:v>71</x:v>
      </x:c>
      <x:c r="T279" s="85" t="n">
        <x:v>70</x:v>
      </x:c>
      <x:c r="U279" s="85" t="n">
        <x:v>63</x:v>
      </x:c>
      <x:c r="V279" s="85" t="n">
        <x:v>65</x:v>
      </x:c>
      <x:c r="W279" s="85" t="n">
        <x:v>50</x:v>
      </x:c>
      <x:c r="X279" s="85" t="n">
        <x:v>75</x:v>
      </x:c>
      <x:c r="Y279" s="85" t="n">
        <x:v>76</x:v>
      </x:c>
      <x:c r="Z279" s="85" t="n">
        <x:v>72</x:v>
      </x:c>
      <x:c r="AA279" s="85" t="n">
        <x:v>65</x:v>
      </x:c>
      <x:c r="AB279" s="85" t="n">
        <x:v>70</x:v>
      </x:c>
      <x:c r="AC279" s="91" t="str">
        <x:v>2026 UCI WorldTeam名簿掲載</x:v>
      </x:c>
      <x:c r="AD279" s="91" t="str">
        <x:v>https://en.wikipedia.org/wiki/List_of_2026_UCI_WorldTeams_and_riders</x:v>
      </x:c>
      <x:c r="AE279" s="91" t="str">
        <x:v>能力・適性・Credit整合済</x:v>
      </x:c>
      <x:c r="AF279" s="91" t="str">
        <x:v>https://en.wikipedia.org/wiki/Special:Search?search=Tao%20Geoghegan%20Hart%20cyclist</x:v>
      </x:c>
    </x:row>
    <x:row r="280" ht="26" customHeight="1">
      <x:c r="A280" s="82" t="n">
        <x:v>276</x:v>
      </x:c>
      <x:c r="B280" s="82" t="str">
        <x:v>Remi Cavagna</x:v>
      </x:c>
      <x:c r="C280" s="143" t="str"/>
      <x:c r="D280" s="82" t="str">
        <x:v>フランス</x:v>
      </x:c>
      <x:c r="E280" s="82" t="str">
        <x:v>Groupama–FDJ United</x:v>
      </x:c>
      <x:c r="F280" s="82" t="str">
        <x:v>1995-08-10</x:v>
      </x:c>
      <x:c r="G280" s="82" t="str">
        <x:v>現役確認済</x:v>
      </x:c>
      <x:c r="H280" s="82" t="str">
        <x:v>TT・ルーラー型</x:v>
      </x:c>
      <x:c r="I280" s="82" t="str">
        <x:v>総合型</x:v>
      </x:c>
      <x:c r="J280" s="85" t="n">
        <x:v>62</x:v>
      </x:c>
      <x:c r="K280" s="85" t="n">
        <x:v>78</x:v>
      </x:c>
      <x:c r="L280" s="91" t="str">
        <x:v>ロードキャプテン / 平坦アシスト / TT牽引 / 集団コントローラー / 横風分断</x:v>
      </x:c>
      <x:c r="M280" s="88" t="n">
        <x:v>3150</x:v>
      </x:c>
      <x:c r="N280" s="85" t="n">
        <x:v>64</x:v>
      </x:c>
      <x:c r="O280" s="85" t="n">
        <x:v>62</x:v>
      </x:c>
      <x:c r="P280" s="85" t="n">
        <x:v>64</x:v>
      </x:c>
      <x:c r="Q280" s="85" t="n">
        <x:v>76</x:v>
      </x:c>
      <x:c r="R280" s="85" t="n">
        <x:v>69</x:v>
      </x:c>
      <x:c r="S280" s="85" t="n">
        <x:v>69</x:v>
      </x:c>
      <x:c r="T280" s="85" t="n">
        <x:v>70</x:v>
      </x:c>
      <x:c r="U280" s="85" t="n">
        <x:v>71</x:v>
      </x:c>
      <x:c r="V280" s="85" t="n">
        <x:v>64</x:v>
      </x:c>
      <x:c r="W280" s="85" t="n">
        <x:v>50</x:v>
      </x:c>
      <x:c r="X280" s="85" t="n">
        <x:v>67</x:v>
      </x:c>
      <x:c r="Y280" s="85" t="n">
        <x:v>67</x:v>
      </x:c>
      <x:c r="Z280" s="85" t="n">
        <x:v>77</x:v>
      </x:c>
      <x:c r="AA280" s="85" t="n">
        <x:v>61</x:v>
      </x:c>
      <x:c r="AB280" s="85" t="n">
        <x:v>62</x:v>
      </x:c>
      <x:c r="AC280" s="91" t="str">
        <x:v>2026 UCI WorldTeam名簿掲載</x:v>
      </x:c>
      <x:c r="AD280" s="91" t="str">
        <x:v>https://en.wikipedia.org/wiki/List_of_2026_UCI_WorldTeams_and_riders</x:v>
      </x:c>
      <x:c r="AE280" s="91" t="str">
        <x:v>能力・適性・Credit整合済</x:v>
      </x:c>
      <x:c r="AF280" s="91" t="str">
        <x:v>https://en.wikipedia.org/wiki/Special:Search?search=Remi%20Cavagna%20cyclist</x:v>
      </x:c>
    </x:row>
    <x:row r="281" ht="26" customHeight="1">
      <x:c r="A281" s="82" t="n">
        <x:v>277</x:v>
      </x:c>
      <x:c r="B281" s="82" t="str">
        <x:v>Brandon McNulty</x:v>
      </x:c>
      <x:c r="C281" s="143" t="str"/>
      <x:c r="D281" s="82" t="str">
        <x:v>アメリカ</x:v>
      </x:c>
      <x:c r="E281" s="82" t="str">
        <x:v>UAE Team Emirates XRG</x:v>
      </x:c>
      <x:c r="F281" s="82" t="str">
        <x:v>1998-04-02</x:v>
      </x:c>
      <x:c r="G281" s="82" t="str">
        <x:v>現役確認済</x:v>
      </x:c>
      <x:c r="H281" s="82" t="str">
        <x:v>クライマー</x:v>
      </x:c>
      <x:c r="I281" s="82" t="str">
        <x:v>総合型</x:v>
      </x:c>
      <x:c r="J281" s="85" t="n">
        <x:v>62</x:v>
      </x:c>
      <x:c r="K281" s="85" t="n">
        <x:v>76</x:v>
      </x:c>
      <x:c r="L281" s="91" t="str">
        <x:v>山岳賞ハンター / 山岳アシスト / 集団コントローラー</x:v>
      </x:c>
      <x:c r="M281" s="88" t="n">
        <x:v>3100</x:v>
      </x:c>
      <x:c r="N281" s="85" t="n">
        <x:v>56</x:v>
      </x:c>
      <x:c r="O281" s="85" t="n">
        <x:v>66</x:v>
      </x:c>
      <x:c r="P281" s="85" t="n">
        <x:v>68</x:v>
      </x:c>
      <x:c r="Q281" s="85" t="n">
        <x:v>64</x:v>
      </x:c>
      <x:c r="R281" s="85" t="n">
        <x:v>74</x:v>
      </x:c>
      <x:c r="S281" s="85" t="n">
        <x:v>69</x:v>
      </x:c>
      <x:c r="T281" s="85" t="n">
        <x:v>68</x:v>
      </x:c>
      <x:c r="U281" s="85" t="n">
        <x:v>62</x:v>
      </x:c>
      <x:c r="V281" s="85" t="n">
        <x:v>62</x:v>
      </x:c>
      <x:c r="W281" s="85" t="n">
        <x:v>50</x:v>
      </x:c>
      <x:c r="X281" s="85" t="n">
        <x:v>74</x:v>
      </x:c>
      <x:c r="Y281" s="85" t="n">
        <x:v>74</x:v>
      </x:c>
      <x:c r="Z281" s="85" t="n">
        <x:v>71</x:v>
      </x:c>
      <x:c r="AA281" s="85" t="n">
        <x:v>63</x:v>
      </x:c>
      <x:c r="AB281" s="85" t="n">
        <x:v>69</x:v>
      </x:c>
      <x:c r="AC281" s="91" t="str">
        <x:v>2026 UCI WorldTeam名簿掲載</x:v>
      </x:c>
      <x:c r="AD281" s="91" t="str">
        <x:v>https://en.wikipedia.org/wiki/List_of_2026_UCI_WorldTeams_and_riders</x:v>
      </x:c>
      <x:c r="AE281" s="91" t="str">
        <x:v>能力・適性・Credit整合済</x:v>
      </x:c>
      <x:c r="AF281" s="91" t="str">
        <x:v>https://en.wikipedia.org/wiki/Special:Search?search=Brandon%20McNulty%20cyclist</x:v>
      </x:c>
    </x:row>
    <x:row r="282" ht="26" customHeight="1">
      <x:c r="A282" s="82" t="n">
        <x:v>278</x:v>
      </x:c>
      <x:c r="B282" s="82" t="str">
        <x:v>Luka Mezgec</x:v>
      </x:c>
      <x:c r="C282" s="143" t="str"/>
      <x:c r="D282" s="82" t="str">
        <x:v>スロベニア</x:v>
      </x:c>
      <x:c r="E282" s="82" t="str">
        <x:v>Team Jayco–AlUla</x:v>
      </x:c>
      <x:c r="F282" s="82" t="str">
        <x:v>1988-06-27</x:v>
      </x:c>
      <x:c r="G282" s="82" t="str">
        <x:v>現役確認済</x:v>
      </x:c>
      <x:c r="H282" s="82" t="str">
        <x:v>スプリンター</x:v>
      </x:c>
      <x:c r="I282" s="82" t="str">
        <x:v>TT・ルーラー型</x:v>
      </x:c>
      <x:c r="J282" s="85" t="n">
        <x:v>62</x:v>
      </x:c>
      <x:c r="K282" s="85" t="n">
        <x:v>76</x:v>
      </x:c>
      <x:c r="L282" s="91" t="str">
        <x:v>リードアウト / 最終発射台 / スプリントトレイン / 集団コントローラー</x:v>
      </x:c>
      <x:c r="M282" s="88" t="n">
        <x:v>3100</x:v>
      </x:c>
      <x:c r="N282" s="85" t="n">
        <x:v>79</x:v>
      </x:c>
      <x:c r="O282" s="85" t="n">
        <x:v>76</x:v>
      </x:c>
      <x:c r="P282" s="85" t="n">
        <x:v>65</x:v>
      </x:c>
      <x:c r="Q282" s="85" t="n">
        <x:v>71</x:v>
      </x:c>
      <x:c r="R282" s="85" t="n">
        <x:v>58</x:v>
      </x:c>
      <x:c r="S282" s="85" t="n">
        <x:v>62</x:v>
      </x:c>
      <x:c r="T282" s="85" t="n">
        <x:v>62</x:v>
      </x:c>
      <x:c r="U282" s="85" t="n">
        <x:v>66</x:v>
      </x:c>
      <x:c r="V282" s="85" t="n">
        <x:v>67</x:v>
      </x:c>
      <x:c r="W282" s="85" t="n">
        <x:v>50</x:v>
      </x:c>
      <x:c r="X282" s="85" t="n">
        <x:v>65</x:v>
      </x:c>
      <x:c r="Y282" s="85" t="n">
        <x:v>65</x:v>
      </x:c>
      <x:c r="Z282" s="85" t="n">
        <x:v>69</x:v>
      </x:c>
      <x:c r="AA282" s="85" t="n">
        <x:v>70</x:v>
      </x:c>
      <x:c r="AB282" s="85" t="n">
        <x:v>63</x:v>
      </x:c>
      <x:c r="AC282" s="91" t="str">
        <x:v>2026 UCI WorldTeam名簿掲載</x:v>
      </x:c>
      <x:c r="AD282" s="91" t="str">
        <x:v>https://en.wikipedia.org/wiki/List_of_2026_UCI_WorldTeams_and_riders</x:v>
      </x:c>
      <x:c r="AE282" s="91" t="str">
        <x:v>能力・適性・Credit整合済</x:v>
      </x:c>
      <x:c r="AF282" s="91" t="str">
        <x:v>https://en.wikipedia.org/wiki/Special:Search?search=Luka%20Mezgec%20cyclist</x:v>
      </x:c>
    </x:row>
    <x:row r="283" ht="26" customHeight="1">
      <x:c r="A283" s="82" t="n">
        <x:v>279</x:v>
      </x:c>
      <x:c r="B283" s="82" t="str">
        <x:v>Pavel Sivakov</x:v>
      </x:c>
      <x:c r="C283" s="143" t="str"/>
      <x:c r="D283" s="82" t="str">
        <x:v>フランス</x:v>
      </x:c>
      <x:c r="E283" s="82" t="str">
        <x:v>UAE Team Emirates XRG</x:v>
      </x:c>
      <x:c r="F283" s="82" t="str">
        <x:v>1997-07-11</x:v>
      </x:c>
      <x:c r="G283" s="82" t="str">
        <x:v>現役確認済</x:v>
      </x:c>
      <x:c r="H283" s="82" t="str">
        <x:v>クライマー</x:v>
      </x:c>
      <x:c r="I283" s="82" t="str">
        <x:v>総合型</x:v>
      </x:c>
      <x:c r="J283" s="85" t="n">
        <x:v>62</x:v>
      </x:c>
      <x:c r="K283" s="85" t="n">
        <x:v>75</x:v>
      </x:c>
      <x:c r="L283" s="91" t="str">
        <x:v>山岳賞ハンター / 山岳アシスト / 集団コントローラー</x:v>
      </x:c>
      <x:c r="M283" s="88" t="n">
        <x:v>3100</x:v>
      </x:c>
      <x:c r="N283" s="85" t="n">
        <x:v>56</x:v>
      </x:c>
      <x:c r="O283" s="85" t="n">
        <x:v>66</x:v>
      </x:c>
      <x:c r="P283" s="85" t="n">
        <x:v>68</x:v>
      </x:c>
      <x:c r="Q283" s="85" t="n">
        <x:v>64</x:v>
      </x:c>
      <x:c r="R283" s="85" t="n">
        <x:v>74</x:v>
      </x:c>
      <x:c r="S283" s="85" t="n">
        <x:v>69</x:v>
      </x:c>
      <x:c r="T283" s="85" t="n">
        <x:v>68</x:v>
      </x:c>
      <x:c r="U283" s="85" t="n">
        <x:v>61</x:v>
      </x:c>
      <x:c r="V283" s="85" t="n">
        <x:v>62</x:v>
      </x:c>
      <x:c r="W283" s="85" t="n">
        <x:v>50</x:v>
      </x:c>
      <x:c r="X283" s="85" t="n">
        <x:v>74</x:v>
      </x:c>
      <x:c r="Y283" s="85" t="n">
        <x:v>74</x:v>
      </x:c>
      <x:c r="Z283" s="85" t="n">
        <x:v>71</x:v>
      </x:c>
      <x:c r="AA283" s="85" t="n">
        <x:v>63</x:v>
      </x:c>
      <x:c r="AB283" s="85" t="n">
        <x:v>68</x:v>
      </x:c>
      <x:c r="AC283" s="91" t="str">
        <x:v>2026 UCI WorldTeam名簿掲載</x:v>
      </x:c>
      <x:c r="AD283" s="91" t="str">
        <x:v>https://en.wikipedia.org/wiki/List_of_2026_UCI_WorldTeams_and_riders</x:v>
      </x:c>
      <x:c r="AE283" s="91" t="str">
        <x:v>能力・適性・Credit整合済</x:v>
      </x:c>
      <x:c r="AF283" s="91" t="str">
        <x:v>https://en.wikipedia.org/wiki/Special:Search?search=Pavel%20Sivakov%20cyclist</x:v>
      </x:c>
    </x:row>
    <x:row r="284" ht="26" customHeight="1">
      <x:c r="A284" s="82" t="n">
        <x:v>280</x:v>
      </x:c>
      <x:c r="B284" s="82" t="str">
        <x:v>Danny van Poppel</x:v>
      </x:c>
      <x:c r="C284" s="143" t="str"/>
      <x:c r="D284" s="82" t="str">
        <x:v>オランダ</x:v>
      </x:c>
      <x:c r="E284" s="82" t="str">
        <x:v>Red Bull–Bora–Hansgrohe</x:v>
      </x:c>
      <x:c r="F284" s="82" t="str">
        <x:v>1993-07-26</x:v>
      </x:c>
      <x:c r="G284" s="82" t="str">
        <x:v>現役確認済</x:v>
      </x:c>
      <x:c r="H284" s="82" t="str">
        <x:v>スプリンター</x:v>
      </x:c>
      <x:c r="I284" s="82" t="str">
        <x:v>TT・ルーラー型</x:v>
      </x:c>
      <x:c r="J284" s="85" t="n">
        <x:v>62</x:v>
      </x:c>
      <x:c r="K284" s="85" t="n">
        <x:v>74</x:v>
      </x:c>
      <x:c r="L284" s="91" t="str">
        <x:v>リードアウト / 最終発射台 / スプリントトレイン / 横風分断</x:v>
      </x:c>
      <x:c r="M284" s="88" t="n">
        <x:v>3050</x:v>
      </x:c>
      <x:c r="N284" s="85" t="n">
        <x:v>79</x:v>
      </x:c>
      <x:c r="O284" s="85" t="n">
        <x:v>75</x:v>
      </x:c>
      <x:c r="P284" s="85" t="n">
        <x:v>65</x:v>
      </x:c>
      <x:c r="Q284" s="85" t="n">
        <x:v>71</x:v>
      </x:c>
      <x:c r="R284" s="85" t="n">
        <x:v>58</x:v>
      </x:c>
      <x:c r="S284" s="85" t="n">
        <x:v>62</x:v>
      </x:c>
      <x:c r="T284" s="85" t="n">
        <x:v>62</x:v>
      </x:c>
      <x:c r="U284" s="85" t="n">
        <x:v>65</x:v>
      </x:c>
      <x:c r="V284" s="85" t="n">
        <x:v>66</x:v>
      </x:c>
      <x:c r="W284" s="85" t="n">
        <x:v>69</x:v>
      </x:c>
      <x:c r="X284" s="85" t="n">
        <x:v>64</x:v>
      </x:c>
      <x:c r="Y284" s="85" t="n">
        <x:v>64</x:v>
      </x:c>
      <x:c r="Z284" s="85" t="n">
        <x:v>68</x:v>
      </x:c>
      <x:c r="AA284" s="85" t="n">
        <x:v>70</x:v>
      </x:c>
      <x:c r="AB284" s="85" t="n">
        <x:v>62</x:v>
      </x:c>
      <x:c r="AC284" s="91" t="str">
        <x:v>2026 UCI WorldTeam名簿掲載</x:v>
      </x:c>
      <x:c r="AD284" s="91" t="str">
        <x:v>https://en.wikipedia.org/wiki/List_of_2026_UCI_WorldTeams_and_riders</x:v>
      </x:c>
      <x:c r="AE284" s="91" t="str">
        <x:v>能力・適性・Credit整合済</x:v>
      </x:c>
      <x:c r="AF284" s="91" t="str">
        <x:v>https://en.wikipedia.org/wiki/Special:Search?search=Danny%20van%20Poppel%20cyclist</x:v>
      </x:c>
    </x:row>
    <x:row r="285" ht="26" customHeight="1">
      <x:c r="A285" s="82" t="n">
        <x:v>281</x:v>
      </x:c>
      <x:c r="B285" s="82" t="str">
        <x:v>Simone Consonni</x:v>
      </x:c>
      <x:c r="C285" s="143" t="str"/>
      <x:c r="D285" s="82" t="str">
        <x:v>イタリア</x:v>
      </x:c>
      <x:c r="E285" s="82" t="str">
        <x:v>Lidl–Trek</x:v>
      </x:c>
      <x:c r="F285" s="82" t="str">
        <x:v>1994-09-12</x:v>
      </x:c>
      <x:c r="G285" s="82" t="str">
        <x:v>現役確認済</x:v>
      </x:c>
      <x:c r="H285" s="82" t="str">
        <x:v>スプリンター</x:v>
      </x:c>
      <x:c r="I285" s="82" t="str">
        <x:v>TT・ルーラー型</x:v>
      </x:c>
      <x:c r="J285" s="85" t="n">
        <x:v>62</x:v>
      </x:c>
      <x:c r="K285" s="85" t="n">
        <x:v>74</x:v>
      </x:c>
      <x:c r="L285" s="91" t="str">
        <x:v>リードアウト / 最終発射台 / スプリントトレイン / 横風分断</x:v>
      </x:c>
      <x:c r="M285" s="88" t="n">
        <x:v>2950</x:v>
      </x:c>
      <x:c r="N285" s="85" t="n">
        <x:v>78</x:v>
      </x:c>
      <x:c r="O285" s="85" t="n">
        <x:v>74</x:v>
      </x:c>
      <x:c r="P285" s="85" t="n">
        <x:v>65</x:v>
      </x:c>
      <x:c r="Q285" s="85" t="n">
        <x:v>70</x:v>
      </x:c>
      <x:c r="R285" s="85" t="n">
        <x:v>58</x:v>
      </x:c>
      <x:c r="S285" s="85" t="n">
        <x:v>61</x:v>
      </x:c>
      <x:c r="T285" s="85" t="n">
        <x:v>61</x:v>
      </x:c>
      <x:c r="U285" s="85" t="n">
        <x:v>65</x:v>
      </x:c>
      <x:c r="V285" s="85" t="n">
        <x:v>65</x:v>
      </x:c>
      <x:c r="W285" s="85" t="n">
        <x:v>64</x:v>
      </x:c>
      <x:c r="X285" s="85" t="n">
        <x:v>63</x:v>
      </x:c>
      <x:c r="Y285" s="85" t="n">
        <x:v>63</x:v>
      </x:c>
      <x:c r="Z285" s="85" t="n">
        <x:v>68</x:v>
      </x:c>
      <x:c r="AA285" s="85" t="n">
        <x:v>70</x:v>
      </x:c>
      <x:c r="AB285" s="85" t="n">
        <x:v>61</x:v>
      </x:c>
      <x:c r="AC285" s="91" t="str">
        <x:v>2026 UCI WorldTeam名簿掲載</x:v>
      </x:c>
      <x:c r="AD285" s="91" t="str">
        <x:v>https://en.wikipedia.org/wiki/List_of_2026_UCI_WorldTeams_and_riders</x:v>
      </x:c>
      <x:c r="AE285" s="91" t="str">
        <x:v>能力・適性・Credit整合済</x:v>
      </x:c>
      <x:c r="AF285" s="91" t="str">
        <x:v>https://en.wikipedia.org/wiki/Special:Search?search=Simone%20Consonni%20cyclist</x:v>
      </x:c>
    </x:row>
    <x:row r="286" ht="26" customHeight="1">
      <x:c r="A286" s="82" t="n">
        <x:v>282</x:v>
      </x:c>
      <x:c r="B286" s="82" t="str">
        <x:v>Davide Ballerini</x:v>
      </x:c>
      <x:c r="C286" s="143" t="str"/>
      <x:c r="D286" s="82" t="str">
        <x:v>イタリア</x:v>
      </x:c>
      <x:c r="E286" s="82" t="str">
        <x:v>XDS Astana Team</x:v>
      </x:c>
      <x:c r="F286" s="82" t="str">
        <x:v>1994-09-21</x:v>
      </x:c>
      <x:c r="G286" s="82" t="str">
        <x:v>現役確認済</x:v>
      </x:c>
      <x:c r="H286" s="82" t="str">
        <x:v>スプリンター</x:v>
      </x:c>
      <x:c r="I286" s="82" t="str">
        <x:v>TT・ルーラー型</x:v>
      </x:c>
      <x:c r="J286" s="85" t="n">
        <x:v>62</x:v>
      </x:c>
      <x:c r="K286" s="85" t="n">
        <x:v>73</x:v>
      </x:c>
      <x:c r="L286" s="91" t="str">
        <x:v>リードアウト / 最終発射台 / スプリントトレイン</x:v>
      </x:c>
      <x:c r="M286" s="88" t="n">
        <x:v>2900</x:v>
      </x:c>
      <x:c r="N286" s="85" t="n">
        <x:v>78</x:v>
      </x:c>
      <x:c r="O286" s="85" t="n">
        <x:v>74</x:v>
      </x:c>
      <x:c r="P286" s="85" t="n">
        <x:v>65</x:v>
      </x:c>
      <x:c r="Q286" s="85" t="n">
        <x:v>70</x:v>
      </x:c>
      <x:c r="R286" s="85" t="n">
        <x:v>58</x:v>
      </x:c>
      <x:c r="S286" s="85" t="n">
        <x:v>61</x:v>
      </x:c>
      <x:c r="T286" s="85" t="n">
        <x:v>60</x:v>
      </x:c>
      <x:c r="U286" s="85" t="n">
        <x:v>65</x:v>
      </x:c>
      <x:c r="V286" s="85" t="n">
        <x:v>64</x:v>
      </x:c>
      <x:c r="W286" s="85" t="n">
        <x:v>69</x:v>
      </x:c>
      <x:c r="X286" s="85" t="n">
        <x:v>63</x:v>
      </x:c>
      <x:c r="Y286" s="85" t="n">
        <x:v>62</x:v>
      </x:c>
      <x:c r="Z286" s="85" t="n">
        <x:v>67</x:v>
      </x:c>
      <x:c r="AA286" s="85" t="n">
        <x:v>69</x:v>
      </x:c>
      <x:c r="AB286" s="85" t="n">
        <x:v>61</x:v>
      </x:c>
      <x:c r="AC286" s="91" t="str">
        <x:v>2026 UCI WorldTeam名簿掲載</x:v>
      </x:c>
      <x:c r="AD286" s="91" t="str">
        <x:v>https://en.wikipedia.org/wiki/List_of_2026_UCI_WorldTeams_and_riders</x:v>
      </x:c>
      <x:c r="AE286" s="91" t="str">
        <x:v>能力・適性・Credit整合済</x:v>
      </x:c>
      <x:c r="AF286" s="91" t="str">
        <x:v>https://en.wikipedia.org/wiki/Special:Search?search=Davide%20Ballerini%20cyclist</x:v>
      </x:c>
    </x:row>
    <x:row r="287" ht="26" customHeight="1">
      <x:c r="A287" s="82" t="n">
        <x:v>283</x:v>
      </x:c>
      <x:c r="B287" s="82" t="str">
        <x:v>Florian Vermeersch</x:v>
      </x:c>
      <x:c r="C287" s="143" t="str"/>
      <x:c r="D287" s="82" t="str">
        <x:v>ベルギー</x:v>
      </x:c>
      <x:c r="E287" s="82" t="str">
        <x:v>UAE Team Emirates XRG</x:v>
      </x:c>
      <x:c r="F287" s="82" t="str">
        <x:v>1999-03-12</x:v>
      </x:c>
      <x:c r="G287" s="82" t="str">
        <x:v>現役確認済</x:v>
      </x:c>
      <x:c r="H287" s="82" t="str">
        <x:v>クラシック型</x:v>
      </x:c>
      <x:c r="I287" s="82" t="str">
        <x:v>パンチャー</x:v>
      </x:c>
      <x:c r="J287" s="85" t="n">
        <x:v>62</x:v>
      </x:c>
      <x:c r="K287" s="85" t="n">
        <x:v>78</x:v>
      </x:c>
      <x:c r="L287" s="91" t="str">
        <x:v>ロードキャプテン / 平坦アシスト / 石畳護衛 / 横風分断</x:v>
      </x:c>
      <x:c r="M287" s="88" t="n">
        <x:v>2850</x:v>
      </x:c>
      <x:c r="N287" s="85" t="n">
        <x:v>73</x:v>
      </x:c>
      <x:c r="O287" s="85" t="n">
        <x:v>71</x:v>
      </x:c>
      <x:c r="P287" s="85" t="n">
        <x:v>73</x:v>
      </x:c>
      <x:c r="Q287" s="85" t="n">
        <x:v>72</x:v>
      </x:c>
      <x:c r="R287" s="85" t="n">
        <x:v>67</x:v>
      </x:c>
      <x:c r="S287" s="85" t="n">
        <x:v>67</x:v>
      </x:c>
      <x:c r="T287" s="85" t="n">
        <x:v>71</x:v>
      </x:c>
      <x:c r="U287" s="85" t="n">
        <x:v>72</x:v>
      </x:c>
      <x:c r="V287" s="85" t="n">
        <x:v>75</x:v>
      </x:c>
      <x:c r="W287" s="85" t="n">
        <x:v>50</x:v>
      </x:c>
      <x:c r="X287" s="85" t="n">
        <x:v>66</x:v>
      </x:c>
      <x:c r="Y287" s="85" t="n">
        <x:v>65</x:v>
      </x:c>
      <x:c r="Z287" s="85" t="n">
        <x:v>74</x:v>
      </x:c>
      <x:c r="AA287" s="85" t="n">
        <x:v>65</x:v>
      </x:c>
      <x:c r="AB287" s="85" t="n">
        <x:v>72</x:v>
      </x:c>
      <x:c r="AC287" s="91" t="str">
        <x:v>2026 UCI WorldTeam名簿掲載</x:v>
      </x:c>
      <x:c r="AD287" s="91" t="str">
        <x:v>https://en.wikipedia.org/wiki/List_of_2026_UCI_WorldTeams_and_riders</x:v>
      </x:c>
      <x:c r="AE287" s="91" t="str">
        <x:v>能力・適性・Credit整合済</x:v>
      </x:c>
      <x:c r="AF287" s="91" t="str">
        <x:v>https://en.wikipedia.org/wiki/Special:Search?search=Florian%20Vermeersch%20cyclist</x:v>
      </x:c>
    </x:row>
    <x:row r="288" ht="26" customHeight="1">
      <x:c r="A288" s="82" t="n">
        <x:v>284</x:v>
      </x:c>
      <x:c r="B288" s="82" t="str">
        <x:v>Dylan van Baarle</x:v>
      </x:c>
      <x:c r="C288" s="143" t="str"/>
      <x:c r="D288" s="82" t="str">
        <x:v>オランダ</x:v>
      </x:c>
      <x:c r="E288" s="82" t="str">
        <x:v>Soudal–Quick-Step</x:v>
      </x:c>
      <x:c r="F288" s="82" t="str">
        <x:v>1992-05-21</x:v>
      </x:c>
      <x:c r="G288" s="82" t="str">
        <x:v>現役確認済</x:v>
      </x:c>
      <x:c r="H288" s="82" t="str">
        <x:v>TT・ルーラー型</x:v>
      </x:c>
      <x:c r="I288" s="82" t="str">
        <x:v>クラシック型</x:v>
      </x:c>
      <x:c r="J288" s="85" t="n">
        <x:v>61</x:v>
      </x:c>
      <x:c r="K288" s="85" t="n">
        <x:v>80</x:v>
      </x:c>
      <x:c r="L288" s="91" t="str">
        <x:v>平坦アシスト / TT牽引 / ブレイクアウェイキラー / トラブル復帰牽引</x:v>
      </x:c>
      <x:c r="M288" s="88" t="n">
        <x:v>3900</x:v>
      </x:c>
      <x:c r="N288" s="85" t="n">
        <x:v>68</x:v>
      </x:c>
      <x:c r="O288" s="85" t="n">
        <x:v>64</x:v>
      </x:c>
      <x:c r="P288" s="85" t="n">
        <x:v>64</x:v>
      </x:c>
      <x:c r="Q288" s="85" t="n">
        <x:v>79</x:v>
      </x:c>
      <x:c r="R288" s="85" t="n">
        <x:v>68</x:v>
      </x:c>
      <x:c r="S288" s="85" t="n">
        <x:v>71</x:v>
      </x:c>
      <x:c r="T288" s="85" t="n">
        <x:v>71</x:v>
      </x:c>
      <x:c r="U288" s="85" t="n">
        <x:v>72</x:v>
      </x:c>
      <x:c r="V288" s="85" t="n">
        <x:v>66</x:v>
      </x:c>
      <x:c r="W288" s="85" t="n">
        <x:v>74</x:v>
      </x:c>
      <x:c r="X288" s="85" t="n">
        <x:v>65</x:v>
      </x:c>
      <x:c r="Y288" s="85" t="n">
        <x:v>65</x:v>
      </x:c>
      <x:c r="Z288" s="85" t="n">
        <x:v>79</x:v>
      </x:c>
      <x:c r="AA288" s="85" t="n">
        <x:v>62</x:v>
      </x:c>
      <x:c r="AB288" s="85" t="n">
        <x:v>65</x:v>
      </x:c>
      <x:c r="AC288" s="91" t="str">
        <x:v>2026 UCI WorldTeam名簿掲載</x:v>
      </x:c>
      <x:c r="AD288" s="91" t="str">
        <x:v>https://en.wikipedia.org/wiki/List_of_2026_UCI_WorldTeams_and_riders</x:v>
      </x:c>
      <x:c r="AE288" s="91" t="str">
        <x:v>能力・適性・Credit整合済</x:v>
      </x:c>
      <x:c r="AF288" s="91" t="str">
        <x:v>https://en.wikipedia.org/wiki/Special:Search?search=Dylan%20van%20Baarle%20cyclist</x:v>
      </x:c>
    </x:row>
    <x:row r="289" ht="26" customHeight="1">
      <x:c r="A289" s="82" t="n">
        <x:v>285</x:v>
      </x:c>
      <x:c r="B289" s="82" t="str">
        <x:v>Edoardo Affini</x:v>
      </x:c>
      <x:c r="C289" s="143" t="str"/>
      <x:c r="D289" s="82" t="str">
        <x:v>イタリア</x:v>
      </x:c>
      <x:c r="E289" s="82" t="str">
        <x:v>Visma–Lease a Bike</x:v>
      </x:c>
      <x:c r="F289" s="82" t="str">
        <x:v>1996-06-24</x:v>
      </x:c>
      <x:c r="G289" s="82" t="str">
        <x:v>現役確認済</x:v>
      </x:c>
      <x:c r="H289" s="82" t="str">
        <x:v>TT・ルーラー型</x:v>
      </x:c>
      <x:c r="I289" s="82" t="str">
        <x:v>総合型</x:v>
      </x:c>
      <x:c r="J289" s="85" t="n">
        <x:v>61</x:v>
      </x:c>
      <x:c r="K289" s="85" t="n">
        <x:v>80</x:v>
      </x:c>
      <x:c r="L289" s="91" t="str">
        <x:v>ロードキャプテン / TTスペシャリスト / 平坦アシスト / 平坦ペースメーカー / 集団コントローラー / ブレイクアウェイキラー / トラブル復帰牽引</x:v>
      </x:c>
      <x:c r="M289" s="88" t="n">
        <x:v>3650</x:v>
      </x:c>
      <x:c r="N289" s="85" t="n">
        <x:v>64</x:v>
      </x:c>
      <x:c r="O289" s="85" t="n">
        <x:v>62</x:v>
      </x:c>
      <x:c r="P289" s="85" t="n">
        <x:v>64</x:v>
      </x:c>
      <x:c r="Q289" s="85" t="n">
        <x:v>78</x:v>
      </x:c>
      <x:c r="R289" s="85" t="n">
        <x:v>69</x:v>
      </x:c>
      <x:c r="S289" s="85" t="n">
        <x:v>70</x:v>
      </x:c>
      <x:c r="T289" s="85" t="n">
        <x:v>70</x:v>
      </x:c>
      <x:c r="U289" s="85" t="n">
        <x:v>72</x:v>
      </x:c>
      <x:c r="V289" s="85" t="n">
        <x:v>66</x:v>
      </x:c>
      <x:c r="W289" s="85" t="n">
        <x:v>64</x:v>
      </x:c>
      <x:c r="X289" s="85" t="n">
        <x:v>67</x:v>
      </x:c>
      <x:c r="Y289" s="85" t="n">
        <x:v>67</x:v>
      </x:c>
      <x:c r="Z289" s="85" t="n">
        <x:v>79</x:v>
      </x:c>
      <x:c r="AA289" s="85" t="n">
        <x:v>62</x:v>
      </x:c>
      <x:c r="AB289" s="85" t="n">
        <x:v>63</x:v>
      </x:c>
      <x:c r="AC289" s="91" t="str">
        <x:v>2026 UCI WorldTeam名簿掲載</x:v>
      </x:c>
      <x:c r="AD289" s="91" t="str">
        <x:v>https://en.wikipedia.org/wiki/List_of_2026_UCI_WorldTeams_and_riders</x:v>
      </x:c>
      <x:c r="AE289" s="91" t="str">
        <x:v>能力・適性・Credit整合済</x:v>
      </x:c>
      <x:c r="AF289" s="91" t="str">
        <x:v>https://en.wikipedia.org/wiki/Special:Search?search=Edoardo%20Affini%20cyclist</x:v>
      </x:c>
    </x:row>
    <x:row r="290" ht="26" customHeight="1">
      <x:c r="A290" s="82" t="n">
        <x:v>286</x:v>
      </x:c>
      <x:c r="B290" s="82" t="str">
        <x:v>Nils Politt</x:v>
      </x:c>
      <x:c r="C290" s="143" t="str"/>
      <x:c r="D290" s="82" t="str">
        <x:v>ドイツ</x:v>
      </x:c>
      <x:c r="E290" s="82" t="str">
        <x:v>UAE Team Emirates XRG</x:v>
      </x:c>
      <x:c r="F290" s="82" t="str">
        <x:v>1994-03-06</x:v>
      </x:c>
      <x:c r="G290" s="82" t="str">
        <x:v>現役確認済</x:v>
      </x:c>
      <x:c r="H290" s="82" t="str">
        <x:v>TT・ルーラー型</x:v>
      </x:c>
      <x:c r="I290" s="82" t="str">
        <x:v>クラシック型</x:v>
      </x:c>
      <x:c r="J290" s="85" t="n">
        <x:v>61</x:v>
      </x:c>
      <x:c r="K290" s="85" t="n">
        <x:v>78</x:v>
      </x:c>
      <x:c r="L290" s="91" t="str">
        <x:v>平坦アシスト / TT牽引 / 石畳護衛 / 横風要員 / 横風分断</x:v>
      </x:c>
      <x:c r="M290" s="88" t="n">
        <x:v>3200</x:v>
      </x:c>
      <x:c r="N290" s="85" t="n">
        <x:v>68</x:v>
      </x:c>
      <x:c r="O290" s="85" t="n">
        <x:v>64</x:v>
      </x:c>
      <x:c r="P290" s="85" t="n">
        <x:v>64</x:v>
      </x:c>
      <x:c r="Q290" s="85" t="n">
        <x:v>78</x:v>
      </x:c>
      <x:c r="R290" s="85" t="n">
        <x:v>68</x:v>
      </x:c>
      <x:c r="S290" s="85" t="n">
        <x:v>69</x:v>
      </x:c>
      <x:c r="T290" s="85" t="n">
        <x:v>70</x:v>
      </x:c>
      <x:c r="U290" s="85" t="n">
        <x:v>72</x:v>
      </x:c>
      <x:c r="V290" s="85" t="n">
        <x:v>67</x:v>
      </x:c>
      <x:c r="W290" s="85" t="n">
        <x:v>76</x:v>
      </x:c>
      <x:c r="X290" s="85" t="n">
        <x:v>65</x:v>
      </x:c>
      <x:c r="Y290" s="85" t="n">
        <x:v>66</x:v>
      </x:c>
      <x:c r="Z290" s="85" t="n">
        <x:v>76</x:v>
      </x:c>
      <x:c r="AA290" s="85" t="n">
        <x:v>62</x:v>
      </x:c>
      <x:c r="AB290" s="85" t="n">
        <x:v>64</x:v>
      </x:c>
      <x:c r="AC290" s="91" t="str">
        <x:v>2026 UCI WorldTeam名簿掲載</x:v>
      </x:c>
      <x:c r="AD290" s="91" t="str">
        <x:v>https://en.wikipedia.org/wiki/List_of_2026_UCI_WorldTeams_and_riders</x:v>
      </x:c>
      <x:c r="AE290" s="91" t="str">
        <x:v>能力・適性・Credit整合済</x:v>
      </x:c>
      <x:c r="AF290" s="91" t="str">
        <x:v>https://en.wikipedia.org/wiki/Special:Search?search=Nils%20Politt%20cyclist</x:v>
      </x:c>
    </x:row>
    <x:row r="291" ht="26" customHeight="1">
      <x:c r="A291" s="82" t="n">
        <x:v>287</x:v>
      </x:c>
      <x:c r="B291" s="82" t="str">
        <x:v>Magnus Sheffield</x:v>
      </x:c>
      <x:c r="C291" s="143" t="str"/>
      <x:c r="D291" s="82" t="str">
        <x:v>アメリカ</x:v>
      </x:c>
      <x:c r="E291" s="82" t="str">
        <x:v>Netcompany INEOS Cycling Team</x:v>
      </x:c>
      <x:c r="F291" s="82" t="str">
        <x:v>2002-04-19</x:v>
      </x:c>
      <x:c r="G291" s="82" t="str">
        <x:v>現役確認済</x:v>
      </x:c>
      <x:c r="H291" s="82" t="str">
        <x:v>TT・ルーラー型</x:v>
      </x:c>
      <x:c r="I291" s="82" t="str">
        <x:v>総合型</x:v>
      </x:c>
      <x:c r="J291" s="85" t="n">
        <x:v>61</x:v>
      </x:c>
      <x:c r="K291" s="85" t="n">
        <x:v>79</x:v>
      </x:c>
      <x:c r="L291" s="91" t="str">
        <x:v>ロードキャプテン / 平坦アシスト / 平坦ペースメーカー / TT牽引 / 集団コントローラー</x:v>
      </x:c>
      <x:c r="M291" s="88" t="n">
        <x:v>3150</x:v>
      </x:c>
      <x:c r="N291" s="85" t="n">
        <x:v>64</x:v>
      </x:c>
      <x:c r="O291" s="85" t="n">
        <x:v>62</x:v>
      </x:c>
      <x:c r="P291" s="85" t="n">
        <x:v>64</x:v>
      </x:c>
      <x:c r="Q291" s="85" t="n">
        <x:v>77</x:v>
      </x:c>
      <x:c r="R291" s="85" t="n">
        <x:v>69</x:v>
      </x:c>
      <x:c r="S291" s="85" t="n">
        <x:v>70</x:v>
      </x:c>
      <x:c r="T291" s="85" t="n">
        <x:v>70</x:v>
      </x:c>
      <x:c r="U291" s="85" t="n">
        <x:v>71</x:v>
      </x:c>
      <x:c r="V291" s="85" t="n">
        <x:v>64</x:v>
      </x:c>
      <x:c r="W291" s="85" t="n">
        <x:v>50</x:v>
      </x:c>
      <x:c r="X291" s="85" t="n">
        <x:v>67</x:v>
      </x:c>
      <x:c r="Y291" s="85" t="n">
        <x:v>67</x:v>
      </x:c>
      <x:c r="Z291" s="85" t="n">
        <x:v>77</x:v>
      </x:c>
      <x:c r="AA291" s="85" t="n">
        <x:v>61</x:v>
      </x:c>
      <x:c r="AB291" s="85" t="n">
        <x:v>63</x:v>
      </x:c>
      <x:c r="AC291" s="91" t="str">
        <x:v>2026 UCI WorldTeam名簿掲載</x:v>
      </x:c>
      <x:c r="AD291" s="91" t="str">
        <x:v>https://en.wikipedia.org/wiki/List_of_2026_UCI_WorldTeams_and_riders</x:v>
      </x:c>
      <x:c r="AE291" s="91" t="str">
        <x:v>能力・適性・Credit整合済</x:v>
      </x:c>
      <x:c r="AF291" s="91" t="str">
        <x:v>https://en.wikipedia.org/wiki/Special:Search?search=Magnus%20Sheffield%20cyclist</x:v>
      </x:c>
    </x:row>
    <x:row r="292" ht="26" customHeight="1">
      <x:c r="A292" s="82" t="n">
        <x:v>288</x:v>
      </x:c>
      <x:c r="B292" s="82" t="str">
        <x:v>Christophe Laporte</x:v>
      </x:c>
      <x:c r="C292" s="143" t="str"/>
      <x:c r="D292" s="82" t="str">
        <x:v>フランス</x:v>
      </x:c>
      <x:c r="E292" s="82" t="str">
        <x:v>Visma–Lease a Bike</x:v>
      </x:c>
      <x:c r="F292" s="82" t="str">
        <x:v>1992-12-11</x:v>
      </x:c>
      <x:c r="G292" s="82" t="str">
        <x:v>現役確認済</x:v>
      </x:c>
      <x:c r="H292" s="82" t="str">
        <x:v>スプリンター</x:v>
      </x:c>
      <x:c r="I292" s="82" t="str">
        <x:v>TT・ルーラー型</x:v>
      </x:c>
      <x:c r="J292" s="85" t="n">
        <x:v>61</x:v>
      </x:c>
      <x:c r="K292" s="85" t="n">
        <x:v>74</x:v>
      </x:c>
      <x:c r="L292" s="91" t="str">
        <x:v>リードアウト / 最終発射台 / スプリントトレイン</x:v>
      </x:c>
      <x:c r="M292" s="88" t="n">
        <x:v>3150</x:v>
      </x:c>
      <x:c r="N292" s="85" t="n">
        <x:v>77</x:v>
      </x:c>
      <x:c r="O292" s="85" t="n">
        <x:v>73</x:v>
      </x:c>
      <x:c r="P292" s="85" t="n">
        <x:v>62</x:v>
      </x:c>
      <x:c r="Q292" s="85" t="n">
        <x:v>69</x:v>
      </x:c>
      <x:c r="R292" s="85" t="n">
        <x:v>58</x:v>
      </x:c>
      <x:c r="S292" s="85" t="n">
        <x:v>61</x:v>
      </x:c>
      <x:c r="T292" s="85" t="n">
        <x:v>60</x:v>
      </x:c>
      <x:c r="U292" s="85" t="n">
        <x:v>65</x:v>
      </x:c>
      <x:c r="V292" s="85" t="n">
        <x:v>64</x:v>
      </x:c>
      <x:c r="W292" s="85" t="n">
        <x:v>76</x:v>
      </x:c>
      <x:c r="X292" s="85" t="n">
        <x:v>62</x:v>
      </x:c>
      <x:c r="Y292" s="85" t="n">
        <x:v>62</x:v>
      </x:c>
      <x:c r="Z292" s="85" t="n">
        <x:v>66</x:v>
      </x:c>
      <x:c r="AA292" s="85" t="n">
        <x:v>68</x:v>
      </x:c>
      <x:c r="AB292" s="85" t="n">
        <x:v>61</x:v>
      </x:c>
      <x:c r="AC292" s="91" t="str">
        <x:v>2026 UCI WorldTeam名簿掲載</x:v>
      </x:c>
      <x:c r="AD292" s="91" t="str">
        <x:v>https://en.wikipedia.org/wiki/List_of_2026_UCI_WorldTeams_and_riders</x:v>
      </x:c>
      <x:c r="AE292" s="91" t="str">
        <x:v>能力・適性・Credit整合済</x:v>
      </x:c>
      <x:c r="AF292" s="91" t="str">
        <x:v>https://en.wikipedia.org/wiki/Special:Search?search=Christophe%20Laporte%20cyclist</x:v>
      </x:c>
    </x:row>
    <x:row r="293" ht="26" customHeight="1">
      <x:c r="A293" s="82" t="n">
        <x:v>289</x:v>
      </x:c>
      <x:c r="B293" s="82" t="str">
        <x:v>Marc Soler</x:v>
      </x:c>
      <x:c r="C293" s="143" t="str"/>
      <x:c r="D293" s="82" t="str">
        <x:v>スペイン</x:v>
      </x:c>
      <x:c r="E293" s="82" t="str">
        <x:v>UAE Team Emirates XRG</x:v>
      </x:c>
      <x:c r="F293" s="82" t="str">
        <x:v>1993-11-22</x:v>
      </x:c>
      <x:c r="G293" s="82" t="str">
        <x:v>現役確認済</x:v>
      </x:c>
      <x:c r="H293" s="82" t="str">
        <x:v>クライマー</x:v>
      </x:c>
      <x:c r="I293" s="82" t="str">
        <x:v>総合型</x:v>
      </x:c>
      <x:c r="J293" s="85" t="n">
        <x:v>61</x:v>
      </x:c>
      <x:c r="K293" s="85" t="n">
        <x:v>76</x:v>
      </x:c>
      <x:c r="L293" s="91" t="str">
        <x:v>山岳賞ハンター / 山岳アシスト / 集団コントローラー</x:v>
      </x:c>
      <x:c r="M293" s="88" t="n">
        <x:v>3100</x:v>
      </x:c>
      <x:c r="N293" s="85" t="n">
        <x:v>56</x:v>
      </x:c>
      <x:c r="O293" s="85" t="n">
        <x:v>66</x:v>
      </x:c>
      <x:c r="P293" s="85" t="n">
        <x:v>68</x:v>
      </x:c>
      <x:c r="Q293" s="85" t="n">
        <x:v>64</x:v>
      </x:c>
      <x:c r="R293" s="85" t="n">
        <x:v>74</x:v>
      </x:c>
      <x:c r="S293" s="85" t="n">
        <x:v>69</x:v>
      </x:c>
      <x:c r="T293" s="85" t="n">
        <x:v>68</x:v>
      </x:c>
      <x:c r="U293" s="85" t="n">
        <x:v>62</x:v>
      </x:c>
      <x:c r="V293" s="85" t="n">
        <x:v>62</x:v>
      </x:c>
      <x:c r="W293" s="85" t="n">
        <x:v>50</x:v>
      </x:c>
      <x:c r="X293" s="85" t="n">
        <x:v>74</x:v>
      </x:c>
      <x:c r="Y293" s="85" t="n">
        <x:v>74</x:v>
      </x:c>
      <x:c r="Z293" s="85" t="n">
        <x:v>72</x:v>
      </x:c>
      <x:c r="AA293" s="85" t="n">
        <x:v>64</x:v>
      </x:c>
      <x:c r="AB293" s="85" t="n">
        <x:v>69</x:v>
      </x:c>
      <x:c r="AC293" s="91" t="str">
        <x:v>2026 UCI WorldTeam名簿掲載</x:v>
      </x:c>
      <x:c r="AD293" s="91" t="str">
        <x:v>https://en.wikipedia.org/wiki/List_of_2026_UCI_WorldTeams_and_riders</x:v>
      </x:c>
      <x:c r="AE293" s="91" t="str">
        <x:v>能力・適性・Credit整合済</x:v>
      </x:c>
      <x:c r="AF293" s="91" t="str">
        <x:v>https://en.wikipedia.org/wiki/Special:Search?search=Marc%20Soler%20cyclist</x:v>
      </x:c>
    </x:row>
    <x:row r="294" ht="26" customHeight="1">
      <x:c r="A294" s="82" t="n">
        <x:v>290</x:v>
      </x:c>
      <x:c r="B294" s="82" t="str">
        <x:v>Edward Theuns</x:v>
      </x:c>
      <x:c r="C294" s="143" t="str"/>
      <x:c r="D294" s="82" t="str">
        <x:v>ベルギー</x:v>
      </x:c>
      <x:c r="E294" s="82" t="str">
        <x:v>Lidl–Trek</x:v>
      </x:c>
      <x:c r="F294" s="82" t="str">
        <x:v>1991-04-30</x:v>
      </x:c>
      <x:c r="G294" s="82" t="str">
        <x:v>現役確認済</x:v>
      </x:c>
      <x:c r="H294" s="82" t="str">
        <x:v>スプリンター</x:v>
      </x:c>
      <x:c r="I294" s="82" t="str">
        <x:v>TT・ルーラー型</x:v>
      </x:c>
      <x:c r="J294" s="85" t="n">
        <x:v>61</x:v>
      </x:c>
      <x:c r="K294" s="85" t="n">
        <x:v>75</x:v>
      </x:c>
      <x:c r="L294" s="91" t="str">
        <x:v>リードアウト / 最終発射台 / スプリントトレイン</x:v>
      </x:c>
      <x:c r="M294" s="88" t="n">
        <x:v>3000</x:v>
      </x:c>
      <x:c r="N294" s="85" t="n">
        <x:v>79</x:v>
      </x:c>
      <x:c r="O294" s="85" t="n">
        <x:v>75</x:v>
      </x:c>
      <x:c r="P294" s="85" t="n">
        <x:v>65</x:v>
      </x:c>
      <x:c r="Q294" s="85" t="n">
        <x:v>70</x:v>
      </x:c>
      <x:c r="R294" s="85" t="n">
        <x:v>58</x:v>
      </x:c>
      <x:c r="S294" s="85" t="n">
        <x:v>62</x:v>
      </x:c>
      <x:c r="T294" s="85" t="n">
        <x:v>62</x:v>
      </x:c>
      <x:c r="U294" s="85" t="n">
        <x:v>65</x:v>
      </x:c>
      <x:c r="V294" s="85" t="n">
        <x:v>66</x:v>
      </x:c>
      <x:c r="W294" s="85" t="n">
        <x:v>70</x:v>
      </x:c>
      <x:c r="X294" s="85" t="n">
        <x:v>64</x:v>
      </x:c>
      <x:c r="Y294" s="85" t="n">
        <x:v>64</x:v>
      </x:c>
      <x:c r="Z294" s="85" t="n">
        <x:v>68</x:v>
      </x:c>
      <x:c r="AA294" s="85" t="n">
        <x:v>70</x:v>
      </x:c>
      <x:c r="AB294" s="85" t="n">
        <x:v>62</x:v>
      </x:c>
      <x:c r="AC294" s="91" t="str">
        <x:v>2026 UCI WorldTeam名簿掲載</x:v>
      </x:c>
      <x:c r="AD294" s="91" t="str">
        <x:v>https://en.wikipedia.org/wiki/List_of_2026_UCI_WorldTeams_and_riders</x:v>
      </x:c>
      <x:c r="AE294" s="91" t="str">
        <x:v>能力・適性・Credit整合済</x:v>
      </x:c>
      <x:c r="AF294" s="91" t="str">
        <x:v>https://en.wikipedia.org/wiki/Special:Search?search=Edward%20Theuns%20cyclist</x:v>
      </x:c>
    </x:row>
    <x:row r="295" ht="26" customHeight="1">
      <x:c r="A295" s="82" t="n">
        <x:v>291</x:v>
      </x:c>
      <x:c r="B295" s="82" t="str">
        <x:v>Bert Van Lerberghe</x:v>
      </x:c>
      <x:c r="C295" s="143" t="str"/>
      <x:c r="D295" s="82" t="str">
        <x:v>ベルギー</x:v>
      </x:c>
      <x:c r="E295" s="82" t="str">
        <x:v>Soudal–Quick-Step</x:v>
      </x:c>
      <x:c r="F295" s="82" t="str">
        <x:v>1992-09-29</x:v>
      </x:c>
      <x:c r="G295" s="82" t="str">
        <x:v>現役確認済</x:v>
      </x:c>
      <x:c r="H295" s="82" t="str">
        <x:v>スプリンター</x:v>
      </x:c>
      <x:c r="I295" s="82" t="str">
        <x:v>TT・ルーラー型</x:v>
      </x:c>
      <x:c r="J295" s="85" t="n">
        <x:v>61</x:v>
      </x:c>
      <x:c r="K295" s="85" t="n">
        <x:v>75</x:v>
      </x:c>
      <x:c r="L295" s="91" t="str">
        <x:v>リードアウト / 最終発射台 / スプリントトレイン / 集団コントローラー</x:v>
      </x:c>
      <x:c r="M295" s="88" t="n">
        <x:v>2950</x:v>
      </x:c>
      <x:c r="N295" s="85" t="n">
        <x:v>78</x:v>
      </x:c>
      <x:c r="O295" s="85" t="n">
        <x:v>74</x:v>
      </x:c>
      <x:c r="P295" s="85" t="n">
        <x:v>65</x:v>
      </x:c>
      <x:c r="Q295" s="85" t="n">
        <x:v>70</x:v>
      </x:c>
      <x:c r="R295" s="85" t="n">
        <x:v>58</x:v>
      </x:c>
      <x:c r="S295" s="85" t="n">
        <x:v>62</x:v>
      </x:c>
      <x:c r="T295" s="85" t="n">
        <x:v>62</x:v>
      </x:c>
      <x:c r="U295" s="85" t="n">
        <x:v>65</x:v>
      </x:c>
      <x:c r="V295" s="85" t="n">
        <x:v>66</x:v>
      </x:c>
      <x:c r="W295" s="85" t="n">
        <x:v>69</x:v>
      </x:c>
      <x:c r="X295" s="85" t="n">
        <x:v>64</x:v>
      </x:c>
      <x:c r="Y295" s="85" t="n">
        <x:v>64</x:v>
      </x:c>
      <x:c r="Z295" s="85" t="n">
        <x:v>68</x:v>
      </x:c>
      <x:c r="AA295" s="85" t="n">
        <x:v>70</x:v>
      </x:c>
      <x:c r="AB295" s="85" t="n">
        <x:v>61</x:v>
      </x:c>
      <x:c r="AC295" s="91" t="str">
        <x:v>2026 UCI WorldTeam名簿掲載</x:v>
      </x:c>
      <x:c r="AD295" s="91" t="str">
        <x:v>https://en.wikipedia.org/wiki/List_of_2026_UCI_WorldTeams_and_riders</x:v>
      </x:c>
      <x:c r="AE295" s="91" t="str">
        <x:v>能力・適性・Credit整合済</x:v>
      </x:c>
      <x:c r="AF295" s="91" t="str">
        <x:v>https://en.wikipedia.org/wiki/Special:Search?search=Bert%20Van%20Lerberghe%20cyclist</x:v>
      </x:c>
    </x:row>
    <x:row r="296" ht="26" customHeight="1">
      <x:c r="A296" s="82" t="n">
        <x:v>292</x:v>
      </x:c>
      <x:c r="B296" s="82" t="str">
        <x:v>Nikias Arndt</x:v>
      </x:c>
      <x:c r="C296" s="143" t="str"/>
      <x:c r="D296" s="82" t="str">
        <x:v>ドイツ</x:v>
      </x:c>
      <x:c r="E296" s="82" t="str">
        <x:v>Team Bahrain Victorious</x:v>
      </x:c>
      <x:c r="F296" s="82" t="str">
        <x:v>1991-11-18</x:v>
      </x:c>
      <x:c r="G296" s="82" t="str">
        <x:v>現役確認済</x:v>
      </x:c>
      <x:c r="H296" s="82" t="str">
        <x:v>スプリンター</x:v>
      </x:c>
      <x:c r="I296" s="82" t="str">
        <x:v>TT・ルーラー型</x:v>
      </x:c>
      <x:c r="J296" s="85" t="n">
        <x:v>61</x:v>
      </x:c>
      <x:c r="K296" s="85" t="n">
        <x:v>73</x:v>
      </x:c>
      <x:c r="L296" s="91" t="str">
        <x:v>リードアウト / 最終発射台 / スプリントトレイン / 集団コントローラー</x:v>
      </x:c>
      <x:c r="M296" s="88" t="n">
        <x:v>2850</x:v>
      </x:c>
      <x:c r="N296" s="85" t="n">
        <x:v>78</x:v>
      </x:c>
      <x:c r="O296" s="85" t="n">
        <x:v>74</x:v>
      </x:c>
      <x:c r="P296" s="85" t="n">
        <x:v>63</x:v>
      </x:c>
      <x:c r="Q296" s="85" t="n">
        <x:v>69</x:v>
      </x:c>
      <x:c r="R296" s="85" t="n">
        <x:v>58</x:v>
      </x:c>
      <x:c r="S296" s="85" t="n">
        <x:v>60</x:v>
      </x:c>
      <x:c r="T296" s="85" t="n">
        <x:v>59</x:v>
      </x:c>
      <x:c r="U296" s="85" t="n">
        <x:v>65</x:v>
      </x:c>
      <x:c r="V296" s="85" t="n">
        <x:v>63</x:v>
      </x:c>
      <x:c r="W296" s="85" t="n">
        <x:v>69</x:v>
      </x:c>
      <x:c r="X296" s="85" t="n">
        <x:v>62</x:v>
      </x:c>
      <x:c r="Y296" s="85" t="n">
        <x:v>62</x:v>
      </x:c>
      <x:c r="Z296" s="85" t="n">
        <x:v>67</x:v>
      </x:c>
      <x:c r="AA296" s="85" t="n">
        <x:v>69</x:v>
      </x:c>
      <x:c r="AB296" s="85" t="n">
        <x:v>59</x:v>
      </x:c>
      <x:c r="AC296" s="91" t="str">
        <x:v>2026 UCI WorldTeam名簿掲載</x:v>
      </x:c>
      <x:c r="AD296" s="91" t="str">
        <x:v>https://en.wikipedia.org/wiki/List_of_2026_UCI_WorldTeams_and_riders</x:v>
      </x:c>
      <x:c r="AE296" s="91" t="str">
        <x:v>能力・適性・Credit整合済</x:v>
      </x:c>
      <x:c r="AF296" s="91" t="str">
        <x:v>https://en.wikipedia.org/wiki/Special:Search?search=Nikias%20Arndt%20cyclist</x:v>
      </x:c>
    </x:row>
    <x:row r="297" ht="26" customHeight="1">
      <x:c r="A297" s="82" t="n">
        <x:v>293</x:v>
      </x:c>
      <x:c r="B297" s="82" t="str">
        <x:v>Yves Lampaert</x:v>
      </x:c>
      <x:c r="C297" s="143" t="str"/>
      <x:c r="D297" s="82" t="str">
        <x:v>ベルギー</x:v>
      </x:c>
      <x:c r="E297" s="82" t="str">
        <x:v>Soudal–Quick-Step</x:v>
      </x:c>
      <x:c r="F297" s="82" t="str">
        <x:v>1991-04-10</x:v>
      </x:c>
      <x:c r="G297" s="82" t="str">
        <x:v>現役確認済</x:v>
      </x:c>
      <x:c r="H297" s="82" t="str">
        <x:v>TT・ルーラー型</x:v>
      </x:c>
      <x:c r="I297" s="82" t="str">
        <x:v>クラシック型</x:v>
      </x:c>
      <x:c r="J297" s="85" t="n">
        <x:v>60</x:v>
      </x:c>
      <x:c r="K297" s="85" t="n">
        <x:v>78</x:v>
      </x:c>
      <x:c r="L297" s="91" t="str">
        <x:v>平坦アシスト / TT牽引 / 石畳護衛 / 横風要員</x:v>
      </x:c>
      <x:c r="M297" s="88" t="n">
        <x:v>3050</x:v>
      </x:c>
      <x:c r="N297" s="85" t="n">
        <x:v>68</x:v>
      </x:c>
      <x:c r="O297" s="85" t="n">
        <x:v>64</x:v>
      </x:c>
      <x:c r="P297" s="85" t="n">
        <x:v>63</x:v>
      </x:c>
      <x:c r="Q297" s="85" t="n">
        <x:v>77</x:v>
      </x:c>
      <x:c r="R297" s="85" t="n">
        <x:v>68</x:v>
      </x:c>
      <x:c r="S297" s="85" t="n">
        <x:v>69</x:v>
      </x:c>
      <x:c r="T297" s="85" t="n">
        <x:v>69</x:v>
      </x:c>
      <x:c r="U297" s="85" t="n">
        <x:v>72</x:v>
      </x:c>
      <x:c r="V297" s="85" t="n">
        <x:v>66</x:v>
      </x:c>
      <x:c r="W297" s="85" t="n">
        <x:v>76</x:v>
      </x:c>
      <x:c r="X297" s="85" t="n">
        <x:v>65</x:v>
      </x:c>
      <x:c r="Y297" s="85" t="n">
        <x:v>65</x:v>
      </x:c>
      <x:c r="Z297" s="85" t="n">
        <x:v>75</x:v>
      </x:c>
      <x:c r="AA297" s="85" t="n">
        <x:v>62</x:v>
      </x:c>
      <x:c r="AB297" s="85" t="n">
        <x:v>64</x:v>
      </x:c>
      <x:c r="AC297" s="91" t="str">
        <x:v>2026 UCI WorldTeam名簿掲載</x:v>
      </x:c>
      <x:c r="AD297" s="91" t="str">
        <x:v>https://en.wikipedia.org/wiki/List_of_2026_UCI_WorldTeams_and_riders</x:v>
      </x:c>
      <x:c r="AE297" s="91" t="str">
        <x:v>能力・適性・Credit整合済</x:v>
      </x:c>
      <x:c r="AF297" s="91" t="str">
        <x:v>https://en.wikipedia.org/wiki/Special:Search?search=Yves%20Lampaert%20cyclist</x:v>
      </x:c>
    </x:row>
    <x:row r="298" ht="26" customHeight="1">
      <x:c r="A298" s="82" t="n">
        <x:v>294</x:v>
      </x:c>
      <x:c r="B298" s="82" t="str">
        <x:v>Jan Tratnik</x:v>
      </x:c>
      <x:c r="C298" s="143" t="str"/>
      <x:c r="D298" s="82" t="str">
        <x:v>スロベニア</x:v>
      </x:c>
      <x:c r="E298" s="82" t="str">
        <x:v>Red Bull–Bora–Hansgrohe</x:v>
      </x:c>
      <x:c r="F298" s="82" t="str">
        <x:v>1990-02-23</x:v>
      </x:c>
      <x:c r="G298" s="82" t="str">
        <x:v>現役確認済</x:v>
      </x:c>
      <x:c r="H298" s="82" t="str">
        <x:v>TT・ルーラー型</x:v>
      </x:c>
      <x:c r="I298" s="82" t="str">
        <x:v>総合型</x:v>
      </x:c>
      <x:c r="J298" s="85" t="n">
        <x:v>60</x:v>
      </x:c>
      <x:c r="K298" s="85" t="n">
        <x:v>79</x:v>
      </x:c>
      <x:c r="L298" s="91" t="str">
        <x:v>ロードキャプテン / 平坦アシスト / 平坦ペースメーカー / TT牽引 / 集団コントローラー</x:v>
      </x:c>
      <x:c r="M298" s="88" t="n">
        <x:v>3050</x:v>
      </x:c>
      <x:c r="N298" s="85" t="n">
        <x:v>64</x:v>
      </x:c>
      <x:c r="O298" s="85" t="n">
        <x:v>61</x:v>
      </x:c>
      <x:c r="P298" s="85" t="n">
        <x:v>64</x:v>
      </x:c>
      <x:c r="Q298" s="85" t="n">
        <x:v>76</x:v>
      </x:c>
      <x:c r="R298" s="85" t="n">
        <x:v>69</x:v>
      </x:c>
      <x:c r="S298" s="85" t="n">
        <x:v>69</x:v>
      </x:c>
      <x:c r="T298" s="85" t="n">
        <x:v>69</x:v>
      </x:c>
      <x:c r="U298" s="85" t="n">
        <x:v>71</x:v>
      </x:c>
      <x:c r="V298" s="85" t="n">
        <x:v>64</x:v>
      </x:c>
      <x:c r="W298" s="85" t="n">
        <x:v>64</x:v>
      </x:c>
      <x:c r="X298" s="85" t="n">
        <x:v>67</x:v>
      </x:c>
      <x:c r="Y298" s="85" t="n">
        <x:v>67</x:v>
      </x:c>
      <x:c r="Z298" s="85" t="n">
        <x:v>77</x:v>
      </x:c>
      <x:c r="AA298" s="85" t="n">
        <x:v>61</x:v>
      </x:c>
      <x:c r="AB298" s="85" t="n">
        <x:v>64</x:v>
      </x:c>
      <x:c r="AC298" s="91" t="str">
        <x:v>2026 UCI WorldTeam名簿掲載</x:v>
      </x:c>
      <x:c r="AD298" s="91" t="str">
        <x:v>https://en.wikipedia.org/wiki/List_of_2026_UCI_WorldTeams_and_riders</x:v>
      </x:c>
      <x:c r="AE298" s="91" t="str">
        <x:v>能力・適性・Credit整合済</x:v>
      </x:c>
      <x:c r="AF298" s="91" t="str">
        <x:v>https://en.wikipedia.org/wiki/Special:Search?search=Jan%20Tratnik%20cyclist</x:v>
      </x:c>
    </x:row>
    <x:row r="299" ht="26" customHeight="1">
      <x:c r="A299" s="82" t="n">
        <x:v>295</x:v>
      </x:c>
      <x:c r="B299" s="82" t="str">
        <x:v>Mikel Landa</x:v>
      </x:c>
      <x:c r="C299" s="143" t="str"/>
      <x:c r="D299" s="82" t="str">
        <x:v>スペイン</x:v>
      </x:c>
      <x:c r="E299" s="82" t="str">
        <x:v>Soudal–Quick-Step</x:v>
      </x:c>
      <x:c r="F299" s="82" t="str">
        <x:v>1989-12-13</x:v>
      </x:c>
      <x:c r="G299" s="82" t="str">
        <x:v>現役確認済</x:v>
      </x:c>
      <x:c r="H299" s="82" t="str">
        <x:v>クライマー</x:v>
      </x:c>
      <x:c r="I299" s="82" t="str">
        <x:v>総合型</x:v>
      </x:c>
      <x:c r="J299" s="85" t="n">
        <x:v>60</x:v>
      </x:c>
      <x:c r="K299" s="85" t="n">
        <x:v>75</x:v>
      </x:c>
      <x:c r="L299" s="91" t="str">
        <x:v>山岳賞ハンター / 山岳アシスト / 山岳ペースメーカー / 集団コントローラー / サテライトライダー</x:v>
      </x:c>
      <x:c r="M299" s="88" t="n">
        <x:v>2950</x:v>
      </x:c>
      <x:c r="N299" s="85" t="n">
        <x:v>56</x:v>
      </x:c>
      <x:c r="O299" s="85" t="n">
        <x:v>65</x:v>
      </x:c>
      <x:c r="P299" s="85" t="n">
        <x:v>68</x:v>
      </x:c>
      <x:c r="Q299" s="85" t="n">
        <x:v>63</x:v>
      </x:c>
      <x:c r="R299" s="85" t="n">
        <x:v>74</x:v>
      </x:c>
      <x:c r="S299" s="85" t="n">
        <x:v>69</x:v>
      </x:c>
      <x:c r="T299" s="85" t="n">
        <x:v>68</x:v>
      </x:c>
      <x:c r="U299" s="85" t="n">
        <x:v>59</x:v>
      </x:c>
      <x:c r="V299" s="85" t="n">
        <x:v>61</x:v>
      </x:c>
      <x:c r="W299" s="85" t="n">
        <x:v>50</x:v>
      </x:c>
      <x:c r="X299" s="85" t="n">
        <x:v>73</x:v>
      </x:c>
      <x:c r="Y299" s="85" t="n">
        <x:v>74</x:v>
      </x:c>
      <x:c r="Z299" s="85" t="n">
        <x:v>70</x:v>
      </x:c>
      <x:c r="AA299" s="85" t="n">
        <x:v>63</x:v>
      </x:c>
      <x:c r="AB299" s="85" t="n">
        <x:v>68</x:v>
      </x:c>
      <x:c r="AC299" s="91" t="str">
        <x:v>2026 UCI WorldTeam名簿掲載</x:v>
      </x:c>
      <x:c r="AD299" s="91" t="str">
        <x:v>https://en.wikipedia.org/wiki/List_of_2026_UCI_WorldTeams_and_riders</x:v>
      </x:c>
      <x:c r="AE299" s="91" t="str">
        <x:v>能力・適性・Credit整合済</x:v>
      </x:c>
      <x:c r="AF299" s="91" t="str">
        <x:v>https://en.wikipedia.org/wiki/Special:Search?search=Mikel%20Landa%20cyclist</x:v>
      </x:c>
    </x:row>
    <x:row r="300" ht="26" customHeight="1">
      <x:c r="A300" s="82" t="n">
        <x:v>296</x:v>
      </x:c>
      <x:c r="B300" s="82" t="str">
        <x:v>Jasper De Buyst</x:v>
      </x:c>
      <x:c r="C300" s="143" t="str"/>
      <x:c r="D300" s="82" t="str">
        <x:v>ベルギー</x:v>
      </x:c>
      <x:c r="E300" s="82" t="str">
        <x:v>Lotto–Intermarché</x:v>
      </x:c>
      <x:c r="F300" s="82" t="str">
        <x:v>1993-11-24</x:v>
      </x:c>
      <x:c r="G300" s="82" t="str">
        <x:v>現役確認済</x:v>
      </x:c>
      <x:c r="H300" s="82" t="str">
        <x:v>スプリンター</x:v>
      </x:c>
      <x:c r="I300" s="82" t="str">
        <x:v>TT・ルーラー型</x:v>
      </x:c>
      <x:c r="J300" s="85" t="n">
        <x:v>60</x:v>
      </x:c>
      <x:c r="K300" s="85" t="n">
        <x:v>72</x:v>
      </x:c>
      <x:c r="L300" s="91" t="str">
        <x:v>リードアウト / 最終発射台 / スプリントトレイン / 集団コントローラー</x:v>
      </x:c>
      <x:c r="M300" s="88" t="n">
        <x:v>2800</x:v>
      </x:c>
      <x:c r="N300" s="85" t="n">
        <x:v>77</x:v>
      </x:c>
      <x:c r="O300" s="85" t="n">
        <x:v>73</x:v>
      </x:c>
      <x:c r="P300" s="85" t="n">
        <x:v>63</x:v>
      </x:c>
      <x:c r="Q300" s="85" t="n">
        <x:v>69</x:v>
      </x:c>
      <x:c r="R300" s="85" t="n">
        <x:v>58</x:v>
      </x:c>
      <x:c r="S300" s="85" t="n">
        <x:v>57</x:v>
      </x:c>
      <x:c r="T300" s="85" t="n">
        <x:v>57</x:v>
      </x:c>
      <x:c r="U300" s="85" t="n">
        <x:v>64</x:v>
      </x:c>
      <x:c r="V300" s="85" t="n">
        <x:v>60</x:v>
      </x:c>
      <x:c r="W300" s="85" t="n">
        <x:v>50</x:v>
      </x:c>
      <x:c r="X300" s="85" t="n">
        <x:v>60</x:v>
      </x:c>
      <x:c r="Y300" s="85" t="n">
        <x:v>61</x:v>
      </x:c>
      <x:c r="Z300" s="85" t="n">
        <x:v>66</x:v>
      </x:c>
      <x:c r="AA300" s="85" t="n">
        <x:v>69</x:v>
      </x:c>
      <x:c r="AB300" s="85" t="n">
        <x:v>58</x:v>
      </x:c>
      <x:c r="AC300" s="91" t="str">
        <x:v>2026 UCI WorldTeam名簿掲載</x:v>
      </x:c>
      <x:c r="AD300" s="91" t="str">
        <x:v>https://en.wikipedia.org/wiki/List_of_2026_UCI_WorldTeams_and_riders</x:v>
      </x:c>
      <x:c r="AE300" s="91" t="str">
        <x:v>能力・適性・Credit整合済</x:v>
      </x:c>
      <x:c r="AF300" s="91" t="str">
        <x:v>https://en.wikipedia.org/wiki/Special:Search?search=Jasper%20De%20Buyst%20cyclist</x:v>
      </x:c>
    </x:row>
    <x:row r="301" ht="26" customHeight="1">
      <x:c r="A301" s="82" t="n">
        <x:v>297</x:v>
      </x:c>
      <x:c r="B301" s="82" t="str">
        <x:v>Mikkel Bjerg</x:v>
      </x:c>
      <x:c r="C301" s="143" t="str"/>
      <x:c r="D301" s="82" t="str">
        <x:v>デンマーク</x:v>
      </x:c>
      <x:c r="E301" s="82" t="str">
        <x:v>UAE Team Emirates XRG</x:v>
      </x:c>
      <x:c r="F301" s="82" t="str">
        <x:v>1998-11-03</x:v>
      </x:c>
      <x:c r="G301" s="82" t="str">
        <x:v>現役確認済</x:v>
      </x:c>
      <x:c r="H301" s="82" t="str">
        <x:v>TT・ルーラー型</x:v>
      </x:c>
      <x:c r="I301" s="82" t="str">
        <x:v>クラシック型</x:v>
      </x:c>
      <x:c r="J301" s="85" t="n">
        <x:v>59</x:v>
      </x:c>
      <x:c r="K301" s="85" t="n">
        <x:v>77</x:v>
      </x:c>
      <x:c r="L301" s="91" t="str">
        <x:v>平坦アシスト / TT牽引 / 集団コントローラー / 横風分断</x:v>
      </x:c>
      <x:c r="M301" s="88" t="n">
        <x:v>2850</x:v>
      </x:c>
      <x:c r="N301" s="85" t="n">
        <x:v>68</x:v>
      </x:c>
      <x:c r="O301" s="85" t="n">
        <x:v>62</x:v>
      </x:c>
      <x:c r="P301" s="85" t="n">
        <x:v>62</x:v>
      </x:c>
      <x:c r="Q301" s="85" t="n">
        <x:v>76</x:v>
      </x:c>
      <x:c r="R301" s="85" t="n">
        <x:v>67</x:v>
      </x:c>
      <x:c r="S301" s="85" t="n">
        <x:v>68</x:v>
      </x:c>
      <x:c r="T301" s="85" t="n">
        <x:v>68</x:v>
      </x:c>
      <x:c r="U301" s="85" t="n">
        <x:v>70</x:v>
      </x:c>
      <x:c r="V301" s="85" t="n">
        <x:v>65</x:v>
      </x:c>
      <x:c r="W301" s="85" t="n">
        <x:v>50</x:v>
      </x:c>
      <x:c r="X301" s="85" t="n">
        <x:v>64</x:v>
      </x:c>
      <x:c r="Y301" s="85" t="n">
        <x:v>64</x:v>
      </x:c>
      <x:c r="Z301" s="85" t="n">
        <x:v>74</x:v>
      </x:c>
      <x:c r="AA301" s="85" t="n">
        <x:v>60</x:v>
      </x:c>
      <x:c r="AB301" s="85" t="n">
        <x:v>62</x:v>
      </x:c>
      <x:c r="AC301" s="91" t="str">
        <x:v>2026 UCI WorldTeam名簿掲載</x:v>
      </x:c>
      <x:c r="AD301" s="91" t="str">
        <x:v>https://en.wikipedia.org/wiki/List_of_2026_UCI_WorldTeams_and_riders</x:v>
      </x:c>
      <x:c r="AE301" s="91" t="str">
        <x:v>能力・適性・Credit整合済</x:v>
      </x:c>
      <x:c r="AF301" s="91" t="str">
        <x:v>https://en.wikipedia.org/wiki/Special:Search?search=Mikkel%20Bjerg%20cyclist</x:v>
      </x:c>
    </x:row>
    <x:row r="302" ht="26" customHeight="1">
      <x:c r="A302" s="82" t="n">
        <x:v>298</x:v>
      </x:c>
      <x:c r="B302" s="82" t="str">
        <x:v>Luke Durbridge</x:v>
      </x:c>
      <x:c r="C302" s="143" t="str"/>
      <x:c r="D302" s="82" t="str">
        <x:v>オーストラリア</x:v>
      </x:c>
      <x:c r="E302" s="82" t="str">
        <x:v>Team Jayco–AlUla</x:v>
      </x:c>
      <x:c r="F302" s="82" t="str">
        <x:v>1991-04-09</x:v>
      </x:c>
      <x:c r="G302" s="82" t="str">
        <x:v>現役確認済</x:v>
      </x:c>
      <x:c r="H302" s="82" t="str">
        <x:v>TT・ルーラー型</x:v>
      </x:c>
      <x:c r="I302" s="82" t="str">
        <x:v>クラシック型</x:v>
      </x:c>
      <x:c r="J302" s="85" t="n">
        <x:v>58</x:v>
      </x:c>
      <x:c r="K302" s="85" t="n">
        <x:v>79</x:v>
      </x:c>
      <x:c r="L302" s="91" t="str">
        <x:v>平坦アシスト / 平坦ペースメーカー / TT牽引 / 集団コントローラー / トラブル復帰牽引</x:v>
      </x:c>
      <x:c r="M302" s="88" t="n">
        <x:v>2900</x:v>
      </x:c>
      <x:c r="N302" s="85" t="n">
        <x:v>68</x:v>
      </x:c>
      <x:c r="O302" s="85" t="n">
        <x:v>63</x:v>
      </x:c>
      <x:c r="P302" s="85" t="n">
        <x:v>63</x:v>
      </x:c>
      <x:c r="Q302" s="85" t="n">
        <x:v>77</x:v>
      </x:c>
      <x:c r="R302" s="85" t="n">
        <x:v>67</x:v>
      </x:c>
      <x:c r="S302" s="85" t="n">
        <x:v>68</x:v>
      </x:c>
      <x:c r="T302" s="85" t="n">
        <x:v>69</x:v>
      </x:c>
      <x:c r="U302" s="85" t="n">
        <x:v>71</x:v>
      </x:c>
      <x:c r="V302" s="85" t="n">
        <x:v>66</x:v>
      </x:c>
      <x:c r="W302" s="85" t="n">
        <x:v>64</x:v>
      </x:c>
      <x:c r="X302" s="85" t="n">
        <x:v>65</x:v>
      </x:c>
      <x:c r="Y302" s="85" t="n">
        <x:v>65</x:v>
      </x:c>
      <x:c r="Z302" s="85" t="n">
        <x:v>78</x:v>
      </x:c>
      <x:c r="AA302" s="85" t="n">
        <x:v>62</x:v>
      </x:c>
      <x:c r="AB302" s="85" t="n">
        <x:v>63</x:v>
      </x:c>
      <x:c r="AC302" s="91" t="str">
        <x:v>2026 UCI WorldTeam名簿掲載</x:v>
      </x:c>
      <x:c r="AD302" s="91" t="str">
        <x:v>https://en.wikipedia.org/wiki/List_of_2026_UCI_WorldTeams_and_riders</x:v>
      </x:c>
      <x:c r="AE302" s="91" t="str">
        <x:v>能力・適性・Credit整合済</x:v>
      </x:c>
      <x:c r="AF302" s="91" t="str">
        <x:v>https://en.wikipedia.org/wiki/Special:Search?search=Luke%20Durbridge%20cyclist</x:v>
      </x:c>
    </x:row>
    <x:row r="303" ht="26" customHeight="1">
      <x:c r="A303" s="82" t="n">
        <x:v>299</x:v>
      </x:c>
      <x:c r="B303" s="82" t="str">
        <x:v>Vegard Stake Laengen</x:v>
      </x:c>
      <x:c r="C303" s="143" t="str"/>
      <x:c r="D303" s="82" t="str">
        <x:v>ノルウェー</x:v>
      </x:c>
      <x:c r="E303" s="82" t="str">
        <x:v>UAE Team Emirates XRG</x:v>
      </x:c>
      <x:c r="F303" s="82" t="str">
        <x:v>1989-02-07</x:v>
      </x:c>
      <x:c r="G303" s="82" t="str">
        <x:v>現役確認済</x:v>
      </x:c>
      <x:c r="H303" s="82" t="str">
        <x:v>TT・ルーラー型</x:v>
      </x:c>
      <x:c r="I303" s="82" t="str">
        <x:v>クラシック型</x:v>
      </x:c>
      <x:c r="J303" s="85" t="n">
        <x:v>58</x:v>
      </x:c>
      <x:c r="K303" s="85" t="n">
        <x:v>78</x:v>
      </x:c>
      <x:c r="L303" s="91" t="str">
        <x:v>平坦アシスト / TT牽引 / 集団コントローラー / トラブル復帰牽引</x:v>
      </x:c>
      <x:c r="M303" s="88" t="n">
        <x:v>2850</x:v>
      </x:c>
      <x:c r="N303" s="85" t="n">
        <x:v>68</x:v>
      </x:c>
      <x:c r="O303" s="85" t="n">
        <x:v>63</x:v>
      </x:c>
      <x:c r="P303" s="85" t="n">
        <x:v>62</x:v>
      </x:c>
      <x:c r="Q303" s="85" t="n">
        <x:v>76</x:v>
      </x:c>
      <x:c r="R303" s="85" t="n">
        <x:v>67</x:v>
      </x:c>
      <x:c r="S303" s="85" t="n">
        <x:v>68</x:v>
      </x:c>
      <x:c r="T303" s="85" t="n">
        <x:v>69</x:v>
      </x:c>
      <x:c r="U303" s="85" t="n">
        <x:v>71</x:v>
      </x:c>
      <x:c r="V303" s="85" t="n">
        <x:v>65</x:v>
      </x:c>
      <x:c r="W303" s="85" t="n">
        <x:v>50</x:v>
      </x:c>
      <x:c r="X303" s="85" t="n">
        <x:v>64</x:v>
      </x:c>
      <x:c r="Y303" s="85" t="n">
        <x:v>64</x:v>
      </x:c>
      <x:c r="Z303" s="85" t="n">
        <x:v>76</x:v>
      </x:c>
      <x:c r="AA303" s="85" t="n">
        <x:v>60</x:v>
      </x:c>
      <x:c r="AB303" s="85" t="n">
        <x:v>62</x:v>
      </x:c>
      <x:c r="AC303" s="91" t="str">
        <x:v>2026 UCI WorldTeam名簿掲載</x:v>
      </x:c>
      <x:c r="AD303" s="91" t="str">
        <x:v>https://en.wikipedia.org/wiki/List_of_2026_UCI_WorldTeams_and_riders</x:v>
      </x:c>
      <x:c r="AE303" s="91" t="str">
        <x:v>能力・適性・Credit整合済</x:v>
      </x:c>
      <x:c r="AF303" s="91" t="str">
        <x:v>https://en.wikipedia.org/wiki/Special:Search?search=Vegard%20Stake%20Laengen%20cyclist</x:v>
      </x:c>
    </x:row>
    <x:row r="304" ht="26" customHeight="1">
      <x:c r="A304" s="83" t="n">
        <x:v>300</x:v>
      </x:c>
      <x:c r="B304" s="83" t="str">
        <x:v>Kasper Asgreen</x:v>
      </x:c>
      <x:c r="C304" s="143" t="str"/>
      <x:c r="D304" s="83" t="str">
        <x:v>デンマーク</x:v>
      </x:c>
      <x:c r="E304" s="83" t="str">
        <x:v>EF Education–EasyPost</x:v>
      </x:c>
      <x:c r="F304" s="83" t="str">
        <x:v>1995-02-08</x:v>
      </x:c>
      <x:c r="G304" s="83" t="str">
        <x:v>現役確認済</x:v>
      </x:c>
      <x:c r="H304" s="83" t="str">
        <x:v>TT・ルーラー型</x:v>
      </x:c>
      <x:c r="I304" s="83" t="str">
        <x:v>クラシック型</x:v>
      </x:c>
      <x:c r="J304" s="86" t="n">
        <x:v>57</x:v>
      </x:c>
      <x:c r="K304" s="86" t="n">
        <x:v>79</x:v>
      </x:c>
      <x:c r="L304" s="92" t="str">
        <x:v>平坦アシスト / TT牽引 / ブレイクアウェイキラー / トラブル復帰牽引</x:v>
      </x:c>
      <x:c r="M304" s="89" t="n">
        <x:v>2850</x:v>
      </x:c>
      <x:c r="N304" s="86" t="n">
        <x:v>68</x:v>
      </x:c>
      <x:c r="O304" s="86" t="n">
        <x:v>63</x:v>
      </x:c>
      <x:c r="P304" s="86" t="n">
        <x:v>64</x:v>
      </x:c>
      <x:c r="Q304" s="86" t="n">
        <x:v>76</x:v>
      </x:c>
      <x:c r="R304" s="86" t="n">
        <x:v>67</x:v>
      </x:c>
      <x:c r="S304" s="86" t="n">
        <x:v>69</x:v>
      </x:c>
      <x:c r="T304" s="86" t="n">
        <x:v>69</x:v>
      </x:c>
      <x:c r="U304" s="86" t="n">
        <x:v>71</x:v>
      </x:c>
      <x:c r="V304" s="86" t="n">
        <x:v>66</x:v>
      </x:c>
      <x:c r="W304" s="86" t="n">
        <x:v>76</x:v>
      </x:c>
      <x:c r="X304" s="86" t="n">
        <x:v>64</x:v>
      </x:c>
      <x:c r="Y304" s="86" t="n">
        <x:v>64</x:v>
      </x:c>
      <x:c r="Z304" s="86" t="n">
        <x:v>77</x:v>
      </x:c>
      <x:c r="AA304" s="86" t="n">
        <x:v>61</x:v>
      </x:c>
      <x:c r="AB304" s="86" t="n">
        <x:v>62</x:v>
      </x:c>
      <x:c r="AC304" s="92" t="str">
        <x:v>2026 UCI WorldTeam名簿掲載</x:v>
      </x:c>
      <x:c r="AD304" s="92" t="str">
        <x:v>https://en.wikipedia.org/wiki/List_of_2026_UCI_WorldTeams_and_riders</x:v>
      </x:c>
      <x:c r="AE304" s="92" t="str">
        <x:v>能力・適性・Credit整合済</x:v>
      </x:c>
      <x:c r="AF304" s="92" t="str">
        <x:v>https://en.wikipedia.org/wiki/Special:Search?search=Kasper%20Asgreen%20cyclist</x:v>
      </x:c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f2554d9e7b254d7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5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40" hidden="0" customWidth="1"/>
    <x:col min="13" max="13" width="13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48" hidden="0" customWidth="1"/>
    <x:col min="30" max="30" width="58" hidden="0" customWidth="1"/>
    <x:col min="31" max="31" width="20" hidden="0" customWidth="1"/>
    <x:col min="32" max="32" width="52" hidden="0" customWidth="1"/>
  </x:cols>
  <x:sheetData>
    <x:row r="1" ht="34" customHeight="1">
      <x:c r="A1" s="106" t="str">
        <x:v>引退選手 — 役割・全15能力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  <x:c r="AA1" s="106"/>
      <x:c r="AB1" s="106"/>
      <x:c r="AC1" s="106"/>
      <x:c r="AD1" s="106"/>
      <x:c r="AE1" s="106"/>
      <x:c r="AF1" s="106"/>
    </x:row>
    <x:row r="2" ht="34" customHeight="1">
      <x:c r="A2" s="109" t="str">
        <x:v>役割・戦術特性は統合済み。エース適性順のNo.で管理します。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  <x:c r="AA2" s="109"/>
      <x:c r="AB2" s="109"/>
      <x:c r="AC2" s="109"/>
      <x:c r="AD2" s="109"/>
      <x:c r="AE2" s="109"/>
      <x:c r="AF2" s="109"/>
    </x:row>
    <x:row r="3" ht="26" customHeight="1"/>
    <x:row r="4" ht="42" customHeight="1">
      <x:c r="A4" s="116" t="str">
        <x:v>No.</x:v>
      </x:c>
      <x:c r="B4" s="120" t="str">
        <x:v>実在選手名</x:v>
      </x:c>
      <x:c r="C4" s="120" t="str">
        <x:v>二つ名</x:v>
      </x:c>
      <x:c r="D4" s="120" t="str">
        <x:v>国・地域</x:v>
      </x:c>
      <x:c r="E4" s="120" t="str">
        <x:v>現所属</x:v>
      </x:c>
      <x:c r="F4" s="120" t="str">
        <x:v>生年月日</x:v>
      </x:c>
      <x:c r="G4" s="120" t="str">
        <x:v>区分</x:v>
      </x:c>
      <x:c r="H4" s="120" t="str">
        <x:v>主脚質</x:v>
      </x:c>
      <x:c r="I4" s="120" t="str">
        <x:v>副脚質</x:v>
      </x:c>
      <x:c r="J4" s="120" t="str">
        <x:v>エース適性</x:v>
      </x:c>
      <x:c r="K4" s="120" t="str">
        <x:v>アシスト適性</x:v>
      </x:c>
      <x:c r="L4" s="120" t="str">
        <x:v>役割・戦術特性</x:v>
      </x:c>
      <x:c r="M4" s="120" t="str">
        <x:v>Credit</x:v>
      </x:c>
      <x:c r="N4" s="120" t="str">
        <x:v>スプリント</x:v>
      </x:c>
      <x:c r="O4" s="120" t="str">
        <x:v>加速力</x:v>
      </x:c>
      <x:c r="P4" s="120" t="str">
        <x:v>パンチ力</x:v>
      </x:c>
      <x:c r="Q4" s="120" t="str">
        <x:v>巡航力</x:v>
      </x:c>
      <x:c r="R4" s="120" t="str">
        <x:v>登坂力</x:v>
      </x:c>
      <x:c r="S4" s="120" t="str">
        <x:v>持久力</x:v>
      </x:c>
      <x:c r="T4" s="120" t="str">
        <x:v>耐性</x:v>
      </x:c>
      <x:c r="U4" s="120" t="str">
        <x:v>技術</x:v>
      </x:c>
      <x:c r="V4" s="120" t="str">
        <x:v>バイクコントロール</x:v>
      </x:c>
      <x:c r="W4" s="120" t="str">
        <x:v>パヴェ</x:v>
      </x:c>
      <x:c r="X4" s="120" t="str">
        <x:v>回復力</x:v>
      </x:c>
      <x:c r="Y4" s="120" t="str">
        <x:v>日間回復力</x:v>
      </x:c>
      <x:c r="Z4" s="120" t="str">
        <x:v>チームワーク</x:v>
      </x:c>
      <x:c r="AA4" s="120" t="str">
        <x:v>エゴ</x:v>
      </x:c>
      <x:c r="AB4" s="120" t="str">
        <x:v>負けん気</x:v>
      </x:c>
      <x:c r="AC4" s="120" t="str">
        <x:v>選定根拠</x:v>
      </x:c>
      <x:c r="AD4" s="120" t="str">
        <x:v>現役確認URL</x:v>
      </x:c>
      <x:c r="AE4" s="120" t="str">
        <x:v>評価状態</x:v>
      </x:c>
      <x:c r="AF4" s="117" t="str">
        <x:v>人物URL</x:v>
      </x:c>
    </x:row>
    <x:row r="5" ht="26" customHeight="1">
      <x:c r="A5" s="81" t="n">
        <x:v>1</x:v>
      </x:c>
      <x:c r="B5" s="81" t="str">
        <x:v>Miguel Indurain</x:v>
      </x:c>
      <x:c r="C5" s="142" t="str">
        <x:v>静かなる大機関</x:v>
      </x:c>
      <x:c r="D5" s="81" t="str">
        <x:v>スペイン</x:v>
      </x:c>
      <x:c r="E5" s="81" t="str">
        <x:v>引退</x:v>
      </x:c>
      <x:c r="F5" s="81" t="str"/>
      <x:c r="G5" s="81" t="str">
        <x:v>引退確認済</x:v>
      </x:c>
      <x:c r="H5" s="81" t="str">
        <x:v>総合型</x:v>
      </x:c>
      <x:c r="I5" s="81" t="str">
        <x:v>クライマー</x:v>
      </x:c>
      <x:c r="J5" s="84" t="n">
        <x:v>98</x:v>
      </x:c>
      <x:c r="K5" s="84" t="n">
        <x:v>68</x:v>
      </x:c>
      <x:c r="L5" s="90" t="str">
        <x:v>エース / 山岳賞ハンター</x:v>
      </x:c>
      <x:c r="M5" s="87" t="n">
        <x:v>10850</x:v>
      </x:c>
      <x:c r="N5" s="84" t="n">
        <x:v>58</x:v>
      </x:c>
      <x:c r="O5" s="84" t="n">
        <x:v>71</x:v>
      </x:c>
      <x:c r="P5" s="84" t="n">
        <x:v>75</x:v>
      </x:c>
      <x:c r="Q5" s="84" t="n">
        <x:v>73</x:v>
      </x:c>
      <x:c r="R5" s="84" t="n">
        <x:v>84</x:v>
      </x:c>
      <x:c r="S5" s="84" t="n">
        <x:v>85</x:v>
      </x:c>
      <x:c r="T5" s="84" t="n">
        <x:v>81</x:v>
      </x:c>
      <x:c r="U5" s="84" t="n">
        <x:v>71</x:v>
      </x:c>
      <x:c r="V5" s="84" t="n">
        <x:v>71</x:v>
      </x:c>
      <x:c r="W5" s="84" t="n">
        <x:v>50</x:v>
      </x:c>
      <x:c r="X5" s="84" t="n">
        <x:v>85</x:v>
      </x:c>
      <x:c r="Y5" s="84" t="n">
        <x:v>84</x:v>
      </x:c>
      <x:c r="Z5" s="84" t="n">
        <x:v>69</x:v>
      </x:c>
      <x:c r="AA5" s="84" t="n">
        <x:v>80</x:v>
      </x:c>
      <x:c r="AB5" s="84" t="n">
        <x:v>73</x:v>
      </x:c>
      <x:c r="AC5" s="90" t="str">
        <x:v>既存時代区分「近代」（WorldTeam名簿外）</x:v>
      </x:c>
      <x:c r="AD5" s="90" t="str">
        <x:v>https://en.wikipedia.org/wiki/Special:Search?search=Miguel%20Indurain%20cyclist</x:v>
      </x:c>
      <x:c r="AE5" s="90" t="str">
        <x:v>能力・適性・Credit整合済</x:v>
      </x:c>
      <x:c r="AF5" s="90" t="str">
        <x:v>https://en.wikipedia.org/wiki/Special:Search?search=Miguel%20Indurain%20cyclist</x:v>
      </x:c>
    </x:row>
    <x:row r="6" ht="26" customHeight="1">
      <x:c r="A6" s="82" t="n">
        <x:v>2</x:v>
      </x:c>
      <x:c r="B6" s="82" t="str">
        <x:v>Chris Froome</x:v>
      </x:c>
      <x:c r="C6" s="143" t="str">
        <x:v>高地の計算王</x:v>
      </x:c>
      <x:c r="D6" s="82" t="str">
        <x:v>イギリス</x:v>
      </x:c>
      <x:c r="E6" s="82" t="str">
        <x:v>引退</x:v>
      </x:c>
      <x:c r="F6" s="82" t="str"/>
      <x:c r="G6" s="82" t="str">
        <x:v>引退確認済</x:v>
      </x:c>
      <x:c r="H6" s="82" t="str">
        <x:v>総合型</x:v>
      </x:c>
      <x:c r="I6" s="82" t="str">
        <x:v>クライマー</x:v>
      </x:c>
      <x:c r="J6" s="85" t="n">
        <x:v>98</x:v>
      </x:c>
      <x:c r="K6" s="85" t="n">
        <x:v>69</x:v>
      </x:c>
      <x:c r="L6" s="91" t="str">
        <x:v>エース / 山岳賞ハンター / 山岳番手</x:v>
      </x:c>
      <x:c r="M6" s="88" t="n">
        <x:v>10550</x:v>
      </x:c>
      <x:c r="N6" s="85" t="n">
        <x:v>58</x:v>
      </x:c>
      <x:c r="O6" s="85" t="n">
        <x:v>71</x:v>
      </x:c>
      <x:c r="P6" s="85" t="n">
        <x:v>75</x:v>
      </x:c>
      <x:c r="Q6" s="85" t="n">
        <x:v>73</x:v>
      </x:c>
      <x:c r="R6" s="85" t="n">
        <x:v>84</x:v>
      </x:c>
      <x:c r="S6" s="85" t="n">
        <x:v>80</x:v>
      </x:c>
      <x:c r="T6" s="85" t="n">
        <x:v>76</x:v>
      </x:c>
      <x:c r="U6" s="85" t="n">
        <x:v>70</x:v>
      </x:c>
      <x:c r="V6" s="85" t="n">
        <x:v>71</x:v>
      </x:c>
      <x:c r="W6" s="85" t="n">
        <x:v>50</x:v>
      </x:c>
      <x:c r="X6" s="85" t="n">
        <x:v>83</x:v>
      </x:c>
      <x:c r="Y6" s="85" t="n">
        <x:v>85</x:v>
      </x:c>
      <x:c r="Z6" s="85" t="n">
        <x:v>69</x:v>
      </x:c>
      <x:c r="AA6" s="85" t="n">
        <x:v>80</x:v>
      </x:c>
      <x:c r="AB6" s="85" t="n">
        <x:v>73</x:v>
      </x:c>
      <x:c r="AC6" s="91" t="str">
        <x:v>既存時代区分「近代」（WorldTeam名簿外）</x:v>
      </x:c>
      <x:c r="AD6" s="91" t="str">
        <x:v>https://en.wikipedia.org/wiki/Special:Search?search=Chris%20Froome%20cyclist</x:v>
      </x:c>
      <x:c r="AE6" s="91" t="str">
        <x:v>能力・適性・Credit整合済</x:v>
      </x:c>
      <x:c r="AF6" s="91" t="str">
        <x:v>https://en.wikipedia.org/wiki/Special:Search?search=Chris%20Froome%20cyclist</x:v>
      </x:c>
    </x:row>
    <x:row r="7" ht="26" customHeight="1">
      <x:c r="A7" s="82" t="n">
        <x:v>3</x:v>
      </x:c>
      <x:c r="B7" s="82" t="str">
        <x:v>Roberto Heras</x:v>
      </x:c>
      <x:c r="C7" s="143" t="str">
        <x:v>赤き山岳王</x:v>
      </x:c>
      <x:c r="D7" s="82" t="str">
        <x:v>スペイン</x:v>
      </x:c>
      <x:c r="E7" s="82" t="str">
        <x:v>引退</x:v>
      </x:c>
      <x:c r="F7" s="82" t="str"/>
      <x:c r="G7" s="82" t="str">
        <x:v>引退確認済</x:v>
      </x:c>
      <x:c r="H7" s="82" t="str">
        <x:v>総合型</x:v>
      </x:c>
      <x:c r="I7" s="82" t="str">
        <x:v>クライマー</x:v>
      </x:c>
      <x:c r="J7" s="85" t="n">
        <x:v>98</x:v>
      </x:c>
      <x:c r="K7" s="85" t="n">
        <x:v>79</x:v>
      </x:c>
      <x:c r="L7" s="91" t="str">
        <x:v>エース / 山岳賞ハンター / 山岳番手</x:v>
      </x:c>
      <x:c r="M7" s="88" t="n">
        <x:v>10500</x:v>
      </x:c>
      <x:c r="N7" s="85" t="n">
        <x:v>59</x:v>
      </x:c>
      <x:c r="O7" s="85" t="n">
        <x:v>70</x:v>
      </x:c>
      <x:c r="P7" s="85" t="n">
        <x:v>75</x:v>
      </x:c>
      <x:c r="Q7" s="85" t="n">
        <x:v>71</x:v>
      </x:c>
      <x:c r="R7" s="85" t="n">
        <x:v>83</x:v>
      </x:c>
      <x:c r="S7" s="85" t="n">
        <x:v>85</x:v>
      </x:c>
      <x:c r="T7" s="85" t="n">
        <x:v>79</x:v>
      </x:c>
      <x:c r="U7" s="85" t="n">
        <x:v>69</x:v>
      </x:c>
      <x:c r="V7" s="85" t="n">
        <x:v>71</x:v>
      </x:c>
      <x:c r="W7" s="85" t="n">
        <x:v>50</x:v>
      </x:c>
      <x:c r="X7" s="85" t="n">
        <x:v>85</x:v>
      </x:c>
      <x:c r="Y7" s="85" t="n">
        <x:v>83</x:v>
      </x:c>
      <x:c r="Z7" s="85" t="n">
        <x:v>71</x:v>
      </x:c>
      <x:c r="AA7" s="85" t="n">
        <x:v>78</x:v>
      </x:c>
      <x:c r="AB7" s="85" t="n">
        <x:v>72</x:v>
      </x:c>
      <x:c r="AC7" s="91" t="str">
        <x:v>既存時代区分「近代」（WorldTeam名簿外）</x:v>
      </x:c>
      <x:c r="AD7" s="91" t="str">
        <x:v>https://en.wikipedia.org/wiki/Special:Search?search=Roberto%20Heras%20cyclist</x:v>
      </x:c>
      <x:c r="AE7" s="91" t="str">
        <x:v>能力・適性・Credit整合済</x:v>
      </x:c>
      <x:c r="AF7" s="91" t="str">
        <x:v>https://en.wikipedia.org/wiki/Special:Search?search=Roberto%20Heras%20cyclist</x:v>
      </x:c>
    </x:row>
    <x:row r="8" ht="26" customHeight="1">
      <x:c r="A8" s="82" t="n">
        <x:v>4</x:v>
      </x:c>
      <x:c r="B8" s="82" t="str">
        <x:v>Alberto Contador</x:v>
      </x:c>
      <x:c r="C8" s="143" t="str">
        <x:v>山岳の射手</x:v>
      </x:c>
      <x:c r="D8" s="82" t="str">
        <x:v>スペイン</x:v>
      </x:c>
      <x:c r="E8" s="82" t="str">
        <x:v>引退</x:v>
      </x:c>
      <x:c r="F8" s="82" t="str"/>
      <x:c r="G8" s="82" t="str">
        <x:v>引退確認済</x:v>
      </x:c>
      <x:c r="H8" s="82" t="str">
        <x:v>総合型</x:v>
      </x:c>
      <x:c r="I8" s="82" t="str">
        <x:v>クライマー</x:v>
      </x:c>
      <x:c r="J8" s="85" t="n">
        <x:v>98</x:v>
      </x:c>
      <x:c r="K8" s="85" t="n">
        <x:v>70</x:v>
      </x:c>
      <x:c r="L8" s="91" t="str">
        <x:v>エース / 山岳賞ハンター</x:v>
      </x:c>
      <x:c r="M8" s="88" t="n">
        <x:v>10300</x:v>
      </x:c>
      <x:c r="N8" s="85" t="n">
        <x:v>58</x:v>
      </x:c>
      <x:c r="O8" s="85" t="n">
        <x:v>71</x:v>
      </x:c>
      <x:c r="P8" s="85" t="n">
        <x:v>76</x:v>
      </x:c>
      <x:c r="Q8" s="85" t="n">
        <x:v>72</x:v>
      </x:c>
      <x:c r="R8" s="85" t="n">
        <x:v>84</x:v>
      </x:c>
      <x:c r="S8" s="85" t="n">
        <x:v>80</x:v>
      </x:c>
      <x:c r="T8" s="85" t="n">
        <x:v>76</x:v>
      </x:c>
      <x:c r="U8" s="85" t="n">
        <x:v>70</x:v>
      </x:c>
      <x:c r="V8" s="85" t="n">
        <x:v>70</x:v>
      </x:c>
      <x:c r="W8" s="85" t="n">
        <x:v>50</x:v>
      </x:c>
      <x:c r="X8" s="85" t="n">
        <x:v>83</x:v>
      </x:c>
      <x:c r="Y8" s="85" t="n">
        <x:v>85</x:v>
      </x:c>
      <x:c r="Z8" s="85" t="n">
        <x:v>69</x:v>
      </x:c>
      <x:c r="AA8" s="85" t="n">
        <x:v>80</x:v>
      </x:c>
      <x:c r="AB8" s="85" t="n">
        <x:v>71</x:v>
      </x:c>
      <x:c r="AC8" s="91" t="str">
        <x:v>既存時代区分「近代」（WorldTeam名簿外）</x:v>
      </x:c>
      <x:c r="AD8" s="91" t="str">
        <x:v>https://en.wikipedia.org/wiki/Special:Search?search=Alberto%20Contador%20cyclist</x:v>
      </x:c>
      <x:c r="AE8" s="91" t="str">
        <x:v>能力・適性・Credit整合済</x:v>
      </x:c>
      <x:c r="AF8" s="91" t="str">
        <x:v>https://en.wikipedia.org/wiki/Special:Search?search=Alberto%20Contador%20cyclist</x:v>
      </x:c>
    </x:row>
    <x:row r="9" ht="26" customHeight="1">
      <x:c r="A9" s="82" t="n">
        <x:v>5</x:v>
      </x:c>
      <x:c r="B9" s="82" t="str">
        <x:v>Vincenzo Nibali</x:v>
      </x:c>
      <x:c r="C9" s="143" t="str">
        <x:v>海峡の鮫</x:v>
      </x:c>
      <x:c r="D9" s="82" t="str">
        <x:v>イタリア</x:v>
      </x:c>
      <x:c r="E9" s="82" t="str">
        <x:v>引退</x:v>
      </x:c>
      <x:c r="F9" s="82" t="str"/>
      <x:c r="G9" s="82" t="str">
        <x:v>引退確認済</x:v>
      </x:c>
      <x:c r="H9" s="82" t="str">
        <x:v>総合型</x:v>
      </x:c>
      <x:c r="I9" s="82" t="str">
        <x:v>クライマー</x:v>
      </x:c>
      <x:c r="J9" s="85" t="n">
        <x:v>98</x:v>
      </x:c>
      <x:c r="K9" s="85" t="n">
        <x:v>68</x:v>
      </x:c>
      <x:c r="L9" s="91" t="str">
        <x:v>エース / 山岳賞ハンター / 山岳番手</x:v>
      </x:c>
      <x:c r="M9" s="88" t="n">
        <x:v>10100</x:v>
      </x:c>
      <x:c r="N9" s="85" t="n">
        <x:v>59</x:v>
      </x:c>
      <x:c r="O9" s="85" t="n">
        <x:v>70</x:v>
      </x:c>
      <x:c r="P9" s="85" t="n">
        <x:v>76</x:v>
      </x:c>
      <x:c r="Q9" s="85" t="n">
        <x:v>71</x:v>
      </x:c>
      <x:c r="R9" s="85" t="n">
        <x:v>83</x:v>
      </x:c>
      <x:c r="S9" s="85" t="n">
        <x:v>80</x:v>
      </x:c>
      <x:c r="T9" s="85" t="n">
        <x:v>76</x:v>
      </x:c>
      <x:c r="U9" s="85" t="n">
        <x:v>69</x:v>
      </x:c>
      <x:c r="V9" s="85" t="n">
        <x:v>70</x:v>
      </x:c>
      <x:c r="W9" s="85" t="n">
        <x:v>50</x:v>
      </x:c>
      <x:c r="X9" s="85" t="n">
        <x:v>82</x:v>
      </x:c>
      <x:c r="Y9" s="85" t="n">
        <x:v>83</x:v>
      </x:c>
      <x:c r="Z9" s="85" t="n">
        <x:v>68</x:v>
      </x:c>
      <x:c r="AA9" s="85" t="n">
        <x:v>80</x:v>
      </x:c>
      <x:c r="AB9" s="85" t="n">
        <x:v>71</x:v>
      </x:c>
      <x:c r="AC9" s="91" t="str">
        <x:v>既存時代区分「近代」（WorldTeam名簿外）</x:v>
      </x:c>
      <x:c r="AD9" s="91" t="str">
        <x:v>https://en.wikipedia.org/wiki/Special:Search?search=Vincenzo%20Nibali%20cyclist</x:v>
      </x:c>
      <x:c r="AE9" s="91" t="str">
        <x:v>能力・適性・Credit整合済</x:v>
      </x:c>
      <x:c r="AF9" s="91" t="str">
        <x:v>https://en.wikipedia.org/wiki/Special:Search?search=Vincenzo%20Nibali%20cyclist</x:v>
      </x:c>
    </x:row>
    <x:row r="10" ht="26" customHeight="1">
      <x:c r="A10" s="82" t="n">
        <x:v>6</x:v>
      </x:c>
      <x:c r="B10" s="82" t="str">
        <x:v>Andre Greipel</x:v>
      </x:c>
      <x:c r="C10" s="143" t="str"/>
      <x:c r="D10" s="82" t="str">
        <x:v>ドイツ</x:v>
      </x:c>
      <x:c r="E10" s="82" t="str">
        <x:v>引退</x:v>
      </x:c>
      <x:c r="F10" s="82" t="str"/>
      <x:c r="G10" s="82" t="str">
        <x:v>引退確認済</x:v>
      </x:c>
      <x:c r="H10" s="82" t="str">
        <x:v>スプリンター</x:v>
      </x:c>
      <x:c r="I10" s="82" t="str">
        <x:v>クラシック型</x:v>
      </x:c>
      <x:c r="J10" s="85" t="n">
        <x:v>97</x:v>
      </x:c>
      <x:c r="K10" s="85" t="n">
        <x:v>56</x:v>
      </x:c>
      <x:c r="L10" s="91" t="str">
        <x:v>エース / ステージハンター / リードアウト / 最終発射台</x:v>
      </x:c>
      <x:c r="M10" s="88" t="n">
        <x:v>9400</x:v>
      </x:c>
      <x:c r="N10" s="85" t="n">
        <x:v>82</x:v>
      </x:c>
      <x:c r="O10" s="85" t="n">
        <x:v>82</x:v>
      </x:c>
      <x:c r="P10" s="85" t="n">
        <x:v>69</x:v>
      </x:c>
      <x:c r="Q10" s="85" t="n">
        <x:v>73</x:v>
      </x:c>
      <x:c r="R10" s="85" t="n">
        <x:v>57</x:v>
      </x:c>
      <x:c r="S10" s="85" t="n">
        <x:v>66</x:v>
      </x:c>
      <x:c r="T10" s="85" t="n">
        <x:v>68</x:v>
      </x:c>
      <x:c r="U10" s="85" t="n">
        <x:v>69</x:v>
      </x:c>
      <x:c r="V10" s="85" t="n">
        <x:v>72</x:v>
      </x:c>
      <x:c r="W10" s="85" t="n">
        <x:v>69</x:v>
      </x:c>
      <x:c r="X10" s="85" t="n">
        <x:v>70</x:v>
      </x:c>
      <x:c r="Y10" s="85" t="n">
        <x:v>70</x:v>
      </x:c>
      <x:c r="Z10" s="85" t="n">
        <x:v>62</x:v>
      </x:c>
      <x:c r="AA10" s="85" t="n">
        <x:v>82</x:v>
      </x:c>
      <x:c r="AB10" s="85" t="n">
        <x:v>69</x:v>
      </x:c>
      <x:c r="AC10" s="91" t="str">
        <x:v>既存時代区分「近代」（WorldTeam名簿外）</x:v>
      </x:c>
      <x:c r="AD10" s="91" t="str">
        <x:v>https://en.wikipedia.org/wiki/Special:Search?search=Andre%20Greipel%20cyclist</x:v>
      </x:c>
      <x:c r="AE10" s="91" t="str">
        <x:v>能力・適性・Credit整合済</x:v>
      </x:c>
      <x:c r="AF10" s="91" t="str">
        <x:v>https://en.wikipedia.org/wiki/Special:Search?search=Andre%20Greipel%20cyclist</x:v>
      </x:c>
    </x:row>
    <x:row r="11" ht="26" customHeight="1">
      <x:c r="A11" s="82" t="n">
        <x:v>7</x:v>
      </x:c>
      <x:c r="B11" s="82" t="str">
        <x:v>Jan Ullrich</x:v>
      </x:c>
      <x:c r="C11" s="143" t="str">
        <x:v>ドイツの巨砲</x:v>
      </x:c>
      <x:c r="D11" s="82" t="str">
        <x:v>ドイツ</x:v>
      </x:c>
      <x:c r="E11" s="82" t="str">
        <x:v>引退</x:v>
      </x:c>
      <x:c r="F11" s="82" t="str"/>
      <x:c r="G11" s="82" t="str">
        <x:v>引退確認済</x:v>
      </x:c>
      <x:c r="H11" s="82" t="str">
        <x:v>総合型</x:v>
      </x:c>
      <x:c r="I11" s="82" t="str">
        <x:v>クライマー</x:v>
      </x:c>
      <x:c r="J11" s="85" t="n">
        <x:v>96</x:v>
      </x:c>
      <x:c r="K11" s="85" t="n">
        <x:v>70</x:v>
      </x:c>
      <x:c r="L11" s="91" t="str">
        <x:v>エース / 山岳賞ハンター / TTスペシャリスト / 山岳番手</x:v>
      </x:c>
      <x:c r="M11" s="88" t="n">
        <x:v>10700</x:v>
      </x:c>
      <x:c r="N11" s="85" t="n">
        <x:v>58</x:v>
      </x:c>
      <x:c r="O11" s="85" t="n">
        <x:v>70</x:v>
      </x:c>
      <x:c r="P11" s="85" t="n">
        <x:v>75</x:v>
      </x:c>
      <x:c r="Q11" s="85" t="n">
        <x:v>73</x:v>
      </x:c>
      <x:c r="R11" s="85" t="n">
        <x:v>83</x:v>
      </x:c>
      <x:c r="S11" s="85" t="n">
        <x:v>81</x:v>
      </x:c>
      <x:c r="T11" s="85" t="n">
        <x:v>79</x:v>
      </x:c>
      <x:c r="U11" s="85" t="n">
        <x:v>69</x:v>
      </x:c>
      <x:c r="V11" s="85" t="n">
        <x:v>70</x:v>
      </x:c>
      <x:c r="W11" s="85" t="n">
        <x:v>50</x:v>
      </x:c>
      <x:c r="X11" s="85" t="n">
        <x:v>84</x:v>
      </x:c>
      <x:c r="Y11" s="85" t="n">
        <x:v>83</x:v>
      </x:c>
      <x:c r="Z11" s="85" t="n">
        <x:v>68</x:v>
      </x:c>
      <x:c r="AA11" s="85" t="n">
        <x:v>79</x:v>
      </x:c>
      <x:c r="AB11" s="85" t="n">
        <x:v>72</x:v>
      </x:c>
      <x:c r="AC11" s="91" t="str">
        <x:v>既存時代区分「近代」（WorldTeam名簿外）</x:v>
      </x:c>
      <x:c r="AD11" s="91" t="str">
        <x:v>https://en.wikipedia.org/wiki/Special:Search?search=Jan%20Ullrich%20cyclist</x:v>
      </x:c>
      <x:c r="AE11" s="91" t="str">
        <x:v>能力・適性・Credit整合済</x:v>
      </x:c>
      <x:c r="AF11" s="91" t="str">
        <x:v>https://en.wikipedia.org/wiki/Special:Search?search=Jan%20Ullrich%20cyclist</x:v>
      </x:c>
    </x:row>
    <x:row r="12" ht="26" customHeight="1">
      <x:c r="A12" s="82" t="n">
        <x:v>8</x:v>
      </x:c>
      <x:c r="B12" s="82" t="str">
        <x:v>Alex Zulle</x:v>
      </x:c>
      <x:c r="C12" s="143" t="str">
        <x:v>スイスのクロノ砲</x:v>
      </x:c>
      <x:c r="D12" s="82" t="str">
        <x:v>スイス</x:v>
      </x:c>
      <x:c r="E12" s="82" t="str">
        <x:v>引退</x:v>
      </x:c>
      <x:c r="F12" s="82" t="str"/>
      <x:c r="G12" s="82" t="str">
        <x:v>引退確認済</x:v>
      </x:c>
      <x:c r="H12" s="82" t="str">
        <x:v>総合型</x:v>
      </x:c>
      <x:c r="I12" s="82" t="str">
        <x:v>TT・ルーラー型</x:v>
      </x:c>
      <x:c r="J12" s="85" t="n">
        <x:v>96</x:v>
      </x:c>
      <x:c r="K12" s="85" t="n">
        <x:v>78</x:v>
      </x:c>
      <x:c r="L12" s="91" t="str">
        <x:v>エース / TTスペシャリスト / 集団コントローラー</x:v>
      </x:c>
      <x:c r="M12" s="88" t="n">
        <x:v>10600</x:v>
      </x:c>
      <x:c r="N12" s="85" t="n">
        <x:v>61</x:v>
      </x:c>
      <x:c r="O12" s="85" t="n">
        <x:v>70</x:v>
      </x:c>
      <x:c r="P12" s="85" t="n">
        <x:v>72</x:v>
      </x:c>
      <x:c r="Q12" s="85" t="n">
        <x:v>74</x:v>
      </x:c>
      <x:c r="R12" s="85" t="n">
        <x:v>79</x:v>
      </x:c>
      <x:c r="S12" s="85" t="n">
        <x:v>81</x:v>
      </x:c>
      <x:c r="T12" s="85" t="n">
        <x:v>78</x:v>
      </x:c>
      <x:c r="U12" s="85" t="n">
        <x:v>72</x:v>
      </x:c>
      <x:c r="V12" s="85" t="n">
        <x:v>71</x:v>
      </x:c>
      <x:c r="W12" s="85" t="n">
        <x:v>50</x:v>
      </x:c>
      <x:c r="X12" s="85" t="n">
        <x:v>81</x:v>
      </x:c>
      <x:c r="Y12" s="85" t="n">
        <x:v>81</x:v>
      </x:c>
      <x:c r="Z12" s="85" t="n">
        <x:v>71</x:v>
      </x:c>
      <x:c r="AA12" s="85" t="n">
        <x:v>76</x:v>
      </x:c>
      <x:c r="AB12" s="85" t="n">
        <x:v>70</x:v>
      </x:c>
      <x:c r="AC12" s="91" t="str">
        <x:v>既存時代区分「近代」（WorldTeam名簿外）</x:v>
      </x:c>
      <x:c r="AD12" s="91" t="str">
        <x:v>https://en.wikipedia.org/wiki/Special:Search?search=Alex%20Zulle%20cyclist</x:v>
      </x:c>
      <x:c r="AE12" s="91" t="str">
        <x:v>能力・適性・Credit整合済</x:v>
      </x:c>
      <x:c r="AF12" s="91" t="str">
        <x:v>https://en.wikipedia.org/wiki/Special:Search?search=Alex%20Zulle%20cyclist</x:v>
      </x:c>
    </x:row>
    <x:row r="13" ht="26" customHeight="1">
      <x:c r="A13" s="82" t="n">
        <x:v>9</x:v>
      </x:c>
      <x:c r="B13" s="82" t="str">
        <x:v>Denis Menchov</x:v>
      </x:c>
      <x:c r="C13" s="143" t="str">
        <x:v>沈黙の総合屋</x:v>
      </x:c>
      <x:c r="D13" s="82" t="str">
        <x:v>ロシア</x:v>
      </x:c>
      <x:c r="E13" s="82" t="str">
        <x:v>引退</x:v>
      </x:c>
      <x:c r="F13" s="82" t="str"/>
      <x:c r="G13" s="82" t="str">
        <x:v>引退確認済</x:v>
      </x:c>
      <x:c r="H13" s="82" t="str">
        <x:v>総合型</x:v>
      </x:c>
      <x:c r="I13" s="82" t="str">
        <x:v>TT・ルーラー型</x:v>
      </x:c>
      <x:c r="J13" s="85" t="n">
        <x:v>96</x:v>
      </x:c>
      <x:c r="K13" s="85" t="n">
        <x:v>80</x:v>
      </x:c>
      <x:c r="L13" s="91" t="str">
        <x:v>エース</x:v>
      </x:c>
      <x:c r="M13" s="88" t="n">
        <x:v>10250</x:v>
      </x:c>
      <x:c r="N13" s="85" t="n">
        <x:v>62</x:v>
      </x:c>
      <x:c r="O13" s="85" t="n">
        <x:v>70</x:v>
      </x:c>
      <x:c r="P13" s="85" t="n">
        <x:v>72</x:v>
      </x:c>
      <x:c r="Q13" s="85" t="n">
        <x:v>74</x:v>
      </x:c>
      <x:c r="R13" s="85" t="n">
        <x:v>82</x:v>
      </x:c>
      <x:c r="S13" s="85" t="n">
        <x:v>81</x:v>
      </x:c>
      <x:c r="T13" s="85" t="n">
        <x:v>78</x:v>
      </x:c>
      <x:c r="U13" s="85" t="n">
        <x:v>71</x:v>
      </x:c>
      <x:c r="V13" s="85" t="n">
        <x:v>71</x:v>
      </x:c>
      <x:c r="W13" s="85" t="n">
        <x:v>50</x:v>
      </x:c>
      <x:c r="X13" s="85" t="n">
        <x:v>83</x:v>
      </x:c>
      <x:c r="Y13" s="85" t="n">
        <x:v>82</x:v>
      </x:c>
      <x:c r="Z13" s="85" t="n">
        <x:v>71</x:v>
      </x:c>
      <x:c r="AA13" s="85" t="n">
        <x:v>76</x:v>
      </x:c>
      <x:c r="AB13" s="85" t="n">
        <x:v>71</x:v>
      </x:c>
      <x:c r="AC13" s="91" t="str">
        <x:v>既存時代区分「近代」（WorldTeam名簿外）</x:v>
      </x:c>
      <x:c r="AD13" s="91" t="str">
        <x:v>https://en.wikipedia.org/wiki/Special:Search?search=Denis%20Menchov%20cyclist</x:v>
      </x:c>
      <x:c r="AE13" s="91" t="str">
        <x:v>能力・適性・Credit整合済</x:v>
      </x:c>
      <x:c r="AF13" s="91" t="str">
        <x:v>https://en.wikipedia.org/wiki/Special:Search?search=Denis%20Menchov%20cyclist</x:v>
      </x:c>
    </x:row>
    <x:row r="14" ht="26" customHeight="1">
      <x:c r="A14" s="82" t="n">
        <x:v>10</x:v>
      </x:c>
      <x:c r="B14" s="82" t="str">
        <x:v>Gilberto Simoni</x:v>
      </x:c>
      <x:c r="C14" s="143" t="str">
        <x:v>ジロの山鷲</x:v>
      </x:c>
      <x:c r="D14" s="82" t="str">
        <x:v>イタリア</x:v>
      </x:c>
      <x:c r="E14" s="82" t="str">
        <x:v>引退</x:v>
      </x:c>
      <x:c r="F14" s="82" t="str"/>
      <x:c r="G14" s="82" t="str">
        <x:v>引退確認済</x:v>
      </x:c>
      <x:c r="H14" s="82" t="str">
        <x:v>総合型</x:v>
      </x:c>
      <x:c r="I14" s="82" t="str">
        <x:v>クライマー</x:v>
      </x:c>
      <x:c r="J14" s="85" t="n">
        <x:v>96</x:v>
      </x:c>
      <x:c r="K14" s="85" t="n">
        <x:v>82</x:v>
      </x:c>
      <x:c r="L14" s="91" t="str">
        <x:v>エース / 山岳賞ハンター</x:v>
      </x:c>
      <x:c r="M14" s="88" t="n">
        <x:v>10250</x:v>
      </x:c>
      <x:c r="N14" s="85" t="n">
        <x:v>59</x:v>
      </x:c>
      <x:c r="O14" s="85" t="n">
        <x:v>70</x:v>
      </x:c>
      <x:c r="P14" s="85" t="n">
        <x:v>74</x:v>
      </x:c>
      <x:c r="Q14" s="85" t="n">
        <x:v>70</x:v>
      </x:c>
      <x:c r="R14" s="85" t="n">
        <x:v>82</x:v>
      </x:c>
      <x:c r="S14" s="85" t="n">
        <x:v>81</x:v>
      </x:c>
      <x:c r="T14" s="85" t="n">
        <x:v>78</x:v>
      </x:c>
      <x:c r="U14" s="85" t="n">
        <x:v>68</x:v>
      </x:c>
      <x:c r="V14" s="85" t="n">
        <x:v>70</x:v>
      </x:c>
      <x:c r="W14" s="85" t="n">
        <x:v>50</x:v>
      </x:c>
      <x:c r="X14" s="85" t="n">
        <x:v>82</x:v>
      </x:c>
      <x:c r="Y14" s="85" t="n">
        <x:v>82</x:v>
      </x:c>
      <x:c r="Z14" s="85" t="n">
        <x:v>71</x:v>
      </x:c>
      <x:c r="AA14" s="85" t="n">
        <x:v>76</x:v>
      </x:c>
      <x:c r="AB14" s="85" t="n">
        <x:v>71</x:v>
      </x:c>
      <x:c r="AC14" s="91" t="str">
        <x:v>既存時代区分「近代」（WorldTeam名簿外）</x:v>
      </x:c>
      <x:c r="AD14" s="91" t="str">
        <x:v>https://en.wikipedia.org/wiki/Special:Search?search=Gilberto%20Simoni%20cyclist</x:v>
      </x:c>
      <x:c r="AE14" s="91" t="str">
        <x:v>能力・適性・Credit整合済</x:v>
      </x:c>
      <x:c r="AF14" s="91" t="str">
        <x:v>https://en.wikipedia.org/wiki/Special:Search?search=Gilberto%20Simoni%20cyclist</x:v>
      </x:c>
    </x:row>
    <x:row r="15" ht="26" customHeight="1">
      <x:c r="A15" s="82" t="n">
        <x:v>11</x:v>
      </x:c>
      <x:c r="B15" s="82" t="str">
        <x:v>Marco Pantani</x:v>
      </x:c>
      <x:c r="C15" s="143" t="str">
        <x:v>山岳の海賊</x:v>
      </x:c>
      <x:c r="D15" s="82" t="str">
        <x:v>イタリア</x:v>
      </x:c>
      <x:c r="E15" s="82" t="str">
        <x:v>引退</x:v>
      </x:c>
      <x:c r="F15" s="82" t="str"/>
      <x:c r="G15" s="82" t="str">
        <x:v>引退確認済</x:v>
      </x:c>
      <x:c r="H15" s="82" t="str">
        <x:v>クライマー</x:v>
      </x:c>
      <x:c r="I15" s="82" t="str">
        <x:v>パンチャー</x:v>
      </x:c>
      <x:c r="J15" s="85" t="n">
        <x:v>96</x:v>
      </x:c>
      <x:c r="K15" s="85" t="n">
        <x:v>66</x:v>
      </x:c>
      <x:c r="L15" s="91" t="str">
        <x:v>エース / 下り牽引</x:v>
      </x:c>
      <x:c r="M15" s="88" t="n">
        <x:v>10000</x:v>
      </x:c>
      <x:c r="N15" s="85" t="n">
        <x:v>57</x:v>
      </x:c>
      <x:c r="O15" s="85" t="n">
        <x:v>74</x:v>
      </x:c>
      <x:c r="P15" s="85" t="n">
        <x:v>74</x:v>
      </x:c>
      <x:c r="Q15" s="85" t="n">
        <x:v>64</x:v>
      </x:c>
      <x:c r="R15" s="85" t="n">
        <x:v>80</x:v>
      </x:c>
      <x:c r="S15" s="85" t="n">
        <x:v>76</x:v>
      </x:c>
      <x:c r="T15" s="85" t="n">
        <x:v>78</x:v>
      </x:c>
      <x:c r="U15" s="85" t="n">
        <x:v>68</x:v>
      </x:c>
      <x:c r="V15" s="85" t="n">
        <x:v>72</x:v>
      </x:c>
      <x:c r="W15" s="85" t="n">
        <x:v>50</x:v>
      </x:c>
      <x:c r="X15" s="85" t="n">
        <x:v>76</x:v>
      </x:c>
      <x:c r="Y15" s="85" t="n">
        <x:v>77</x:v>
      </x:c>
      <x:c r="Z15" s="85" t="n">
        <x:v>66</x:v>
      </x:c>
      <x:c r="AA15" s="85" t="n">
        <x:v>74</x:v>
      </x:c>
      <x:c r="AB15" s="85" t="n">
        <x:v>81</x:v>
      </x:c>
      <x:c r="AC15" s="91" t="str">
        <x:v>既存時代区分「近代」（WorldTeam名簿外）</x:v>
      </x:c>
      <x:c r="AD15" s="91" t="str">
        <x:v>https://en.wikipedia.org/wiki/Special:Search?search=Marco%20Pantani%20cyclist</x:v>
      </x:c>
      <x:c r="AE15" s="91" t="str">
        <x:v>能力・適性・Credit整合済</x:v>
      </x:c>
      <x:c r="AF15" s="91" t="str">
        <x:v>https://en.wikipedia.org/wiki/Special:Search?search=Marco%20Pantani%20cyclist</x:v>
      </x:c>
    </x:row>
    <x:row r="16" ht="26" customHeight="1">
      <x:c r="A16" s="82" t="n">
        <x:v>12</x:v>
      </x:c>
      <x:c r="B16" s="82" t="str">
        <x:v>Simon Yates</x:v>
      </x:c>
      <x:c r="C16" s="143" t="str">
        <x:v>赤き山岳の切り札</x:v>
      </x:c>
      <x:c r="D16" s="82" t="str">
        <x:v>イギリス</x:v>
      </x:c>
      <x:c r="E16" s="82" t="str">
        <x:v>引退</x:v>
      </x:c>
      <x:c r="F16" s="82" t="str"/>
      <x:c r="G16" s="82" t="str">
        <x:v>引退確認済</x:v>
      </x:c>
      <x:c r="H16" s="82" t="str">
        <x:v>総合型</x:v>
      </x:c>
      <x:c r="I16" s="82" t="str">
        <x:v>クライマー</x:v>
      </x:c>
      <x:c r="J16" s="85" t="n">
        <x:v>96</x:v>
      </x:c>
      <x:c r="K16" s="85" t="n">
        <x:v>81</x:v>
      </x:c>
      <x:c r="L16" s="91" t="str">
        <x:v>エース / 山岳賞ハンター / 山岳番手</x:v>
      </x:c>
      <x:c r="M16" s="88" t="n">
        <x:v>9950</x:v>
      </x:c>
      <x:c r="N16" s="85" t="n">
        <x:v>58</x:v>
      </x:c>
      <x:c r="O16" s="85" t="n">
        <x:v>70</x:v>
      </x:c>
      <x:c r="P16" s="85" t="n">
        <x:v>74</x:v>
      </x:c>
      <x:c r="Q16" s="85" t="n">
        <x:v>70</x:v>
      </x:c>
      <x:c r="R16" s="85" t="n">
        <x:v>81</x:v>
      </x:c>
      <x:c r="S16" s="85" t="n">
        <x:v>79</x:v>
      </x:c>
      <x:c r="T16" s="85" t="n">
        <x:v>75</x:v>
      </x:c>
      <x:c r="U16" s="85" t="n">
        <x:v>68</x:v>
      </x:c>
      <x:c r="V16" s="85" t="n">
        <x:v>69</x:v>
      </x:c>
      <x:c r="W16" s="85" t="n">
        <x:v>50</x:v>
      </x:c>
      <x:c r="X16" s="85" t="n">
        <x:v>81</x:v>
      </x:c>
      <x:c r="Y16" s="85" t="n">
        <x:v>81</x:v>
      </x:c>
      <x:c r="Z16" s="85" t="n">
        <x:v>71</x:v>
      </x:c>
      <x:c r="AA16" s="85" t="n">
        <x:v>78</x:v>
      </x:c>
      <x:c r="AB16" s="85" t="n">
        <x:v>71</x:v>
      </x:c>
      <x:c r="AC16" s="91" t="str">
        <x:v>既存時代区分「近代」（WorldTeam名簿外）</x:v>
      </x:c>
      <x:c r="AD16" s="91" t="str">
        <x:v>https://en.wikipedia.org/wiki/Special:Search?search=Simon%20Yates%20cyclist</x:v>
      </x:c>
      <x:c r="AE16" s="91" t="str">
        <x:v>能力・適性・Credit整合済</x:v>
      </x:c>
      <x:c r="AF16" s="91" t="str">
        <x:v>https://en.wikipedia.org/wiki/Special:Search?search=Simon%20Yates%20cyclist</x:v>
      </x:c>
    </x:row>
    <x:row r="17" ht="26" customHeight="1">
      <x:c r="A17" s="82" t="n">
        <x:v>13</x:v>
      </x:c>
      <x:c r="B17" s="82" t="str">
        <x:v>Ivan Basso</x:v>
      </x:c>
      <x:c r="C17" s="143" t="str">
        <x:v>静かなる山岳貴公子</x:v>
      </x:c>
      <x:c r="D17" s="82" t="str">
        <x:v>イタリア</x:v>
      </x:c>
      <x:c r="E17" s="82" t="str">
        <x:v>引退</x:v>
      </x:c>
      <x:c r="F17" s="82" t="str"/>
      <x:c r="G17" s="82" t="str">
        <x:v>引退確認済</x:v>
      </x:c>
      <x:c r="H17" s="82" t="str">
        <x:v>総合型</x:v>
      </x:c>
      <x:c r="I17" s="82" t="str">
        <x:v>クライマー</x:v>
      </x:c>
      <x:c r="J17" s="85" t="n">
        <x:v>96</x:v>
      </x:c>
      <x:c r="K17" s="85" t="n">
        <x:v>78</x:v>
      </x:c>
      <x:c r="L17" s="91" t="str">
        <x:v>エース / 山岳賞ハンター</x:v>
      </x:c>
      <x:c r="M17" s="88" t="n">
        <x:v>9900</x:v>
      </x:c>
      <x:c r="N17" s="85" t="n">
        <x:v>58</x:v>
      </x:c>
      <x:c r="O17" s="85" t="n">
        <x:v>70</x:v>
      </x:c>
      <x:c r="P17" s="85" t="n">
        <x:v>74</x:v>
      </x:c>
      <x:c r="Q17" s="85" t="n">
        <x:v>70</x:v>
      </x:c>
      <x:c r="R17" s="85" t="n">
        <x:v>81</x:v>
      </x:c>
      <x:c r="S17" s="85" t="n">
        <x:v>80</x:v>
      </x:c>
      <x:c r="T17" s="85" t="n">
        <x:v>75</x:v>
      </x:c>
      <x:c r="U17" s="85" t="n">
        <x:v>68</x:v>
      </x:c>
      <x:c r="V17" s="85" t="n">
        <x:v>69</x:v>
      </x:c>
      <x:c r="W17" s="85" t="n">
        <x:v>50</x:v>
      </x:c>
      <x:c r="X17" s="85" t="n">
        <x:v>81</x:v>
      </x:c>
      <x:c r="Y17" s="85" t="n">
        <x:v>81</x:v>
      </x:c>
      <x:c r="Z17" s="85" t="n">
        <x:v>70</x:v>
      </x:c>
      <x:c r="AA17" s="85" t="n">
        <x:v>78</x:v>
      </x:c>
      <x:c r="AB17" s="85" t="n">
        <x:v>70</x:v>
      </x:c>
      <x:c r="AC17" s="91" t="str">
        <x:v>既存時代区分「近代」（WorldTeam名簿外）</x:v>
      </x:c>
      <x:c r="AD17" s="91" t="str">
        <x:v>https://en.wikipedia.org/wiki/Special:Search?search=Ivan%20Basso%20cyclist</x:v>
      </x:c>
      <x:c r="AE17" s="91" t="str">
        <x:v>能力・適性・Credit整合済</x:v>
      </x:c>
      <x:c r="AF17" s="91" t="str">
        <x:v>https://en.wikipedia.org/wiki/Special:Search?search=Ivan%20Basso%20cyclist</x:v>
      </x:c>
    </x:row>
    <x:row r="18" ht="26" customHeight="1">
      <x:c r="A18" s="82" t="n">
        <x:v>14</x:v>
      </x:c>
      <x:c r="B18" s="82" t="str">
        <x:v>Alessandro Petacchi</x:v>
      </x:c>
      <x:c r="C18" s="143" t="str">
        <x:v>アドリアの超特急</x:v>
      </x:c>
      <x:c r="D18" s="82" t="str">
        <x:v>イタリア</x:v>
      </x:c>
      <x:c r="E18" s="82" t="str">
        <x:v>引退</x:v>
      </x:c>
      <x:c r="F18" s="82" t="str"/>
      <x:c r="G18" s="82" t="str">
        <x:v>引退確認済</x:v>
      </x:c>
      <x:c r="H18" s="82" t="str">
        <x:v>スプリンター</x:v>
      </x:c>
      <x:c r="I18" s="82" t="str">
        <x:v>クラシック型</x:v>
      </x:c>
      <x:c r="J18" s="85" t="n">
        <x:v>96</x:v>
      </x:c>
      <x:c r="K18" s="85" t="n">
        <x:v>57</x:v>
      </x:c>
      <x:c r="L18" s="91" t="str">
        <x:v>エース / リードアウト / 最終発射台 / スプリントトレイン</x:v>
      </x:c>
      <x:c r="M18" s="88" t="n">
        <x:v>9500</x:v>
      </x:c>
      <x:c r="N18" s="85" t="n">
        <x:v>85</x:v>
      </x:c>
      <x:c r="O18" s="85" t="n">
        <x:v>85</x:v>
      </x:c>
      <x:c r="P18" s="85" t="n">
        <x:v>69</x:v>
      </x:c>
      <x:c r="Q18" s="85" t="n">
        <x:v>74</x:v>
      </x:c>
      <x:c r="R18" s="85" t="n">
        <x:v>57</x:v>
      </x:c>
      <x:c r="S18" s="85" t="n">
        <x:v>68</x:v>
      </x:c>
      <x:c r="T18" s="85" t="n">
        <x:v>69</x:v>
      </x:c>
      <x:c r="U18" s="85" t="n">
        <x:v>68</x:v>
      </x:c>
      <x:c r="V18" s="85" t="n">
        <x:v>72</x:v>
      </x:c>
      <x:c r="W18" s="85" t="n">
        <x:v>50</x:v>
      </x:c>
      <x:c r="X18" s="85" t="n">
        <x:v>71</x:v>
      </x:c>
      <x:c r="Y18" s="85" t="n">
        <x:v>70</x:v>
      </x:c>
      <x:c r="Z18" s="85" t="n">
        <x:v>63</x:v>
      </x:c>
      <x:c r="AA18" s="85" t="n">
        <x:v>85</x:v>
      </x:c>
      <x:c r="AB18" s="85" t="n">
        <x:v>70</x:v>
      </x:c>
      <x:c r="AC18" s="91" t="str">
        <x:v>既存時代区分「近代」（WorldTeam名簿外）</x:v>
      </x:c>
      <x:c r="AD18" s="91" t="str">
        <x:v>https://en.wikipedia.org/wiki/Special:Search?search=Alessandro%20Petacchi%20cyclist</x:v>
      </x:c>
      <x:c r="AE18" s="91" t="str">
        <x:v>能力・適性・Credit整合済</x:v>
      </x:c>
      <x:c r="AF18" s="91" t="str">
        <x:v>https://en.wikipedia.org/wiki/Special:Search?search=Alessandro%20Petacchi%20cyclist</x:v>
      </x:c>
    </x:row>
    <x:row r="19" ht="26" customHeight="1">
      <x:c r="A19" s="82" t="n">
        <x:v>15</x:v>
      </x:c>
      <x:c r="B19" s="82" t="str">
        <x:v>Mario Cipollini</x:v>
      </x:c>
      <x:c r="C19" s="143" t="str">
        <x:v>伊達男の獅子</x:v>
      </x:c>
      <x:c r="D19" s="82" t="str">
        <x:v>イタリア</x:v>
      </x:c>
      <x:c r="E19" s="82" t="str">
        <x:v>引退</x:v>
      </x:c>
      <x:c r="F19" s="82" t="str"/>
      <x:c r="G19" s="82" t="str">
        <x:v>引退確認済</x:v>
      </x:c>
      <x:c r="H19" s="82" t="str">
        <x:v>スプリンター</x:v>
      </x:c>
      <x:c r="I19" s="82" t="str">
        <x:v>クラシック型</x:v>
      </x:c>
      <x:c r="J19" s="85" t="n">
        <x:v>95</x:v>
      </x:c>
      <x:c r="K19" s="85" t="n">
        <x:v>58</x:v>
      </x:c>
      <x:c r="L19" s="91" t="str">
        <x:v>エース / リードアウト / 最終発射台</x:v>
      </x:c>
      <x:c r="M19" s="88" t="n">
        <x:v>10050</x:v>
      </x:c>
      <x:c r="N19" s="85" t="n">
        <x:v>85</x:v>
      </x:c>
      <x:c r="O19" s="85" t="n">
        <x:v>85</x:v>
      </x:c>
      <x:c r="P19" s="85" t="n">
        <x:v>69</x:v>
      </x:c>
      <x:c r="Q19" s="85" t="n">
        <x:v>73</x:v>
      </x:c>
      <x:c r="R19" s="85" t="n">
        <x:v>57</x:v>
      </x:c>
      <x:c r="S19" s="85" t="n">
        <x:v>69</x:v>
      </x:c>
      <x:c r="T19" s="85" t="n">
        <x:v>69</x:v>
      </x:c>
      <x:c r="U19" s="85" t="n">
        <x:v>69</x:v>
      </x:c>
      <x:c r="V19" s="85" t="n">
        <x:v>72</x:v>
      </x:c>
      <x:c r="W19" s="85" t="n">
        <x:v>50</x:v>
      </x:c>
      <x:c r="X19" s="85" t="n">
        <x:v>71</x:v>
      </x:c>
      <x:c r="Y19" s="85" t="n">
        <x:v>70</x:v>
      </x:c>
      <x:c r="Z19" s="85" t="n">
        <x:v>63</x:v>
      </x:c>
      <x:c r="AA19" s="85" t="n">
        <x:v>85</x:v>
      </x:c>
      <x:c r="AB19" s="85" t="n">
        <x:v>70</x:v>
      </x:c>
      <x:c r="AC19" s="91" t="str">
        <x:v>既存時代区分「近代」（WorldTeam名簿外）</x:v>
      </x:c>
      <x:c r="AD19" s="91" t="str">
        <x:v>https://en.wikipedia.org/wiki/Special:Search?search=Mario%20Cipollini%20cyclist</x:v>
      </x:c>
      <x:c r="AE19" s="91" t="str">
        <x:v>能力・適性・Credit整合済</x:v>
      </x:c>
      <x:c r="AF19" s="91" t="str">
        <x:v>https://en.wikipedia.org/wiki/Special:Search?search=Mario%20Cipollini%20cyclist</x:v>
      </x:c>
    </x:row>
    <x:row r="20" ht="26" customHeight="1">
      <x:c r="A20" s="82" t="n">
        <x:v>16</x:v>
      </x:c>
      <x:c r="B20" s="82" t="str">
        <x:v>Mark Cavendish</x:v>
      </x:c>
      <x:c r="C20" s="143" t="str">
        <x:v>最速の島風</x:v>
      </x:c>
      <x:c r="D20" s="82" t="str">
        <x:v>イギリス</x:v>
      </x:c>
      <x:c r="E20" s="82" t="str">
        <x:v>引退</x:v>
      </x:c>
      <x:c r="F20" s="82" t="str"/>
      <x:c r="G20" s="82" t="str">
        <x:v>引退確認済</x:v>
      </x:c>
      <x:c r="H20" s="82" t="str">
        <x:v>スプリンター</x:v>
      </x:c>
      <x:c r="I20" s="82" t="str">
        <x:v>クラシック型</x:v>
      </x:c>
      <x:c r="J20" s="85" t="n">
        <x:v>94</x:v>
      </x:c>
      <x:c r="K20" s="85" t="n">
        <x:v>59</x:v>
      </x:c>
      <x:c r="L20" s="91" t="str">
        <x:v>エース / リードアウト / 最終発射台 / 無賃乗車</x:v>
      </x:c>
      <x:c r="M20" s="88" t="n">
        <x:v>10150</x:v>
      </x:c>
      <x:c r="N20" s="85" t="n">
        <x:v>84</x:v>
      </x:c>
      <x:c r="O20" s="85" t="n">
        <x:v>83</x:v>
      </x:c>
      <x:c r="P20" s="85" t="n">
        <x:v>66</x:v>
      </x:c>
      <x:c r="Q20" s="85" t="n">
        <x:v>74</x:v>
      </x:c>
      <x:c r="R20" s="85" t="n">
        <x:v>55</x:v>
      </x:c>
      <x:c r="S20" s="85" t="n">
        <x:v>67</x:v>
      </x:c>
      <x:c r="T20" s="85" t="n">
        <x:v>69</x:v>
      </x:c>
      <x:c r="U20" s="85" t="n">
        <x:v>76</x:v>
      </x:c>
      <x:c r="V20" s="85" t="n">
        <x:v>70</x:v>
      </x:c>
      <x:c r="W20" s="85" t="n">
        <x:v>69</x:v>
      </x:c>
      <x:c r="X20" s="85" t="n">
        <x:v>68</x:v>
      </x:c>
      <x:c r="Y20" s="85" t="n">
        <x:v>68</x:v>
      </x:c>
      <x:c r="Z20" s="85" t="n">
        <x:v>58</x:v>
      </x:c>
      <x:c r="AA20" s="85" t="n">
        <x:v>84</x:v>
      </x:c>
      <x:c r="AB20" s="85" t="n">
        <x:v>74</x:v>
      </x:c>
      <x:c r="AC20" s="91" t="str">
        <x:v>既存時代区分「近代」（WorldTeam名簿外）</x:v>
      </x:c>
      <x:c r="AD20" s="91" t="str">
        <x:v>https://en.wikipedia.org/wiki/Special:Search?search=Mark%20Cavendish%20cyclist</x:v>
      </x:c>
      <x:c r="AE20" s="91" t="str">
        <x:v>能力・適性・Credit整合済</x:v>
      </x:c>
      <x:c r="AF20" s="91" t="str">
        <x:v>https://en.wikipedia.org/wiki/Special:Search?search=Mark%20Cavendish%20cyclist</x:v>
      </x:c>
    </x:row>
    <x:row r="21" ht="26" customHeight="1">
      <x:c r="A21" s="82" t="n">
        <x:v>17</x:v>
      </x:c>
      <x:c r="B21" s="82" t="str">
        <x:v>Robbie McEwen</x:v>
      </x:c>
      <x:c r="C21" s="143" t="str"/>
      <x:c r="D21" s="82" t="str">
        <x:v>オーストラリア</x:v>
      </x:c>
      <x:c r="E21" s="82" t="str">
        <x:v>引退</x:v>
      </x:c>
      <x:c r="F21" s="82" t="str"/>
      <x:c r="G21" s="82" t="str">
        <x:v>引退確認済</x:v>
      </x:c>
      <x:c r="H21" s="82" t="str">
        <x:v>スプリンター</x:v>
      </x:c>
      <x:c r="I21" s="82" t="str">
        <x:v>クラシック型</x:v>
      </x:c>
      <x:c r="J21" s="85" t="n">
        <x:v>94</x:v>
      </x:c>
      <x:c r="K21" s="85" t="n">
        <x:v>59</x:v>
      </x:c>
      <x:c r="L21" s="91" t="str">
        <x:v>エース / リードアウト / 最終発射台</x:v>
      </x:c>
      <x:c r="M21" s="88" t="n">
        <x:v>9200</x:v>
      </x:c>
      <x:c r="N21" s="85" t="n">
        <x:v>80</x:v>
      </x:c>
      <x:c r="O21" s="85" t="n">
        <x:v>81</x:v>
      </x:c>
      <x:c r="P21" s="85" t="n">
        <x:v>69</x:v>
      </x:c>
      <x:c r="Q21" s="85" t="n">
        <x:v>72</x:v>
      </x:c>
      <x:c r="R21" s="85" t="n">
        <x:v>57</x:v>
      </x:c>
      <x:c r="S21" s="85" t="n">
        <x:v>66</x:v>
      </x:c>
      <x:c r="T21" s="85" t="n">
        <x:v>67</x:v>
      </x:c>
      <x:c r="U21" s="85" t="n">
        <x:v>68</x:v>
      </x:c>
      <x:c r="V21" s="85" t="n">
        <x:v>72</x:v>
      </x:c>
      <x:c r="W21" s="85" t="n">
        <x:v>50</x:v>
      </x:c>
      <x:c r="X21" s="85" t="n">
        <x:v>70</x:v>
      </x:c>
      <x:c r="Y21" s="85" t="n">
        <x:v>69</x:v>
      </x:c>
      <x:c r="Z21" s="85" t="n">
        <x:v>62</x:v>
      </x:c>
      <x:c r="AA21" s="85" t="n">
        <x:v>81</x:v>
      </x:c>
      <x:c r="AB21" s="85" t="n">
        <x:v>70</x:v>
      </x:c>
      <x:c r="AC21" s="91" t="str">
        <x:v>既存時代区分「近代」（WorldTeam名簿外）</x:v>
      </x:c>
      <x:c r="AD21" s="91" t="str">
        <x:v>https://en.wikipedia.org/wiki/Special:Search?search=Robbie%20McEwen%20cyclist</x:v>
      </x:c>
      <x:c r="AE21" s="91" t="str">
        <x:v>能力・適性・Credit整合済</x:v>
      </x:c>
      <x:c r="AF21" s="91" t="str">
        <x:v>https://en.wikipedia.org/wiki/Special:Search?search=Robbie%20McEwen%20cyclist</x:v>
      </x:c>
    </x:row>
    <x:row r="22" ht="26" customHeight="1">
      <x:c r="A22" s="82" t="n">
        <x:v>18</x:v>
      </x:c>
      <x:c r="B22" s="82" t="str">
        <x:v>Andy Schleck</x:v>
      </x:c>
      <x:c r="C22" s="143" t="str"/>
      <x:c r="D22" s="82" t="str">
        <x:v>ルクセンブルク</x:v>
      </x:c>
      <x:c r="E22" s="82" t="str">
        <x:v>引退</x:v>
      </x:c>
      <x:c r="F22" s="82" t="str"/>
      <x:c r="G22" s="82" t="str">
        <x:v>引退確認済</x:v>
      </x:c>
      <x:c r="H22" s="82" t="str">
        <x:v>クライマー</x:v>
      </x:c>
      <x:c r="I22" s="82" t="str">
        <x:v>パンチャー</x:v>
      </x:c>
      <x:c r="J22" s="85" t="n">
        <x:v>94</x:v>
      </x:c>
      <x:c r="K22" s="85" t="n">
        <x:v>64</x:v>
      </x:c>
      <x:c r="L22" s="91" t="str">
        <x:v>エース / 山岳賞ハンター</x:v>
      </x:c>
      <x:c r="M22" s="88" t="n">
        <x:v>9050</x:v>
      </x:c>
      <x:c r="N22" s="85" t="n">
        <x:v>59</x:v>
      </x:c>
      <x:c r="O22" s="85" t="n">
        <x:v>72</x:v>
      </x:c>
      <x:c r="P22" s="85" t="n">
        <x:v>73</x:v>
      </x:c>
      <x:c r="Q22" s="85" t="n">
        <x:v>65</x:v>
      </x:c>
      <x:c r="R22" s="85" t="n">
        <x:v>79</x:v>
      </x:c>
      <x:c r="S22" s="85" t="n">
        <x:v>74</x:v>
      </x:c>
      <x:c r="T22" s="85" t="n">
        <x:v>73</x:v>
      </x:c>
      <x:c r="U22" s="85" t="n">
        <x:v>66</x:v>
      </x:c>
      <x:c r="V22" s="85" t="n">
        <x:v>69</x:v>
      </x:c>
      <x:c r="W22" s="85" t="n">
        <x:v>50</x:v>
      </x:c>
      <x:c r="X22" s="85" t="n">
        <x:v>77</x:v>
      </x:c>
      <x:c r="Y22" s="85" t="n">
        <x:v>77</x:v>
      </x:c>
      <x:c r="Z22" s="85" t="n">
        <x:v>68</x:v>
      </x:c>
      <x:c r="AA22" s="85" t="n">
        <x:v>72</x:v>
      </x:c>
      <x:c r="AB22" s="85" t="n">
        <x:v>74</x:v>
      </x:c>
      <x:c r="AC22" s="91" t="str">
        <x:v>既存時代区分「近代」（WorldTeam名簿外）</x:v>
      </x:c>
      <x:c r="AD22" s="91" t="str">
        <x:v>https://en.wikipedia.org/wiki/Special:Search?search=Andy%20Schleck%20cyclist</x:v>
      </x:c>
      <x:c r="AE22" s="91" t="str">
        <x:v>能力・適性・Credit整合済</x:v>
      </x:c>
      <x:c r="AF22" s="91" t="str">
        <x:v>https://en.wikipedia.org/wiki/Special:Search?search=Andy%20Schleck%20cyclist</x:v>
      </x:c>
    </x:row>
    <x:row r="23" ht="26" customHeight="1">
      <x:c r="A23" s="82" t="n">
        <x:v>19</x:v>
      </x:c>
      <x:c r="B23" s="82" t="str">
        <x:v>Fabian Cancellara</x:v>
      </x:c>
      <x:c r="C23" s="143" t="str">
        <x:v>クロノの剣闘士</x:v>
      </x:c>
      <x:c r="D23" s="82" t="str">
        <x:v>スイス</x:v>
      </x:c>
      <x:c r="E23" s="82" t="str">
        <x:v>引退</x:v>
      </x:c>
      <x:c r="F23" s="82" t="str"/>
      <x:c r="G23" s="82" t="str">
        <x:v>引退確認済</x:v>
      </x:c>
      <x:c r="H23" s="82" t="str">
        <x:v>クラシック型</x:v>
      </x:c>
      <x:c r="I23" s="82" t="str">
        <x:v>TT・ルーラー型</x:v>
      </x:c>
      <x:c r="J23" s="85" t="n">
        <x:v>93</x:v>
      </x:c>
      <x:c r="K23" s="85" t="n">
        <x:v>70</x:v>
      </x:c>
      <x:c r="L23" s="91" t="str">
        <x:v>エース / TTスペシャリスト / 石畳護衛 / 横風要員 / 逃げ屋 / 超ロングスパート / 無賃乗車</x:v>
      </x:c>
      <x:c r="M23" s="88" t="n">
        <x:v>10950</x:v>
      </x:c>
      <x:c r="N23" s="85" t="n">
        <x:v>75</x:v>
      </x:c>
      <x:c r="O23" s="85" t="n">
        <x:v>74</x:v>
      </x:c>
      <x:c r="P23" s="85" t="n">
        <x:v>78</x:v>
      </x:c>
      <x:c r="Q23" s="85" t="n">
        <x:v>83</x:v>
      </x:c>
      <x:c r="R23" s="85" t="n">
        <x:v>67</x:v>
      </x:c>
      <x:c r="S23" s="85" t="n">
        <x:v>83</x:v>
      </x:c>
      <x:c r="T23" s="85" t="n">
        <x:v>83</x:v>
      </x:c>
      <x:c r="U23" s="85" t="n">
        <x:v>85</x:v>
      </x:c>
      <x:c r="V23" s="85" t="n">
        <x:v>85</x:v>
      </x:c>
      <x:c r="W23" s="85" t="n">
        <x:v>84</x:v>
      </x:c>
      <x:c r="X23" s="85" t="n">
        <x:v>75</x:v>
      </x:c>
      <x:c r="Y23" s="85" t="n">
        <x:v>75</x:v>
      </x:c>
      <x:c r="Z23" s="85" t="n">
        <x:v>76</x:v>
      </x:c>
      <x:c r="AA23" s="85" t="n">
        <x:v>72</x:v>
      </x:c>
      <x:c r="AB23" s="85" t="n">
        <x:v>82</x:v>
      </x:c>
      <x:c r="AC23" s="91" t="str">
        <x:v>既存時代区分「近代」（WorldTeam名簿外）</x:v>
      </x:c>
      <x:c r="AD23" s="91" t="str">
        <x:v>https://en.wikipedia.org/wiki/Special:Search?search=Fabian%20Cancellara%20cyclist</x:v>
      </x:c>
      <x:c r="AE23" s="91" t="str">
        <x:v>能力・適性・Credit整合済</x:v>
      </x:c>
      <x:c r="AF23" s="91" t="str">
        <x:v>https://en.wikipedia.org/wiki/Special:Search?search=Fabian%20Cancellara%20cyclist</x:v>
      </x:c>
    </x:row>
    <x:row r="24" ht="26" customHeight="1">
      <x:c r="A24" s="82" t="n">
        <x:v>20</x:v>
      </x:c>
      <x:c r="B24" s="82" t="str">
        <x:v>Michele Bartoli</x:v>
      </x:c>
      <x:c r="C24" s="143" t="str">
        <x:v>トスカーナの獅子</x:v>
      </x:c>
      <x:c r="D24" s="82" t="str">
        <x:v>イタリア</x:v>
      </x:c>
      <x:c r="E24" s="82" t="str">
        <x:v>引退</x:v>
      </x:c>
      <x:c r="F24" s="82" t="str"/>
      <x:c r="G24" s="82" t="str">
        <x:v>引退確認済</x:v>
      </x:c>
      <x:c r="H24" s="82" t="str">
        <x:v>パンチャー</x:v>
      </x:c>
      <x:c r="I24" s="82" t="str">
        <x:v>クライマー</x:v>
      </x:c>
      <x:c r="J24" s="85" t="n">
        <x:v>93</x:v>
      </x:c>
      <x:c r="K24" s="85" t="n">
        <x:v>62</x:v>
      </x:c>
      <x:c r="L24" s="91" t="str">
        <x:v>エース / ステージハンター / 山岳賞ハンター</x:v>
      </x:c>
      <x:c r="M24" s="88" t="n">
        <x:v>9750</x:v>
      </x:c>
      <x:c r="N24" s="85" t="n">
        <x:v>68</x:v>
      </x:c>
      <x:c r="O24" s="85" t="n">
        <x:v>78</x:v>
      </x:c>
      <x:c r="P24" s="85" t="n">
        <x:v>82</x:v>
      </x:c>
      <x:c r="Q24" s="85" t="n">
        <x:v>67</x:v>
      </x:c>
      <x:c r="R24" s="85" t="n">
        <x:v>75</x:v>
      </x:c>
      <x:c r="S24" s="85" t="n">
        <x:v>71</x:v>
      </x:c>
      <x:c r="T24" s="85" t="n">
        <x:v>69</x:v>
      </x:c>
      <x:c r="U24" s="85" t="n">
        <x:v>75</x:v>
      </x:c>
      <x:c r="V24" s="85" t="n">
        <x:v>78</x:v>
      </x:c>
      <x:c r="W24" s="85" t="n">
        <x:v>76</x:v>
      </x:c>
      <x:c r="X24" s="85" t="n">
        <x:v>73</x:v>
      </x:c>
      <x:c r="Y24" s="85" t="n">
        <x:v>73</x:v>
      </x:c>
      <x:c r="Z24" s="85" t="n">
        <x:v>63</x:v>
      </x:c>
      <x:c r="AA24" s="85" t="n">
        <x:v>81</x:v>
      </x:c>
      <x:c r="AB24" s="85" t="n">
        <x:v>77</x:v>
      </x:c>
      <x:c r="AC24" s="91" t="str">
        <x:v>既存時代区分「近代」（WorldTeam名簿外）</x:v>
      </x:c>
      <x:c r="AD24" s="91" t="str">
        <x:v>https://en.wikipedia.org/wiki/Special:Search?search=Michele%20Bartoli%20cyclist</x:v>
      </x:c>
      <x:c r="AE24" s="91" t="str">
        <x:v>能力・適性・Credit整合済</x:v>
      </x:c>
      <x:c r="AF24" s="91" t="str">
        <x:v>https://en.wikipedia.org/wiki/Special:Search?search=Michele%20Bartoli%20cyclist</x:v>
      </x:c>
    </x:row>
    <x:row r="25" ht="26" customHeight="1">
      <x:c r="A25" s="82" t="n">
        <x:v>21</x:v>
      </x:c>
      <x:c r="B25" s="82" t="str">
        <x:v>Joaquim Rodriguez</x:v>
      </x:c>
      <x:c r="C25" s="143" t="str"/>
      <x:c r="D25" s="82" t="str">
        <x:v>スペイン</x:v>
      </x:c>
      <x:c r="E25" s="82" t="str">
        <x:v>引退</x:v>
      </x:c>
      <x:c r="F25" s="82" t="str"/>
      <x:c r="G25" s="82" t="str">
        <x:v>引退確認済</x:v>
      </x:c>
      <x:c r="H25" s="82" t="str">
        <x:v>パンチャー</x:v>
      </x:c>
      <x:c r="I25" s="82" t="str">
        <x:v>クライマー</x:v>
      </x:c>
      <x:c r="J25" s="85" t="n">
        <x:v>93</x:v>
      </x:c>
      <x:c r="K25" s="85" t="n">
        <x:v>62</x:v>
      </x:c>
      <x:c r="L25" s="91" t="str">
        <x:v>エース / ステージハンター / 山岳賞ハンター / 下り牽引</x:v>
      </x:c>
      <x:c r="M25" s="88" t="n">
        <x:v>9600</x:v>
      </x:c>
      <x:c r="N25" s="85" t="n">
        <x:v>69</x:v>
      </x:c>
      <x:c r="O25" s="85" t="n">
        <x:v>78</x:v>
      </x:c>
      <x:c r="P25" s="85" t="n">
        <x:v>82</x:v>
      </x:c>
      <x:c r="Q25" s="85" t="n">
        <x:v>66</x:v>
      </x:c>
      <x:c r="R25" s="85" t="n">
        <x:v>74</x:v>
      </x:c>
      <x:c r="S25" s="85" t="n">
        <x:v>72</x:v>
      </x:c>
      <x:c r="T25" s="85" t="n">
        <x:v>70</x:v>
      </x:c>
      <x:c r="U25" s="85" t="n">
        <x:v>75</x:v>
      </x:c>
      <x:c r="V25" s="85" t="n">
        <x:v>77</x:v>
      </x:c>
      <x:c r="W25" s="85" t="n">
        <x:v>50</x:v>
      </x:c>
      <x:c r="X25" s="85" t="n">
        <x:v>73</x:v>
      </x:c>
      <x:c r="Y25" s="85" t="n">
        <x:v>73</x:v>
      </x:c>
      <x:c r="Z25" s="85" t="n">
        <x:v>61</x:v>
      </x:c>
      <x:c r="AA25" s="85" t="n">
        <x:v>80</x:v>
      </x:c>
      <x:c r="AB25" s="85" t="n">
        <x:v>81</x:v>
      </x:c>
      <x:c r="AC25" s="91" t="str">
        <x:v>既存時代区分「近代」（WorldTeam名簿外）</x:v>
      </x:c>
      <x:c r="AD25" s="91" t="str">
        <x:v>https://en.wikipedia.org/wiki/Special:Search?search=Joaquim%20Rodriguez%20cyclist</x:v>
      </x:c>
      <x:c r="AE25" s="91" t="str">
        <x:v>能力・適性・Credit整合済</x:v>
      </x:c>
      <x:c r="AF25" s="91" t="str">
        <x:v>https://en.wikipedia.org/wiki/Special:Search?search=Joaquim%20Rodriguez%20cyclist</x:v>
      </x:c>
    </x:row>
    <x:row r="26" ht="26" customHeight="1">
      <x:c r="A26" s="82" t="n">
        <x:v>22</x:v>
      </x:c>
      <x:c r="B26" s="82" t="str">
        <x:v>Erik Zabel</x:v>
      </x:c>
      <x:c r="C26" s="143" t="str">
        <x:v>ベルリンの鷹</x:v>
      </x:c>
      <x:c r="D26" s="82" t="str">
        <x:v>ドイツ</x:v>
      </x:c>
      <x:c r="E26" s="82" t="str">
        <x:v>引退</x:v>
      </x:c>
      <x:c r="F26" s="82" t="str"/>
      <x:c r="G26" s="82" t="str">
        <x:v>引退確認済</x:v>
      </x:c>
      <x:c r="H26" s="82" t="str">
        <x:v>クラシック型</x:v>
      </x:c>
      <x:c r="I26" s="82" t="str">
        <x:v>パンチャー</x:v>
      </x:c>
      <x:c r="J26" s="85" t="n">
        <x:v>92</x:v>
      </x:c>
      <x:c r="K26" s="85" t="n">
        <x:v>71</x:v>
      </x:c>
      <x:c r="L26" s="91" t="str">
        <x:v>エース / 石畳護衛 / 逃げ屋 / ブリッジャー / カウンターアタッカー / 横風分断 / 無賃乗車</x:v>
      </x:c>
      <x:c r="M26" s="88" t="n">
        <x:v>10150</x:v>
      </x:c>
      <x:c r="N26" s="85" t="n">
        <x:v>77</x:v>
      </x:c>
      <x:c r="O26" s="85" t="n">
        <x:v>75</x:v>
      </x:c>
      <x:c r="P26" s="85" t="n">
        <x:v>78</x:v>
      </x:c>
      <x:c r="Q26" s="85" t="n">
        <x:v>78</x:v>
      </x:c>
      <x:c r="R26" s="85" t="n">
        <x:v>68</x:v>
      </x:c>
      <x:c r="S26" s="85" t="n">
        <x:v>80</x:v>
      </x:c>
      <x:c r="T26" s="85" t="n">
        <x:v>84</x:v>
      </x:c>
      <x:c r="U26" s="85" t="n">
        <x:v>85</x:v>
      </x:c>
      <x:c r="V26" s="85" t="n">
        <x:v>85</x:v>
      </x:c>
      <x:c r="W26" s="85" t="n">
        <x:v>50</x:v>
      </x:c>
      <x:c r="X26" s="85" t="n">
        <x:v>74</x:v>
      </x:c>
      <x:c r="Y26" s="85" t="n">
        <x:v>74</x:v>
      </x:c>
      <x:c r="Z26" s="85" t="n">
        <x:v>72</x:v>
      </x:c>
      <x:c r="AA26" s="85" t="n">
        <x:v>73</x:v>
      </x:c>
      <x:c r="AB26" s="85" t="n">
        <x:v>83</x:v>
      </x:c>
      <x:c r="AC26" s="91" t="str">
        <x:v>既存時代区分「近代」（WorldTeam名簿外）</x:v>
      </x:c>
      <x:c r="AD26" s="91" t="str">
        <x:v>https://en.wikipedia.org/wiki/Special:Search?search=Erik%20Zabel%20cyclist</x:v>
      </x:c>
      <x:c r="AE26" s="91" t="str">
        <x:v>能力・適性・Credit整合済</x:v>
      </x:c>
      <x:c r="AF26" s="91" t="str">
        <x:v>https://en.wikipedia.org/wiki/Special:Search?search=Erik%20Zabel%20cyclist</x:v>
      </x:c>
    </x:row>
    <x:row r="27" ht="26" customHeight="1">
      <x:c r="A27" s="82" t="n">
        <x:v>23</x:v>
      </x:c>
      <x:c r="B27" s="82" t="str">
        <x:v>Cadel Evans</x:v>
      </x:c>
      <x:c r="C27" s="143" t="str">
        <x:v>豪州の不屈王</x:v>
      </x:c>
      <x:c r="D27" s="82" t="str">
        <x:v>オーストラリア</x:v>
      </x:c>
      <x:c r="E27" s="82" t="str">
        <x:v>引退</x:v>
      </x:c>
      <x:c r="F27" s="82" t="str"/>
      <x:c r="G27" s="82" t="str">
        <x:v>引退確認済</x:v>
      </x:c>
      <x:c r="H27" s="82" t="str">
        <x:v>パンチャー</x:v>
      </x:c>
      <x:c r="I27" s="82" t="str">
        <x:v>クライマー</x:v>
      </x:c>
      <x:c r="J27" s="85" t="n">
        <x:v>92</x:v>
      </x:c>
      <x:c r="K27" s="85" t="n">
        <x:v>63</x:v>
      </x:c>
      <x:c r="L27" s="91" t="str">
        <x:v>エース / ステージハンター / 山岳賞ハンター</x:v>
      </x:c>
      <x:c r="M27" s="88" t="n">
        <x:v>9700</x:v>
      </x:c>
      <x:c r="N27" s="85" t="n">
        <x:v>69</x:v>
      </x:c>
      <x:c r="O27" s="85" t="n">
        <x:v>77</x:v>
      </x:c>
      <x:c r="P27" s="85" t="n">
        <x:v>82</x:v>
      </x:c>
      <x:c r="Q27" s="85" t="n">
        <x:v>67</x:v>
      </x:c>
      <x:c r="R27" s="85" t="n">
        <x:v>73</x:v>
      </x:c>
      <x:c r="S27" s="85" t="n">
        <x:v>68</x:v>
      </x:c>
      <x:c r="T27" s="85" t="n">
        <x:v>69</x:v>
      </x:c>
      <x:c r="U27" s="85" t="n">
        <x:v>74</x:v>
      </x:c>
      <x:c r="V27" s="85" t="n">
        <x:v>76</x:v>
      </x:c>
      <x:c r="W27" s="85" t="n">
        <x:v>50</x:v>
      </x:c>
      <x:c r="X27" s="85" t="n">
        <x:v>74</x:v>
      </x:c>
      <x:c r="Y27" s="85" t="n">
        <x:v>74</x:v>
      </x:c>
      <x:c r="Z27" s="85" t="n">
        <x:v>61</x:v>
      </x:c>
      <x:c r="AA27" s="85" t="n">
        <x:v>80</x:v>
      </x:c>
      <x:c r="AB27" s="85" t="n">
        <x:v>77</x:v>
      </x:c>
      <x:c r="AC27" s="91" t="str">
        <x:v>既存時代区分「近代」（WorldTeam名簿外）</x:v>
      </x:c>
      <x:c r="AD27" s="91" t="str">
        <x:v>https://en.wikipedia.org/wiki/Special:Search?search=Cadel%20Evans%20cyclist</x:v>
      </x:c>
      <x:c r="AE27" s="91" t="str">
        <x:v>能力・適性・Credit整合済</x:v>
      </x:c>
      <x:c r="AF27" s="91" t="str">
        <x:v>https://en.wikipedia.org/wiki/Special:Search?search=Cadel%20Evans%20cyclist</x:v>
      </x:c>
    </x:row>
    <x:row r="28" ht="26" customHeight="1">
      <x:c r="A28" s="82" t="n">
        <x:v>24</x:v>
      </x:c>
      <x:c r="B28" s="82" t="str">
        <x:v>Carlos Sastre</x:v>
      </x:c>
      <x:c r="C28" s="143" t="str"/>
      <x:c r="D28" s="82" t="str">
        <x:v>スペイン</x:v>
      </x:c>
      <x:c r="E28" s="82" t="str">
        <x:v>引退</x:v>
      </x:c>
      <x:c r="F28" s="82" t="str"/>
      <x:c r="G28" s="82" t="str">
        <x:v>引退確認済</x:v>
      </x:c>
      <x:c r="H28" s="82" t="str">
        <x:v>クライマー</x:v>
      </x:c>
      <x:c r="I28" s="82" t="str">
        <x:v>パンチャー</x:v>
      </x:c>
      <x:c r="J28" s="85" t="n">
        <x:v>92</x:v>
      </x:c>
      <x:c r="K28" s="85" t="n">
        <x:v>66</x:v>
      </x:c>
      <x:c r="L28" s="91" t="str">
        <x:v>エース / 山岳賞ハンター</x:v>
      </x:c>
      <x:c r="M28" s="88" t="n">
        <x:v>9000</x:v>
      </x:c>
      <x:c r="N28" s="85" t="n">
        <x:v>59</x:v>
      </x:c>
      <x:c r="O28" s="85" t="n">
        <x:v>71</x:v>
      </x:c>
      <x:c r="P28" s="85" t="n">
        <x:v>72</x:v>
      </x:c>
      <x:c r="Q28" s="85" t="n">
        <x:v>65</x:v>
      </x:c>
      <x:c r="R28" s="85" t="n">
        <x:v>81</x:v>
      </x:c>
      <x:c r="S28" s="85" t="n">
        <x:v>76</x:v>
      </x:c>
      <x:c r="T28" s="85" t="n">
        <x:v>75</x:v>
      </x:c>
      <x:c r="U28" s="85" t="n">
        <x:v>65</x:v>
      </x:c>
      <x:c r="V28" s="85" t="n">
        <x:v>68</x:v>
      </x:c>
      <x:c r="W28" s="85" t="n">
        <x:v>50</x:v>
      </x:c>
      <x:c r="X28" s="85" t="n">
        <x:v>77</x:v>
      </x:c>
      <x:c r="Y28" s="85" t="n">
        <x:v>77</x:v>
      </x:c>
      <x:c r="Z28" s="85" t="n">
        <x:v>68</x:v>
      </x:c>
      <x:c r="AA28" s="85" t="n">
        <x:v>72</x:v>
      </x:c>
      <x:c r="AB28" s="85" t="n">
        <x:v>74</x:v>
      </x:c>
      <x:c r="AC28" s="91" t="str">
        <x:v>既存時代区分「近代」（WorldTeam名簿外）</x:v>
      </x:c>
      <x:c r="AD28" s="91" t="str">
        <x:v>https://en.wikipedia.org/wiki/Special:Search?search=Carlos%20Sastre%20cyclist</x:v>
      </x:c>
      <x:c r="AE28" s="91" t="str">
        <x:v>能力・適性・Credit整合済</x:v>
      </x:c>
      <x:c r="AF28" s="91" t="str">
        <x:v>https://en.wikipedia.org/wiki/Special:Search?search=Carlos%20Sastre%20cyclist</x:v>
      </x:c>
    </x:row>
    <x:row r="29" ht="26" customHeight="1">
      <x:c r="A29" s="82" t="n">
        <x:v>25</x:v>
      </x:c>
      <x:c r="B29" s="82" t="str">
        <x:v>Paolo Bettini</x:v>
      </x:c>
      <x:c r="C29" s="143" t="str">
        <x:v>黄金のコオロギ</x:v>
      </x:c>
      <x:c r="D29" s="82" t="str">
        <x:v>イタリア</x:v>
      </x:c>
      <x:c r="E29" s="82" t="str">
        <x:v>引退</x:v>
      </x:c>
      <x:c r="F29" s="82" t="str"/>
      <x:c r="G29" s="82" t="str">
        <x:v>引退確認済</x:v>
      </x:c>
      <x:c r="H29" s="82" t="str">
        <x:v>パンチャー</x:v>
      </x:c>
      <x:c r="I29" s="82" t="str">
        <x:v>クライマー</x:v>
      </x:c>
      <x:c r="J29" s="85" t="n">
        <x:v>91</x:v>
      </x:c>
      <x:c r="K29" s="85" t="n">
        <x:v>64</x:v>
      </x:c>
      <x:c r="L29" s="91" t="str">
        <x:v>エース / ステージハンター / 山岳賞ハンター / 逃げ屋</x:v>
      </x:c>
      <x:c r="M29" s="88" t="n">
        <x:v>10300</x:v>
      </x:c>
      <x:c r="N29" s="85" t="n">
        <x:v>71</x:v>
      </x:c>
      <x:c r="O29" s="85" t="n">
        <x:v>78</x:v>
      </x:c>
      <x:c r="P29" s="85" t="n">
        <x:v>82</x:v>
      </x:c>
      <x:c r="Q29" s="85" t="n">
        <x:v>67</x:v>
      </x:c>
      <x:c r="R29" s="85" t="n">
        <x:v>75</x:v>
      </x:c>
      <x:c r="S29" s="85" t="n">
        <x:v>73</x:v>
      </x:c>
      <x:c r="T29" s="85" t="n">
        <x:v>74</x:v>
      </x:c>
      <x:c r="U29" s="85" t="n">
        <x:v>76</x:v>
      </x:c>
      <x:c r="V29" s="85" t="n">
        <x:v>78</x:v>
      </x:c>
      <x:c r="W29" s="85" t="n">
        <x:v>50</x:v>
      </x:c>
      <x:c r="X29" s="85" t="n">
        <x:v>73</x:v>
      </x:c>
      <x:c r="Y29" s="85" t="n">
        <x:v>73</x:v>
      </x:c>
      <x:c r="Z29" s="85" t="n">
        <x:v>63</x:v>
      </x:c>
      <x:c r="AA29" s="85" t="n">
        <x:v>81</x:v>
      </x:c>
      <x:c r="AB29" s="85" t="n">
        <x:v>82</x:v>
      </x:c>
      <x:c r="AC29" s="91" t="str">
        <x:v>既存時代区分「近代」（WorldTeam名簿外）</x:v>
      </x:c>
      <x:c r="AD29" s="91" t="str">
        <x:v>https://en.wikipedia.org/wiki/Special:Search?search=Paolo%20Bettini%20cyclist</x:v>
      </x:c>
      <x:c r="AE29" s="91" t="str">
        <x:v>能力・適性・Credit整合済</x:v>
      </x:c>
      <x:c r="AF29" s="91" t="str">
        <x:v>https://en.wikipedia.org/wiki/Special:Search?search=Paolo%20Bettini%20cyclist</x:v>
      </x:c>
    </x:row>
    <x:row r="30" ht="26" customHeight="1">
      <x:c r="A30" s="82" t="n">
        <x:v>26</x:v>
      </x:c>
      <x:c r="B30" s="82" t="str">
        <x:v>Simon Gerrans</x:v>
      </x:c>
      <x:c r="C30" s="143" t="str"/>
      <x:c r="D30" s="82" t="str">
        <x:v>オーストラリア</x:v>
      </x:c>
      <x:c r="E30" s="82" t="str">
        <x:v>引退</x:v>
      </x:c>
      <x:c r="F30" s="82" t="str"/>
      <x:c r="G30" s="82" t="str">
        <x:v>引退確認済</x:v>
      </x:c>
      <x:c r="H30" s="82" t="str">
        <x:v>パンチャー</x:v>
      </x:c>
      <x:c r="I30" s="82" t="str">
        <x:v>クライマー</x:v>
      </x:c>
      <x:c r="J30" s="85" t="n">
        <x:v>91</x:v>
      </x:c>
      <x:c r="K30" s="85" t="n">
        <x:v>64</x:v>
      </x:c>
      <x:c r="L30" s="91" t="str">
        <x:v>エース / ステージハンター / 山岳賞ハンター</x:v>
      </x:c>
      <x:c r="M30" s="88" t="n">
        <x:v>9050</x:v>
      </x:c>
      <x:c r="N30" s="85" t="n">
        <x:v>69</x:v>
      </x:c>
      <x:c r="O30" s="85" t="n">
        <x:v>76</x:v>
      </x:c>
      <x:c r="P30" s="85" t="n">
        <x:v>80</x:v>
      </x:c>
      <x:c r="Q30" s="85" t="n">
        <x:v>65</x:v>
      </x:c>
      <x:c r="R30" s="85" t="n">
        <x:v>73</x:v>
      </x:c>
      <x:c r="S30" s="85" t="n">
        <x:v>67</x:v>
      </x:c>
      <x:c r="T30" s="85" t="n">
        <x:v>67</x:v>
      </x:c>
      <x:c r="U30" s="85" t="n">
        <x:v>74</x:v>
      </x:c>
      <x:c r="V30" s="85" t="n">
        <x:v>75</x:v>
      </x:c>
      <x:c r="W30" s="85" t="n">
        <x:v>50</x:v>
      </x:c>
      <x:c r="X30" s="85" t="n">
        <x:v>72</x:v>
      </x:c>
      <x:c r="Y30" s="85" t="n">
        <x:v>72</x:v>
      </x:c>
      <x:c r="Z30" s="85" t="n">
        <x:v>60</x:v>
      </x:c>
      <x:c r="AA30" s="85" t="n">
        <x:v>79</x:v>
      </x:c>
      <x:c r="AB30" s="85" t="n">
        <x:v>78</x:v>
      </x:c>
      <x:c r="AC30" s="91" t="str">
        <x:v>既存時代区分「近代」（WorldTeam名簿外）</x:v>
      </x:c>
      <x:c r="AD30" s="91" t="str">
        <x:v>https://en.wikipedia.org/wiki/Special:Search?search=Simon%20Gerrans%20cyclist</x:v>
      </x:c>
      <x:c r="AE30" s="91" t="str">
        <x:v>能力・適性・Credit整合済</x:v>
      </x:c>
      <x:c r="AF30" s="91" t="str">
        <x:v>https://en.wikipedia.org/wiki/Special:Search?search=Simon%20Gerrans%20cyclist</x:v>
      </x:c>
    </x:row>
    <x:row r="31" ht="26" customHeight="1">
      <x:c r="A31" s="82" t="n">
        <x:v>27</x:v>
      </x:c>
      <x:c r="B31" s="82" t="str">
        <x:v>Djamolidine Abdoujaparov</x:v>
      </x:c>
      <x:c r="C31" s="143" t="str"/>
      <x:c r="D31" s="82" t="str">
        <x:v>ウズベキスタン</x:v>
      </x:c>
      <x:c r="E31" s="82" t="str">
        <x:v>引退</x:v>
      </x:c>
      <x:c r="F31" s="82" t="str"/>
      <x:c r="G31" s="82" t="str">
        <x:v>引退確認済</x:v>
      </x:c>
      <x:c r="H31" s="82" t="str">
        <x:v>スプリンター</x:v>
      </x:c>
      <x:c r="I31" s="82" t="str">
        <x:v>クラシック型</x:v>
      </x:c>
      <x:c r="J31" s="85" t="n">
        <x:v>91</x:v>
      </x:c>
      <x:c r="K31" s="85" t="n">
        <x:v>74</x:v>
      </x:c>
      <x:c r="L31" s="91" t="str">
        <x:v>エース / リードアウト / 最終発射台</x:v>
      </x:c>
      <x:c r="M31" s="88" t="n">
        <x:v>8950</x:v>
      </x:c>
      <x:c r="N31" s="85" t="n">
        <x:v>83</x:v>
      </x:c>
      <x:c r="O31" s="85" t="n">
        <x:v>83</x:v>
      </x:c>
      <x:c r="P31" s="85" t="n">
        <x:v>69</x:v>
      </x:c>
      <x:c r="Q31" s="85" t="n">
        <x:v>73</x:v>
      </x:c>
      <x:c r="R31" s="85" t="n">
        <x:v>58</x:v>
      </x:c>
      <x:c r="S31" s="85" t="n">
        <x:v>65</x:v>
      </x:c>
      <x:c r="T31" s="85" t="n">
        <x:v>67</x:v>
      </x:c>
      <x:c r="U31" s="85" t="n">
        <x:v>68</x:v>
      </x:c>
      <x:c r="V31" s="85" t="n">
        <x:v>72</x:v>
      </x:c>
      <x:c r="W31" s="85" t="n">
        <x:v>50</x:v>
      </x:c>
      <x:c r="X31" s="85" t="n">
        <x:v>71</x:v>
      </x:c>
      <x:c r="Y31" s="85" t="n">
        <x:v>70</x:v>
      </x:c>
      <x:c r="Z31" s="85" t="n">
        <x:v>67</x:v>
      </x:c>
      <x:c r="AA31" s="85" t="n">
        <x:v>78</x:v>
      </x:c>
      <x:c r="AB31" s="85" t="n">
        <x:v>68</x:v>
      </x:c>
      <x:c r="AC31" s="91" t="str">
        <x:v>既存時代区分「近代」（WorldTeam名簿外）</x:v>
      </x:c>
      <x:c r="AD31" s="91" t="str">
        <x:v>https://en.wikipedia.org/wiki/Special:Search?search=Djamolidine%20Abdoujaparov%20cyclist</x:v>
      </x:c>
      <x:c r="AE31" s="91" t="str">
        <x:v>能力・適性・Credit整合済</x:v>
      </x:c>
      <x:c r="AF31" s="91" t="str">
        <x:v>https://en.wikipedia.org/wiki/Special:Search?search=Djamolidine%20Abdoujaparov%20cyclist</x:v>
      </x:c>
    </x:row>
    <x:row r="32" ht="26" customHeight="1">
      <x:c r="A32" s="82" t="n">
        <x:v>28</x:v>
      </x:c>
      <x:c r="B32" s="82" t="str">
        <x:v>Arnaud Demare</x:v>
      </x:c>
      <x:c r="C32" s="143" t="str"/>
      <x:c r="D32" s="82" t="str">
        <x:v>フランス</x:v>
      </x:c>
      <x:c r="E32" s="82" t="str">
        <x:v>引退</x:v>
      </x:c>
      <x:c r="F32" s="82" t="str"/>
      <x:c r="G32" s="82" t="str">
        <x:v>引退確認済</x:v>
      </x:c>
      <x:c r="H32" s="82" t="str">
        <x:v>スプリンター</x:v>
      </x:c>
      <x:c r="I32" s="82" t="str">
        <x:v>クラシック型</x:v>
      </x:c>
      <x:c r="J32" s="85" t="n">
        <x:v>91</x:v>
      </x:c>
      <x:c r="K32" s="85" t="n">
        <x:v>74</x:v>
      </x:c>
      <x:c r="L32" s="91" t="str">
        <x:v>エース / ステージハンター / リードアウト / 最終発射台 / 無賃乗車</x:v>
      </x:c>
      <x:c r="M32" s="88" t="n">
        <x:v>8850</x:v>
      </x:c>
      <x:c r="N32" s="85" t="n">
        <x:v>81</x:v>
      </x:c>
      <x:c r="O32" s="85" t="n">
        <x:v>81</x:v>
      </x:c>
      <x:c r="P32" s="85" t="n">
        <x:v>69</x:v>
      </x:c>
      <x:c r="Q32" s="85" t="n">
        <x:v>73</x:v>
      </x:c>
      <x:c r="R32" s="85" t="n">
        <x:v>58</x:v>
      </x:c>
      <x:c r="S32" s="85" t="n">
        <x:v>66</x:v>
      </x:c>
      <x:c r="T32" s="85" t="n">
        <x:v>66</x:v>
      </x:c>
      <x:c r="U32" s="85" t="n">
        <x:v>71</x:v>
      </x:c>
      <x:c r="V32" s="85" t="n">
        <x:v>72</x:v>
      </x:c>
      <x:c r="W32" s="85" t="n">
        <x:v>73</x:v>
      </x:c>
      <x:c r="X32" s="85" t="n">
        <x:v>70</x:v>
      </x:c>
      <x:c r="Y32" s="85" t="n">
        <x:v>70</x:v>
      </x:c>
      <x:c r="Z32" s="85" t="n">
        <x:v>65</x:v>
      </x:c>
      <x:c r="AA32" s="85" t="n">
        <x:v>78</x:v>
      </x:c>
      <x:c r="AB32" s="85" t="n">
        <x:v>68</x:v>
      </x:c>
      <x:c r="AC32" s="91" t="str">
        <x:v>既存時代区分「近代」（WorldTeam名簿外）</x:v>
      </x:c>
      <x:c r="AD32" s="91" t="str">
        <x:v>https://en.wikipedia.org/wiki/Special:Search?search=Arnaud%20Demare%20cyclist</x:v>
      </x:c>
      <x:c r="AE32" s="91" t="str">
        <x:v>能力・適性・Credit整合済</x:v>
      </x:c>
      <x:c r="AF32" s="91" t="str">
        <x:v>https://en.wikipedia.org/wiki/Special:Search?search=Arnaud%20Demare%20cyclist</x:v>
      </x:c>
    </x:row>
    <x:row r="33" ht="26" customHeight="1">
      <x:c r="A33" s="82" t="n">
        <x:v>29</x:v>
      </x:c>
      <x:c r="B33" s="82" t="str">
        <x:v>Tom Boonen</x:v>
      </x:c>
      <x:c r="C33" s="143" t="str">
        <x:v>石畳の竜巻</x:v>
      </x:c>
      <x:c r="D33" s="82" t="str">
        <x:v>ベルギー</x:v>
      </x:c>
      <x:c r="E33" s="82" t="str">
        <x:v>引退</x:v>
      </x:c>
      <x:c r="F33" s="82" t="str"/>
      <x:c r="G33" s="82" t="str">
        <x:v>引退確認済</x:v>
      </x:c>
      <x:c r="H33" s="82" t="str">
        <x:v>クラシック型</x:v>
      </x:c>
      <x:c r="I33" s="82" t="str">
        <x:v>パンチャー</x:v>
      </x:c>
      <x:c r="J33" s="85" t="n">
        <x:v>90</x:v>
      </x:c>
      <x:c r="K33" s="85" t="n">
        <x:v>73</x:v>
      </x:c>
      <x:c r="L33" s="91" t="str">
        <x:v>エース / 石畳護衛 / 横風要員 / 逃げ屋 / ブリッジャー / 横風分断 / 無賃乗車</x:v>
      </x:c>
      <x:c r="M33" s="88" t="n">
        <x:v>10800</x:v>
      </x:c>
      <x:c r="N33" s="85" t="n">
        <x:v>76</x:v>
      </x:c>
      <x:c r="O33" s="85" t="n">
        <x:v>75</x:v>
      </x:c>
      <x:c r="P33" s="85" t="n">
        <x:v>78</x:v>
      </x:c>
      <x:c r="Q33" s="85" t="n">
        <x:v>79</x:v>
      </x:c>
      <x:c r="R33" s="85" t="n">
        <x:v>68</x:v>
      </x:c>
      <x:c r="S33" s="85" t="n">
        <x:v>81</x:v>
      </x:c>
      <x:c r="T33" s="85" t="n">
        <x:v>85</x:v>
      </x:c>
      <x:c r="U33" s="85" t="n">
        <x:v>81</x:v>
      </x:c>
      <x:c r="V33" s="85" t="n">
        <x:v>83</x:v>
      </x:c>
      <x:c r="W33" s="85" t="n">
        <x:v>84</x:v>
      </x:c>
      <x:c r="X33" s="85" t="n">
        <x:v>75</x:v>
      </x:c>
      <x:c r="Y33" s="85" t="n">
        <x:v>74</x:v>
      </x:c>
      <x:c r="Z33" s="85" t="n">
        <x:v>74</x:v>
      </x:c>
      <x:c r="AA33" s="85" t="n">
        <x:v>73</x:v>
      </x:c>
      <x:c r="AB33" s="85" t="n">
        <x:v>85</x:v>
      </x:c>
      <x:c r="AC33" s="91" t="str">
        <x:v>既存時代区分「近代」（WorldTeam名簿外）</x:v>
      </x:c>
      <x:c r="AD33" s="91" t="str">
        <x:v>https://en.wikipedia.org/wiki/Special:Search?search=Tom%20Boonen%20cyclist</x:v>
      </x:c>
      <x:c r="AE33" s="91" t="str">
        <x:v>能力・適性・Credit整合済</x:v>
      </x:c>
      <x:c r="AF33" s="91" t="str">
        <x:v>https://en.wikipedia.org/wiki/Special:Search?search=Tom%20Boonen%20cyclist</x:v>
      </x:c>
    </x:row>
    <x:row r="34" ht="26" customHeight="1">
      <x:c r="A34" s="82" t="n">
        <x:v>30</x:v>
      </x:c>
      <x:c r="B34" s="82" t="str">
        <x:v>Franco Ballerini</x:v>
      </x:c>
      <x:c r="C34" s="143" t="str">
        <x:v>ルーベの紳士</x:v>
      </x:c>
      <x:c r="D34" s="82" t="str">
        <x:v>イタリア</x:v>
      </x:c>
      <x:c r="E34" s="82" t="str">
        <x:v>引退</x:v>
      </x:c>
      <x:c r="F34" s="82" t="str"/>
      <x:c r="G34" s="82" t="str">
        <x:v>引退確認済</x:v>
      </x:c>
      <x:c r="H34" s="82" t="str">
        <x:v>クラシック型</x:v>
      </x:c>
      <x:c r="I34" s="82" t="str">
        <x:v>TT・ルーラー型</x:v>
      </x:c>
      <x:c r="J34" s="85" t="n">
        <x:v>90</x:v>
      </x:c>
      <x:c r="K34" s="85" t="n">
        <x:v>81</x:v>
      </x:c>
      <x:c r="L34" s="91" t="str">
        <x:v>エース / 石畳護衛 / 横風要員 / 逃げ屋</x:v>
      </x:c>
      <x:c r="M34" s="88" t="n">
        <x:v>10600</x:v>
      </x:c>
      <x:c r="N34" s="85" t="n">
        <x:v>74</x:v>
      </x:c>
      <x:c r="O34" s="85" t="n">
        <x:v>73</x:v>
      </x:c>
      <x:c r="P34" s="85" t="n">
        <x:v>76</x:v>
      </x:c>
      <x:c r="Q34" s="85" t="n">
        <x:v>80</x:v>
      </x:c>
      <x:c r="R34" s="85" t="n">
        <x:v>67</x:v>
      </x:c>
      <x:c r="S34" s="85" t="n">
        <x:v>77</x:v>
      </x:c>
      <x:c r="T34" s="85" t="n">
        <x:v>81</x:v>
      </x:c>
      <x:c r="U34" s="85" t="n">
        <x:v>80</x:v>
      </x:c>
      <x:c r="V34" s="85" t="n">
        <x:v>80</x:v>
      </x:c>
      <x:c r="W34" s="85" t="n">
        <x:v>82</x:v>
      </x:c>
      <x:c r="X34" s="85" t="n">
        <x:v>72</x:v>
      </x:c>
      <x:c r="Y34" s="85" t="n">
        <x:v>72</x:v>
      </x:c>
      <x:c r="Z34" s="85" t="n">
        <x:v>78</x:v>
      </x:c>
      <x:c r="AA34" s="85" t="n">
        <x:v>71</x:v>
      </x:c>
      <x:c r="AB34" s="85" t="n">
        <x:v>79</x:v>
      </x:c>
      <x:c r="AC34" s="91" t="str">
        <x:v>既存時代区分「近代」（WorldTeam名簿外）</x:v>
      </x:c>
      <x:c r="AD34" s="91" t="str">
        <x:v>https://en.wikipedia.org/wiki/Special:Search?search=Franco%20Ballerini%20cyclist</x:v>
      </x:c>
      <x:c r="AE34" s="91" t="str">
        <x:v>能力・適性・Credit整合済</x:v>
      </x:c>
      <x:c r="AF34" s="91" t="str">
        <x:v>https://en.wikipedia.org/wiki/Special:Search?search=Franco%20Ballerini%20cyclist</x:v>
      </x:c>
    </x:row>
    <x:row r="35" ht="26" customHeight="1">
      <x:c r="A35" s="82" t="n">
        <x:v>31</x:v>
      </x:c>
      <x:c r="B35" s="82" t="str">
        <x:v>Chris Boardman</x:v>
      </x:c>
      <x:c r="C35" s="143" t="str">
        <x:v>クロノの教授</x:v>
      </x:c>
      <x:c r="D35" s="82" t="str">
        <x:v>イギリス</x:v>
      </x:c>
      <x:c r="E35" s="82" t="str">
        <x:v>引退</x:v>
      </x:c>
      <x:c r="F35" s="82" t="str"/>
      <x:c r="G35" s="82" t="str">
        <x:v>引退確認済</x:v>
      </x:c>
      <x:c r="H35" s="82" t="str">
        <x:v>TT・ルーラー型</x:v>
      </x:c>
      <x:c r="I35" s="82" t="str">
        <x:v>クラシック型</x:v>
      </x:c>
      <x:c r="J35" s="85" t="n">
        <x:v>90</x:v>
      </x:c>
      <x:c r="K35" s="85" t="n">
        <x:v>77</x:v>
      </x:c>
      <x:c r="L35" s="91" t="str">
        <x:v>エース / TTスペシャリスト / 逃げ屋 / ポジションキーパー</x:v>
      </x:c>
      <x:c r="M35" s="88" t="n">
        <x:v>10450</x:v>
      </x:c>
      <x:c r="N35" s="85" t="n">
        <x:v>69</x:v>
      </x:c>
      <x:c r="O35" s="85" t="n">
        <x:v>68</x:v>
      </x:c>
      <x:c r="P35" s="85" t="n">
        <x:v>67</x:v>
      </x:c>
      <x:c r="Q35" s="85" t="n">
        <x:v>84</x:v>
      </x:c>
      <x:c r="R35" s="85" t="n">
        <x:v>69</x:v>
      </x:c>
      <x:c r="S35" s="85" t="n">
        <x:v>77</x:v>
      </x:c>
      <x:c r="T35" s="85" t="n">
        <x:v>77</x:v>
      </x:c>
      <x:c r="U35" s="85" t="n">
        <x:v>80</x:v>
      </x:c>
      <x:c r="V35" s="85" t="n">
        <x:v>70</x:v>
      </x:c>
      <x:c r="W35" s="85" t="n">
        <x:v>50</x:v>
      </x:c>
      <x:c r="X35" s="85" t="n">
        <x:v>71</x:v>
      </x:c>
      <x:c r="Y35" s="85" t="n">
        <x:v>71</x:v>
      </x:c>
      <x:c r="Z35" s="85" t="n">
        <x:v>79</x:v>
      </x:c>
      <x:c r="AA35" s="85" t="n">
        <x:v>70</x:v>
      </x:c>
      <x:c r="AB35" s="85" t="n">
        <x:v>69</x:v>
      </x:c>
      <x:c r="AC35" s="91" t="str">
        <x:v>既存時代区分「近代」（WorldTeam名簿外）</x:v>
      </x:c>
      <x:c r="AD35" s="91" t="str">
        <x:v>https://en.wikipedia.org/wiki/Special:Search?search=Chris%20Boardman%20cyclist</x:v>
      </x:c>
      <x:c r="AE35" s="91" t="str">
        <x:v>能力・適性・Credit整合済</x:v>
      </x:c>
      <x:c r="AF35" s="91" t="str">
        <x:v>https://en.wikipedia.org/wiki/Special:Search?search=Chris%20Boardman%20cyclist</x:v>
      </x:c>
    </x:row>
    <x:row r="36" ht="26" customHeight="1">
      <x:c r="A36" s="82" t="n">
        <x:v>32</x:v>
      </x:c>
      <x:c r="B36" s="82" t="str">
        <x:v>Alejandro Valverde</x:v>
      </x:c>
      <x:c r="C36" s="143" t="str">
        <x:v>不沈の緑弾</x:v>
      </x:c>
      <x:c r="D36" s="82" t="str">
        <x:v>スペイン</x:v>
      </x:c>
      <x:c r="E36" s="82" t="str">
        <x:v>引退</x:v>
      </x:c>
      <x:c r="F36" s="82" t="str"/>
      <x:c r="G36" s="82" t="str">
        <x:v>引退確認済</x:v>
      </x:c>
      <x:c r="H36" s="82" t="str">
        <x:v>パンチャー</x:v>
      </x:c>
      <x:c r="I36" s="82" t="str">
        <x:v>クライマー</x:v>
      </x:c>
      <x:c r="J36" s="85" t="n">
        <x:v>90</x:v>
      </x:c>
      <x:c r="K36" s="85" t="n">
        <x:v>65</x:v>
      </x:c>
      <x:c r="L36" s="91" t="str">
        <x:v>エース / ステージハンター / 山岳賞ハンター / 逃げ屋</x:v>
      </x:c>
      <x:c r="M36" s="88" t="n">
        <x:v>10200</x:v>
      </x:c>
      <x:c r="N36" s="85" t="n">
        <x:v>72</x:v>
      </x:c>
      <x:c r="O36" s="85" t="n">
        <x:v>77</x:v>
      </x:c>
      <x:c r="P36" s="85" t="n">
        <x:v>81</x:v>
      </x:c>
      <x:c r="Q36" s="85" t="n">
        <x:v>67</x:v>
      </x:c>
      <x:c r="R36" s="85" t="n">
        <x:v>74</x:v>
      </x:c>
      <x:c r="S36" s="85" t="n">
        <x:v>72</x:v>
      </x:c>
      <x:c r="T36" s="85" t="n">
        <x:v>71</x:v>
      </x:c>
      <x:c r="U36" s="85" t="n">
        <x:v>76</x:v>
      </x:c>
      <x:c r="V36" s="85" t="n">
        <x:v>76</x:v>
      </x:c>
      <x:c r="W36" s="85" t="n">
        <x:v>50</x:v>
      </x:c>
      <x:c r="X36" s="85" t="n">
        <x:v>74</x:v>
      </x:c>
      <x:c r="Y36" s="85" t="n">
        <x:v>73</x:v>
      </x:c>
      <x:c r="Z36" s="85" t="n">
        <x:v>62</x:v>
      </x:c>
      <x:c r="AA36" s="85" t="n">
        <x:v>79</x:v>
      </x:c>
      <x:c r="AB36" s="85" t="n">
        <x:v>83</x:v>
      </x:c>
      <x:c r="AC36" s="91" t="str">
        <x:v>既存時代区分「近代」（WorldTeam名簿外）</x:v>
      </x:c>
      <x:c r="AD36" s="91" t="str">
        <x:v>https://en.wikipedia.org/wiki/Special:Search?search=Alejandro%20Valverde%20cyclist</x:v>
      </x:c>
      <x:c r="AE36" s="91" t="str">
        <x:v>能力・適性・Credit整合済</x:v>
      </x:c>
      <x:c r="AF36" s="91" t="str">
        <x:v>https://en.wikipedia.org/wiki/Special:Search?search=Alejandro%20Valverde%20cyclist</x:v>
      </x:c>
    </x:row>
    <x:row r="37" ht="26" customHeight="1">
      <x:c r="A37" s="82" t="n">
        <x:v>33</x:v>
      </x:c>
      <x:c r="B37" s="82" t="str">
        <x:v>Stijn Devolder</x:v>
      </x:c>
      <x:c r="C37" s="143" t="str"/>
      <x:c r="D37" s="82" t="str">
        <x:v>ベルギー</x:v>
      </x:c>
      <x:c r="E37" s="82" t="str">
        <x:v>引退</x:v>
      </x:c>
      <x:c r="F37" s="82" t="str"/>
      <x:c r="G37" s="82" t="str">
        <x:v>引退確認済</x:v>
      </x:c>
      <x:c r="H37" s="82" t="str">
        <x:v>クラシック型</x:v>
      </x:c>
      <x:c r="I37" s="82" t="str">
        <x:v>TT・ルーラー型</x:v>
      </x:c>
      <x:c r="J37" s="85" t="n">
        <x:v>90</x:v>
      </x:c>
      <x:c r="K37" s="85" t="n">
        <x:v>81</x:v>
      </x:c>
      <x:c r="L37" s="91" t="str">
        <x:v>エース / 石畳護衛 / 横風要員 / 逃げ屋 / ポジションキーパー</x:v>
      </x:c>
      <x:c r="M37" s="88" t="n">
        <x:v>9650</x:v>
      </x:c>
      <x:c r="N37" s="85" t="n">
        <x:v>74</x:v>
      </x:c>
      <x:c r="O37" s="85" t="n">
        <x:v>73</x:v>
      </x:c>
      <x:c r="P37" s="85" t="n">
        <x:v>77</x:v>
      </x:c>
      <x:c r="Q37" s="85" t="n">
        <x:v>81</x:v>
      </x:c>
      <x:c r="R37" s="85" t="n">
        <x:v>67</x:v>
      </x:c>
      <x:c r="S37" s="85" t="n">
        <x:v>77</x:v>
      </x:c>
      <x:c r="T37" s="85" t="n">
        <x:v>81</x:v>
      </x:c>
      <x:c r="U37" s="85" t="n">
        <x:v>82</x:v>
      </x:c>
      <x:c r="V37" s="85" t="n">
        <x:v>83</x:v>
      </x:c>
      <x:c r="W37" s="85" t="n">
        <x:v>78</x:v>
      </x:c>
      <x:c r="X37" s="85" t="n">
        <x:v>72</x:v>
      </x:c>
      <x:c r="Y37" s="85" t="n">
        <x:v>72</x:v>
      </x:c>
      <x:c r="Z37" s="85" t="n">
        <x:v>78</x:v>
      </x:c>
      <x:c r="AA37" s="85" t="n">
        <x:v>71</x:v>
      </x:c>
      <x:c r="AB37" s="85" t="n">
        <x:v>79</x:v>
      </x:c>
      <x:c r="AC37" s="91" t="str">
        <x:v>既存時代区分「近代」（WorldTeam名簿外）</x:v>
      </x:c>
      <x:c r="AD37" s="91" t="str">
        <x:v>https://en.wikipedia.org/wiki/Special:Search?search=Stijn%20Devolder%20cyclist</x:v>
      </x:c>
      <x:c r="AE37" s="91" t="str">
        <x:v>能力・適性・Credit整合済</x:v>
      </x:c>
      <x:c r="AF37" s="91" t="str">
        <x:v>https://en.wikipedia.org/wiki/Special:Search?search=Stijn%20Devolder%20cyclist</x:v>
      </x:c>
    </x:row>
    <x:row r="38" ht="26" customHeight="1">
      <x:c r="A38" s="82" t="n">
        <x:v>34</x:v>
      </x:c>
      <x:c r="B38" s="82" t="str">
        <x:v>Rui Costa</x:v>
      </x:c>
      <x:c r="C38" s="143" t="str">
        <x:v>雨中の世界王者</x:v>
      </x:c>
      <x:c r="D38" s="82" t="str">
        <x:v>ポルトガル</x:v>
      </x:c>
      <x:c r="E38" s="82" t="str">
        <x:v>引退</x:v>
      </x:c>
      <x:c r="F38" s="82" t="str"/>
      <x:c r="G38" s="82" t="str">
        <x:v>引退確認済</x:v>
      </x:c>
      <x:c r="H38" s="82" t="str">
        <x:v>パンチャー</x:v>
      </x:c>
      <x:c r="I38" s="82" t="str">
        <x:v>総合型</x:v>
      </x:c>
      <x:c r="J38" s="85" t="n">
        <x:v>90</x:v>
      </x:c>
      <x:c r="K38" s="85" t="n">
        <x:v>76</x:v>
      </x:c>
      <x:c r="L38" s="91" t="str">
        <x:v>エース / ステージハンター / 集団コントローラー / 逃げ屋 / カウンターアタッカー</x:v>
      </x:c>
      <x:c r="M38" s="88" t="n">
        <x:v>9550</x:v>
      </x:c>
      <x:c r="N38" s="85" t="n">
        <x:v>70</x:v>
      </x:c>
      <x:c r="O38" s="85" t="n">
        <x:v>76</x:v>
      </x:c>
      <x:c r="P38" s="85" t="n">
        <x:v>80</x:v>
      </x:c>
      <x:c r="Q38" s="85" t="n">
        <x:v>67</x:v>
      </x:c>
      <x:c r="R38" s="85" t="n">
        <x:v>72</x:v>
      </x:c>
      <x:c r="S38" s="85" t="n">
        <x:v>65</x:v>
      </x:c>
      <x:c r="T38" s="85" t="n">
        <x:v>67</x:v>
      </x:c>
      <x:c r="U38" s="85" t="n">
        <x:v>75</x:v>
      </x:c>
      <x:c r="V38" s="85" t="n">
        <x:v>75</x:v>
      </x:c>
      <x:c r="W38" s="85" t="n">
        <x:v>50</x:v>
      </x:c>
      <x:c r="X38" s="85" t="n">
        <x:v>73</x:v>
      </x:c>
      <x:c r="Y38" s="85" t="n">
        <x:v>72</x:v>
      </x:c>
      <x:c r="Z38" s="85" t="n">
        <x:v>65</x:v>
      </x:c>
      <x:c r="AA38" s="85" t="n">
        <x:v>75</x:v>
      </x:c>
      <x:c r="AB38" s="85" t="n">
        <x:v>78</x:v>
      </x:c>
      <x:c r="AC38" s="91" t="str">
        <x:v>既存時代区分「近代」（WorldTeam名簿外）</x:v>
      </x:c>
      <x:c r="AD38" s="91" t="str">
        <x:v>https://en.wikipedia.org/wiki/Special:Search?search=Rui%20Costa%20cyclist</x:v>
      </x:c>
      <x:c r="AE38" s="91" t="str">
        <x:v>能力・適性・Credit整合済</x:v>
      </x:c>
      <x:c r="AF38" s="91" t="str">
        <x:v>https://en.wikipedia.org/wiki/Special:Search?search=Rui%20Costa%20cyclist</x:v>
      </x:c>
    </x:row>
    <x:row r="39" ht="26" customHeight="1">
      <x:c r="A39" s="82" t="n">
        <x:v>35</x:v>
      </x:c>
      <x:c r="B39" s="82" t="str">
        <x:v>Maurizio Fondriest</x:v>
      </x:c>
      <x:c r="C39" s="143" t="str">
        <x:v>虹の伊達男</x:v>
      </x:c>
      <x:c r="D39" s="82" t="str">
        <x:v>イタリア</x:v>
      </x:c>
      <x:c r="E39" s="82" t="str">
        <x:v>引退</x:v>
      </x:c>
      <x:c r="F39" s="82" t="str"/>
      <x:c r="G39" s="82" t="str">
        <x:v>引退確認済</x:v>
      </x:c>
      <x:c r="H39" s="82" t="str">
        <x:v>パンチャー</x:v>
      </x:c>
      <x:c r="I39" s="82" t="str">
        <x:v>クライマー</x:v>
      </x:c>
      <x:c r="J39" s="85" t="n">
        <x:v>90</x:v>
      </x:c>
      <x:c r="K39" s="85" t="n">
        <x:v>65</x:v>
      </x:c>
      <x:c r="L39" s="91" t="str">
        <x:v>エース / ステージハンター / 山岳賞ハンター</x:v>
      </x:c>
      <x:c r="M39" s="88" t="n">
        <x:v>9400</x:v>
      </x:c>
      <x:c r="N39" s="85" t="n">
        <x:v>69</x:v>
      </x:c>
      <x:c r="O39" s="85" t="n">
        <x:v>76</x:v>
      </x:c>
      <x:c r="P39" s="85" t="n">
        <x:v>80</x:v>
      </x:c>
      <x:c r="Q39" s="85" t="n">
        <x:v>65</x:v>
      </x:c>
      <x:c r="R39" s="85" t="n">
        <x:v>73</x:v>
      </x:c>
      <x:c r="S39" s="85" t="n">
        <x:v>66</x:v>
      </x:c>
      <x:c r="T39" s="85" t="n">
        <x:v>66</x:v>
      </x:c>
      <x:c r="U39" s="85" t="n">
        <x:v>74</x:v>
      </x:c>
      <x:c r="V39" s="85" t="n">
        <x:v>75</x:v>
      </x:c>
      <x:c r="W39" s="85" t="n">
        <x:v>50</x:v>
      </x:c>
      <x:c r="X39" s="85" t="n">
        <x:v>71</x:v>
      </x:c>
      <x:c r="Y39" s="85" t="n">
        <x:v>71</x:v>
      </x:c>
      <x:c r="Z39" s="85" t="n">
        <x:v>61</x:v>
      </x:c>
      <x:c r="AA39" s="85" t="n">
        <x:v>78</x:v>
      </x:c>
      <x:c r="AB39" s="85" t="n">
        <x:v>76</x:v>
      </x:c>
      <x:c r="AC39" s="91" t="str">
        <x:v>既存時代区分「近代」（WorldTeam名簿外）</x:v>
      </x:c>
      <x:c r="AD39" s="91" t="str">
        <x:v>https://en.wikipedia.org/wiki/Special:Search?search=Maurizio%20Fondriest%20cyclist</x:v>
      </x:c>
      <x:c r="AE39" s="91" t="str">
        <x:v>能力・適性・Credit整合済</x:v>
      </x:c>
      <x:c r="AF39" s="91" t="str">
        <x:v>https://en.wikipedia.org/wiki/Special:Search?search=Maurizio%20Fondriest%20cyclist</x:v>
      </x:c>
    </x:row>
    <x:row r="40" ht="26" customHeight="1">
      <x:c r="A40" s="82" t="n">
        <x:v>36</x:v>
      </x:c>
      <x:c r="B40" s="82" t="str">
        <x:v>Marc Hirschi</x:v>
      </x:c>
      <x:c r="C40" s="143" t="str"/>
      <x:c r="D40" s="82" t="str">
        <x:v>スイス</x:v>
      </x:c>
      <x:c r="E40" s="82" t="str">
        <x:v>引退</x:v>
      </x:c>
      <x:c r="F40" s="82" t="str"/>
      <x:c r="G40" s="82" t="str">
        <x:v>引退確認済</x:v>
      </x:c>
      <x:c r="H40" s="82" t="str">
        <x:v>パンチャー</x:v>
      </x:c>
      <x:c r="I40" s="82" t="str">
        <x:v>クラシック型</x:v>
      </x:c>
      <x:c r="J40" s="85" t="n">
        <x:v>90</x:v>
      </x:c>
      <x:c r="K40" s="85" t="n">
        <x:v>76</x:v>
      </x:c>
      <x:c r="L40" s="91" t="str">
        <x:v>エース / ステージハンター / 逃げ屋 / 超ロングスパート / カウンターアタッカー / 無賃乗車</x:v>
      </x:c>
      <x:c r="M40" s="88" t="n">
        <x:v>9300</x:v>
      </x:c>
      <x:c r="N40" s="85" t="n">
        <x:v>74</x:v>
      </x:c>
      <x:c r="O40" s="85" t="n">
        <x:v>78</x:v>
      </x:c>
      <x:c r="P40" s="85" t="n">
        <x:v>83</x:v>
      </x:c>
      <x:c r="Q40" s="85" t="n">
        <x:v>67</x:v>
      </x:c>
      <x:c r="R40" s="85" t="n">
        <x:v>72</x:v>
      </x:c>
      <x:c r="S40" s="85" t="n">
        <x:v>67</x:v>
      </x:c>
      <x:c r="T40" s="85" t="n">
        <x:v>70</x:v>
      </x:c>
      <x:c r="U40" s="85" t="n">
        <x:v>77</x:v>
      </x:c>
      <x:c r="V40" s="85" t="n">
        <x:v>79</x:v>
      </x:c>
      <x:c r="W40" s="85" t="n">
        <x:v>50</x:v>
      </x:c>
      <x:c r="X40" s="85" t="n">
        <x:v>71</x:v>
      </x:c>
      <x:c r="Y40" s="85" t="n">
        <x:v>71</x:v>
      </x:c>
      <x:c r="Z40" s="85" t="n">
        <x:v>65</x:v>
      </x:c>
      <x:c r="AA40" s="85" t="n">
        <x:v>76</x:v>
      </x:c>
      <x:c r="AB40" s="85" t="n">
        <x:v>78</x:v>
      </x:c>
      <x:c r="AC40" s="91" t="str">
        <x:v>既存時代区分「近代」（WorldTeam名簿外）</x:v>
      </x:c>
      <x:c r="AD40" s="91" t="str">
        <x:v>https://en.wikipedia.org/wiki/Special:Search?search=Marc%20Hirschi%20cyclist</x:v>
      </x:c>
      <x:c r="AE40" s="91" t="str">
        <x:v>能力・適性・Credit整合済</x:v>
      </x:c>
      <x:c r="AF40" s="91" t="str">
        <x:v>https://en.wikipedia.org/wiki/Special:Search?search=Marc%20Hirschi%20cyclist</x:v>
      </x:c>
    </x:row>
    <x:row r="41" ht="26" customHeight="1">
      <x:c r="A41" s="82" t="n">
        <x:v>37</x:v>
      </x:c>
      <x:c r="B41" s="82" t="str">
        <x:v>Chris Horner</x:v>
      </x:c>
      <x:c r="C41" s="143" t="str"/>
      <x:c r="D41" s="82" t="str">
        <x:v>アメリカ</x:v>
      </x:c>
      <x:c r="E41" s="82" t="str">
        <x:v>引退</x:v>
      </x:c>
      <x:c r="F41" s="82" t="str"/>
      <x:c r="G41" s="82" t="str">
        <x:v>引退確認済</x:v>
      </x:c>
      <x:c r="H41" s="82" t="str">
        <x:v>総合型</x:v>
      </x:c>
      <x:c r="I41" s="82" t="str">
        <x:v>クライマー</x:v>
      </x:c>
      <x:c r="J41" s="85" t="n">
        <x:v>90</x:v>
      </x:c>
      <x:c r="K41" s="85" t="n">
        <x:v>78</x:v>
      </x:c>
      <x:c r="L41" s="91" t="str">
        <x:v>エース / 山岳賞ハンター / 山岳番手</x:v>
      </x:c>
      <x:c r="M41" s="88" t="n">
        <x:v>8800</x:v>
      </x:c>
      <x:c r="N41" s="85" t="n">
        <x:v>58</x:v>
      </x:c>
      <x:c r="O41" s="85" t="n">
        <x:v>69</x:v>
      </x:c>
      <x:c r="P41" s="85" t="n">
        <x:v>73</x:v>
      </x:c>
      <x:c r="Q41" s="85" t="n">
        <x:v>68</x:v>
      </x:c>
      <x:c r="R41" s="85" t="n">
        <x:v>78</x:v>
      </x:c>
      <x:c r="S41" s="85" t="n">
        <x:v>75</x:v>
      </x:c>
      <x:c r="T41" s="85" t="n">
        <x:v>73</x:v>
      </x:c>
      <x:c r="U41" s="85" t="n">
        <x:v>67</x:v>
      </x:c>
      <x:c r="V41" s="85" t="n">
        <x:v>68</x:v>
      </x:c>
      <x:c r="W41" s="85" t="n">
        <x:v>50</x:v>
      </x:c>
      <x:c r="X41" s="85" t="n">
        <x:v>80</x:v>
      </x:c>
      <x:c r="Y41" s="85" t="n">
        <x:v>80</x:v>
      </x:c>
      <x:c r="Z41" s="85" t="n">
        <x:v>68</x:v>
      </x:c>
      <x:c r="AA41" s="85" t="n">
        <x:v>74</x:v>
      </x:c>
      <x:c r="AB41" s="85" t="n">
        <x:v>70</x:v>
      </x:c>
      <x:c r="AC41" s="91" t="str">
        <x:v>既存時代区分「近代」（WorldTeam名簿外）</x:v>
      </x:c>
      <x:c r="AD41" s="91" t="str">
        <x:v>https://en.wikipedia.org/wiki/Special:Search?search=Chris%20Horner%20cyclist</x:v>
      </x:c>
      <x:c r="AE41" s="91" t="str">
        <x:v>能力・適性・Credit整合済</x:v>
      </x:c>
      <x:c r="AF41" s="91" t="str">
        <x:v>https://en.wikipedia.org/wiki/Special:Search?search=Chris%20Horner%20cyclist</x:v>
      </x:c>
    </x:row>
    <x:row r="42" ht="26" customHeight="1">
      <x:c r="A42" s="82" t="n">
        <x:v>38</x:v>
      </x:c>
      <x:c r="B42" s="82" t="str">
        <x:v>Aleksandr Vlasov</x:v>
      </x:c>
      <x:c r="C42" s="143" t="str"/>
      <x:c r="D42" s="82" t="str">
        <x:v>ロシア</x:v>
      </x:c>
      <x:c r="E42" s="82" t="str">
        <x:v>引退</x:v>
      </x:c>
      <x:c r="F42" s="82" t="str"/>
      <x:c r="G42" s="82" t="str">
        <x:v>引退確認済</x:v>
      </x:c>
      <x:c r="H42" s="82" t="str">
        <x:v>総合型</x:v>
      </x:c>
      <x:c r="I42" s="82" t="str">
        <x:v>クライマー</x:v>
      </x:c>
      <x:c r="J42" s="85" t="n">
        <x:v>90</x:v>
      </x:c>
      <x:c r="K42" s="85" t="n">
        <x:v>78</x:v>
      </x:c>
      <x:c r="L42" s="91" t="str">
        <x:v>エース / 山岳賞ハンター</x:v>
      </x:c>
      <x:c r="M42" s="88" t="n">
        <x:v>8700</x:v>
      </x:c>
      <x:c r="N42" s="85" t="n">
        <x:v>58</x:v>
      </x:c>
      <x:c r="O42" s="85" t="n">
        <x:v>69</x:v>
      </x:c>
      <x:c r="P42" s="85" t="n">
        <x:v>73</x:v>
      </x:c>
      <x:c r="Q42" s="85" t="n">
        <x:v>68</x:v>
      </x:c>
      <x:c r="R42" s="85" t="n">
        <x:v>77</x:v>
      </x:c>
      <x:c r="S42" s="85" t="n">
        <x:v>75</x:v>
      </x:c>
      <x:c r="T42" s="85" t="n">
        <x:v>74</x:v>
      </x:c>
      <x:c r="U42" s="85" t="n">
        <x:v>66</x:v>
      </x:c>
      <x:c r="V42" s="85" t="n">
        <x:v>69</x:v>
      </x:c>
      <x:c r="W42" s="85" t="n">
        <x:v>50</x:v>
      </x:c>
      <x:c r="X42" s="85" t="n">
        <x:v>79</x:v>
      </x:c>
      <x:c r="Y42" s="85" t="n">
        <x:v>78</x:v>
      </x:c>
      <x:c r="Z42" s="85" t="n">
        <x:v>68</x:v>
      </x:c>
      <x:c r="AA42" s="85" t="n">
        <x:v>74</x:v>
      </x:c>
      <x:c r="AB42" s="85" t="n">
        <x:v>70</x:v>
      </x:c>
      <x:c r="AC42" s="91" t="str">
        <x:v>既存時代区分「近代」（WorldTeam名簿外）</x:v>
      </x:c>
      <x:c r="AD42" s="91" t="str">
        <x:v>https://en.wikipedia.org/wiki/Special:Search?search=Aleksandr%20Vlasov%20cyclist</x:v>
      </x:c>
      <x:c r="AE42" s="91" t="str">
        <x:v>能力・適性・Credit整合済</x:v>
      </x:c>
      <x:c r="AF42" s="91" t="str">
        <x:v>https://en.wikipedia.org/wiki/Special:Search?search=Aleksandr%20Vlasov%20cyclist</x:v>
      </x:c>
    </x:row>
    <x:row r="43" ht="26" customHeight="1">
      <x:c r="A43" s="82" t="n">
        <x:v>39</x:v>
      </x:c>
      <x:c r="B43" s="82" t="str">
        <x:v>Thibaut Pinot</x:v>
      </x:c>
      <x:c r="C43" s="143" t="str"/>
      <x:c r="D43" s="82" t="str">
        <x:v>フランス</x:v>
      </x:c>
      <x:c r="E43" s="82" t="str">
        <x:v>引退</x:v>
      </x:c>
      <x:c r="F43" s="82" t="str"/>
      <x:c r="G43" s="82" t="str">
        <x:v>引退確認済</x:v>
      </x:c>
      <x:c r="H43" s="82" t="str">
        <x:v>クライマー</x:v>
      </x:c>
      <x:c r="I43" s="82" t="str">
        <x:v>パンチャー</x:v>
      </x:c>
      <x:c r="J43" s="85" t="n">
        <x:v>90</x:v>
      </x:c>
      <x:c r="K43" s="85" t="n">
        <x:v>68</x:v>
      </x:c>
      <x:c r="L43" s="91" t="str">
        <x:v>エース / 山岳賞ハンター</x:v>
      </x:c>
      <x:c r="M43" s="88" t="n">
        <x:v>8600</x:v>
      </x:c>
      <x:c r="N43" s="85" t="n">
        <x:v>59</x:v>
      </x:c>
      <x:c r="O43" s="85" t="n">
        <x:v>71</x:v>
      </x:c>
      <x:c r="P43" s="85" t="n">
        <x:v>72</x:v>
      </x:c>
      <x:c r="Q43" s="85" t="n">
        <x:v>64</x:v>
      </x:c>
      <x:c r="R43" s="85" t="n">
        <x:v>79</x:v>
      </x:c>
      <x:c r="S43" s="85" t="n">
        <x:v>75</x:v>
      </x:c>
      <x:c r="T43" s="85" t="n">
        <x:v>75</x:v>
      </x:c>
      <x:c r="U43" s="85" t="n">
        <x:v>65</x:v>
      </x:c>
      <x:c r="V43" s="85" t="n">
        <x:v>68</x:v>
      </x:c>
      <x:c r="W43" s="85" t="n">
        <x:v>50</x:v>
      </x:c>
      <x:c r="X43" s="85" t="n">
        <x:v>77</x:v>
      </x:c>
      <x:c r="Y43" s="85" t="n">
        <x:v>76</x:v>
      </x:c>
      <x:c r="Z43" s="85" t="n">
        <x:v>69</x:v>
      </x:c>
      <x:c r="AA43" s="85" t="n">
        <x:v>72</x:v>
      </x:c>
      <x:c r="AB43" s="85" t="n">
        <x:v>74</x:v>
      </x:c>
      <x:c r="AC43" s="91" t="str">
        <x:v>既存時代区分「近代」（WorldTeam名簿外）</x:v>
      </x:c>
      <x:c r="AD43" s="91" t="str">
        <x:v>https://en.wikipedia.org/wiki/Special:Search?search=Thibaut%20Pinot%20cyclist</x:v>
      </x:c>
      <x:c r="AE43" s="91" t="str">
        <x:v>能力・適性・Credit整合済</x:v>
      </x:c>
      <x:c r="AF43" s="91" t="str">
        <x:v>https://en.wikipedia.org/wiki/Special:Search?search=Thibaut%20Pinot%20cyclist</x:v>
      </x:c>
    </x:row>
    <x:row r="44" ht="26" customHeight="1">
      <x:c r="A44" s="82" t="n">
        <x:v>40</x:v>
      </x:c>
      <x:c r="B44" s="82" t="str">
        <x:v>Andreas Kloden</x:v>
      </x:c>
      <x:c r="C44" s="143" t="str"/>
      <x:c r="D44" s="82" t="str">
        <x:v>ドイツ</x:v>
      </x:c>
      <x:c r="E44" s="82" t="str">
        <x:v>引退</x:v>
      </x:c>
      <x:c r="F44" s="82" t="str"/>
      <x:c r="G44" s="82" t="str">
        <x:v>引退確認済</x:v>
      </x:c>
      <x:c r="H44" s="82" t="str">
        <x:v>総合型</x:v>
      </x:c>
      <x:c r="I44" s="82" t="str">
        <x:v>TT・ルーラー型</x:v>
      </x:c>
      <x:c r="J44" s="85" t="n">
        <x:v>90</x:v>
      </x:c>
      <x:c r="K44" s="85" t="n">
        <x:v>78</x:v>
      </x:c>
      <x:c r="L44" s="91" t="str">
        <x:v>エース / ロードキャプテン</x:v>
      </x:c>
      <x:c r="M44" s="88" t="n">
        <x:v>8550</x:v>
      </x:c>
      <x:c r="N44" s="85" t="n">
        <x:v>61</x:v>
      </x:c>
      <x:c r="O44" s="85" t="n">
        <x:v>67</x:v>
      </x:c>
      <x:c r="P44" s="85" t="n">
        <x:v>71</x:v>
      </x:c>
      <x:c r="Q44" s="85" t="n">
        <x:v>70</x:v>
      </x:c>
      <x:c r="R44" s="85" t="n">
        <x:v>76</x:v>
      </x:c>
      <x:c r="S44" s="85" t="n">
        <x:v>74</x:v>
      </x:c>
      <x:c r="T44" s="85" t="n">
        <x:v>74</x:v>
      </x:c>
      <x:c r="U44" s="85" t="n">
        <x:v>67</x:v>
      </x:c>
      <x:c r="V44" s="85" t="n">
        <x:v>69</x:v>
      </x:c>
      <x:c r="W44" s="85" t="n">
        <x:v>50</x:v>
      </x:c>
      <x:c r="X44" s="85" t="n">
        <x:v>78</x:v>
      </x:c>
      <x:c r="Y44" s="85" t="n">
        <x:v>78</x:v>
      </x:c>
      <x:c r="Z44" s="85" t="n">
        <x:v>69</x:v>
      </x:c>
      <x:c r="AA44" s="85" t="n">
        <x:v>73</x:v>
      </x:c>
      <x:c r="AB44" s="85" t="n">
        <x:v>68</x:v>
      </x:c>
      <x:c r="AC44" s="91" t="str">
        <x:v>既存時代区分「近代」（WorldTeam名簿外）</x:v>
      </x:c>
      <x:c r="AD44" s="91" t="str">
        <x:v>https://en.wikipedia.org/wiki/Special:Search?search=Andreas%20Kloden%20cyclist</x:v>
      </x:c>
      <x:c r="AE44" s="91" t="str">
        <x:v>能力・適性・Credit整合済</x:v>
      </x:c>
      <x:c r="AF44" s="91" t="str">
        <x:v>https://en.wikipedia.org/wiki/Special:Search?search=Andreas%20Kloden%20cyclist</x:v>
      </x:c>
    </x:row>
    <x:row r="45" ht="26" customHeight="1">
      <x:c r="A45" s="82" t="n">
        <x:v>41</x:v>
      </x:c>
      <x:c r="B45" s="82" t="str">
        <x:v>Tom Steels</x:v>
      </x:c>
      <x:c r="C45" s="143" t="str"/>
      <x:c r="D45" s="82" t="str">
        <x:v>ベルギー</x:v>
      </x:c>
      <x:c r="E45" s="82" t="str">
        <x:v>引退</x:v>
      </x:c>
      <x:c r="F45" s="82" t="str"/>
      <x:c r="G45" s="82" t="str">
        <x:v>引退確認済</x:v>
      </x:c>
      <x:c r="H45" s="82" t="str">
        <x:v>スプリンター</x:v>
      </x:c>
      <x:c r="I45" s="82" t="str">
        <x:v>クラシック型</x:v>
      </x:c>
      <x:c r="J45" s="85" t="n">
        <x:v>90</x:v>
      </x:c>
      <x:c r="K45" s="85" t="n">
        <x:v>75</x:v>
      </x:c>
      <x:c r="L45" s="91" t="str">
        <x:v>エース / リードアウト / 最終発射台 / 下り牽引 / 無賃乗車</x:v>
      </x:c>
      <x:c r="M45" s="88" t="n">
        <x:v>8250</x:v>
      </x:c>
      <x:c r="N45" s="85" t="n">
        <x:v>81</x:v>
      </x:c>
      <x:c r="O45" s="85" t="n">
        <x:v>80</x:v>
      </x:c>
      <x:c r="P45" s="85" t="n">
        <x:v>69</x:v>
      </x:c>
      <x:c r="Q45" s="85" t="n">
        <x:v>72</x:v>
      </x:c>
      <x:c r="R45" s="85" t="n">
        <x:v>58</x:v>
      </x:c>
      <x:c r="S45" s="85" t="n">
        <x:v>65</x:v>
      </x:c>
      <x:c r="T45" s="85" t="n">
        <x:v>64</x:v>
      </x:c>
      <x:c r="U45" s="85" t="n">
        <x:v>71</x:v>
      </x:c>
      <x:c r="V45" s="85" t="n">
        <x:v>71</x:v>
      </x:c>
      <x:c r="W45" s="85" t="n">
        <x:v>50</x:v>
      </x:c>
      <x:c r="X45" s="85" t="n">
        <x:v>69</x:v>
      </x:c>
      <x:c r="Y45" s="85" t="n">
        <x:v>69</x:v>
      </x:c>
      <x:c r="Z45" s="85" t="n">
        <x:v>65</x:v>
      </x:c>
      <x:c r="AA45" s="85" t="n">
        <x:v>77</x:v>
      </x:c>
      <x:c r="AB45" s="85" t="n">
        <x:v>67</x:v>
      </x:c>
      <x:c r="AC45" s="91" t="str">
        <x:v>既存時代区分「近代」（WorldTeam名簿外）</x:v>
      </x:c>
      <x:c r="AD45" s="91" t="str">
        <x:v>https://en.wikipedia.org/wiki/Special:Search?search=Tom%20Steels%20cyclist</x:v>
      </x:c>
      <x:c r="AE45" s="91" t="str">
        <x:v>能力・適性・Credit整合済</x:v>
      </x:c>
      <x:c r="AF45" s="91" t="str">
        <x:v>https://en.wikipedia.org/wiki/Special:Search?search=Tom%20Steels%20cyclist</x:v>
      </x:c>
    </x:row>
    <x:row r="46" ht="26" customHeight="1">
      <x:c r="A46" s="82" t="n">
        <x:v>42</x:v>
      </x:c>
      <x:c r="B46" s="82" t="str">
        <x:v>Dylan Groenewegen</x:v>
      </x:c>
      <x:c r="C46" s="143" t="str"/>
      <x:c r="D46" s="82" t="str">
        <x:v>オランダ</x:v>
      </x:c>
      <x:c r="E46" s="82" t="str">
        <x:v>引退</x:v>
      </x:c>
      <x:c r="F46" s="82" t="str"/>
      <x:c r="G46" s="82" t="str">
        <x:v>引退確認済</x:v>
      </x:c>
      <x:c r="H46" s="82" t="str">
        <x:v>スプリンター</x:v>
      </x:c>
      <x:c r="I46" s="82" t="str">
        <x:v>クラシック型</x:v>
      </x:c>
      <x:c r="J46" s="85" t="n">
        <x:v>90</x:v>
      </x:c>
      <x:c r="K46" s="85" t="n">
        <x:v>75</x:v>
      </x:c>
      <x:c r="L46" s="91" t="str">
        <x:v>エース / リードアウト / 最終発射台 / スプリントトレイン / 無賃乗車</x:v>
      </x:c>
      <x:c r="M46" s="88" t="n">
        <x:v>8050</x:v>
      </x:c>
      <x:c r="N46" s="85" t="n">
        <x:v>79</x:v>
      </x:c>
      <x:c r="O46" s="85" t="n">
        <x:v>80</x:v>
      </x:c>
      <x:c r="P46" s="85" t="n">
        <x:v>68</x:v>
      </x:c>
      <x:c r="Q46" s="85" t="n">
        <x:v>72</x:v>
      </x:c>
      <x:c r="R46" s="85" t="n">
        <x:v>58</x:v>
      </x:c>
      <x:c r="S46" s="85" t="n">
        <x:v>64</x:v>
      </x:c>
      <x:c r="T46" s="85" t="n">
        <x:v>64</x:v>
      </x:c>
      <x:c r="U46" s="85" t="n">
        <x:v>72</x:v>
      </x:c>
      <x:c r="V46" s="85" t="n">
        <x:v>71</x:v>
      </x:c>
      <x:c r="W46" s="85" t="n">
        <x:v>69</x:v>
      </x:c>
      <x:c r="X46" s="85" t="n">
        <x:v>69</x:v>
      </x:c>
      <x:c r="Y46" s="85" t="n">
        <x:v>69</x:v>
      </x:c>
      <x:c r="Z46" s="85" t="n">
        <x:v>64</x:v>
      </x:c>
      <x:c r="AA46" s="85" t="n">
        <x:v>77</x:v>
      </x:c>
      <x:c r="AB46" s="85" t="n">
        <x:v>67</x:v>
      </x:c>
      <x:c r="AC46" s="91" t="str">
        <x:v>既存時代区分「近代」（WorldTeam名簿外）</x:v>
      </x:c>
      <x:c r="AD46" s="91" t="str">
        <x:v>https://en.wikipedia.org/wiki/Special:Search?search=Dylan%20Groenewegen%20cyclist</x:v>
      </x:c>
      <x:c r="AE46" s="91" t="str">
        <x:v>能力・適性・Credit整合済</x:v>
      </x:c>
      <x:c r="AF46" s="91" t="str">
        <x:v>https://en.wikipedia.org/wiki/Special:Search?search=Dylan%20Groenewegen%20cyclist</x:v>
      </x:c>
    </x:row>
    <x:row r="47" ht="26" customHeight="1">
      <x:c r="A47" s="82" t="n">
        <x:v>43</x:v>
      </x:c>
      <x:c r="B47" s="82" t="str">
        <x:v>Johan Museeuw</x:v>
      </x:c>
      <x:c r="C47" s="143" t="str">
        <x:v>フランドルの獅子</x:v>
      </x:c>
      <x:c r="D47" s="82" t="str">
        <x:v>ベルギー</x:v>
      </x:c>
      <x:c r="E47" s="82" t="str">
        <x:v>引退</x:v>
      </x:c>
      <x:c r="F47" s="82" t="str"/>
      <x:c r="G47" s="82" t="str">
        <x:v>引退確認済</x:v>
      </x:c>
      <x:c r="H47" s="82" t="str">
        <x:v>クラシック型</x:v>
      </x:c>
      <x:c r="I47" s="82" t="str">
        <x:v>パンチャー</x:v>
      </x:c>
      <x:c r="J47" s="85" t="n">
        <x:v>89</x:v>
      </x:c>
      <x:c r="K47" s="85" t="n">
        <x:v>74</x:v>
      </x:c>
      <x:c r="L47" s="91" t="str">
        <x:v>エース / 石畳護衛 / 横風要員 / 逃げ屋 / ブリッジャー / カウンターアタッカー / 無賃乗車</x:v>
      </x:c>
      <x:c r="M47" s="88" t="n">
        <x:v>10750</x:v>
      </x:c>
      <x:c r="N47" s="85" t="n">
        <x:v>75</x:v>
      </x:c>
      <x:c r="O47" s="85" t="n">
        <x:v>75</x:v>
      </x:c>
      <x:c r="P47" s="85" t="n">
        <x:v>78</x:v>
      </x:c>
      <x:c r="Q47" s="85" t="n">
        <x:v>78</x:v>
      </x:c>
      <x:c r="R47" s="85" t="n">
        <x:v>68</x:v>
      </x:c>
      <x:c r="S47" s="85" t="n">
        <x:v>80</x:v>
      </x:c>
      <x:c r="T47" s="85" t="n">
        <x:v>85</x:v>
      </x:c>
      <x:c r="U47" s="85" t="n">
        <x:v>81</x:v>
      </x:c>
      <x:c r="V47" s="85" t="n">
        <x:v>83</x:v>
      </x:c>
      <x:c r="W47" s="85" t="n">
        <x:v>84</x:v>
      </x:c>
      <x:c r="X47" s="85" t="n">
        <x:v>75</x:v>
      </x:c>
      <x:c r="Y47" s="85" t="n">
        <x:v>74</x:v>
      </x:c>
      <x:c r="Z47" s="85" t="n">
        <x:v>74</x:v>
      </x:c>
      <x:c r="AA47" s="85" t="n">
        <x:v>72</x:v>
      </x:c>
      <x:c r="AB47" s="85" t="n">
        <x:v>85</x:v>
      </x:c>
      <x:c r="AC47" s="91" t="str">
        <x:v>既存時代区分「近代」（WorldTeam名簿外）</x:v>
      </x:c>
      <x:c r="AD47" s="91" t="str">
        <x:v>https://en.wikipedia.org/wiki/Special:Search?search=Johan%20Museeuw%20cyclist</x:v>
      </x:c>
      <x:c r="AE47" s="91" t="str">
        <x:v>能力・適性・Credit整合済</x:v>
      </x:c>
      <x:c r="AF47" s="91" t="str">
        <x:v>https://en.wikipedia.org/wiki/Special:Search?search=Johan%20Museeuw%20cyclist</x:v>
      </x:c>
    </x:row>
    <x:row r="48" ht="26" customHeight="1">
      <x:c r="A48" s="82" t="n">
        <x:v>44</x:v>
      </x:c>
      <x:c r="B48" s="82" t="str">
        <x:v>Andrea Tafi</x:v>
      </x:c>
      <x:c r="C48" s="143" t="str">
        <x:v>石畳の剣闘士</x:v>
      </x:c>
      <x:c r="D48" s="82" t="str">
        <x:v>イタリア</x:v>
      </x:c>
      <x:c r="E48" s="82" t="str">
        <x:v>引退</x:v>
      </x:c>
      <x:c r="F48" s="82" t="str"/>
      <x:c r="G48" s="82" t="str">
        <x:v>引退確認済</x:v>
      </x:c>
      <x:c r="H48" s="82" t="str">
        <x:v>クラシック型</x:v>
      </x:c>
      <x:c r="I48" s="82" t="str">
        <x:v>TT・ルーラー型</x:v>
      </x:c>
      <x:c r="J48" s="85" t="n">
        <x:v>89</x:v>
      </x:c>
      <x:c r="K48" s="85" t="n">
        <x:v>82</x:v>
      </x:c>
      <x:c r="L48" s="91" t="str">
        <x:v>エース / 石畳護衛 / 横風要員 / 逃げ屋</x:v>
      </x:c>
      <x:c r="M48" s="88" t="n">
        <x:v>10450</x:v>
      </x:c>
      <x:c r="N48" s="85" t="n">
        <x:v>74</x:v>
      </x:c>
      <x:c r="O48" s="85" t="n">
        <x:v>73</x:v>
      </x:c>
      <x:c r="P48" s="85" t="n">
        <x:v>77</x:v>
      </x:c>
      <x:c r="Q48" s="85" t="n">
        <x:v>80</x:v>
      </x:c>
      <x:c r="R48" s="85" t="n">
        <x:v>68</x:v>
      </x:c>
      <x:c r="S48" s="85" t="n">
        <x:v>78</x:v>
      </x:c>
      <x:c r="T48" s="85" t="n">
        <x:v>82</x:v>
      </x:c>
      <x:c r="U48" s="85" t="n">
        <x:v>80</x:v>
      </x:c>
      <x:c r="V48" s="85" t="n">
        <x:v>82</x:v>
      </x:c>
      <x:c r="W48" s="85" t="n">
        <x:v>83</x:v>
      </x:c>
      <x:c r="X48" s="85" t="n">
        <x:v>72</x:v>
      </x:c>
      <x:c r="Y48" s="85" t="n">
        <x:v>72</x:v>
      </x:c>
      <x:c r="Z48" s="85" t="n">
        <x:v>78</x:v>
      </x:c>
      <x:c r="AA48" s="85" t="n">
        <x:v>71</x:v>
      </x:c>
      <x:c r="AB48" s="85" t="n">
        <x:v>81</x:v>
      </x:c>
      <x:c r="AC48" s="91" t="str">
        <x:v>既存時代区分「近代」（WorldTeam名簿外）</x:v>
      </x:c>
      <x:c r="AD48" s="91" t="str">
        <x:v>https://en.wikipedia.org/wiki/Special:Search?search=Andrea%20Tafi%20cyclist</x:v>
      </x:c>
      <x:c r="AE48" s="91" t="str">
        <x:v>能力・適性・Credit整合済</x:v>
      </x:c>
      <x:c r="AF48" s="91" t="str">
        <x:v>https://en.wikipedia.org/wiki/Special:Search?search=Andrea%20Tafi%20cyclist</x:v>
      </x:c>
    </x:row>
    <x:row r="49" ht="26" customHeight="1">
      <x:c r="A49" s="82" t="n">
        <x:v>45</x:v>
      </x:c>
      <x:c r="B49" s="82" t="str">
        <x:v>Niki Terpstra</x:v>
      </x:c>
      <x:c r="C49" s="143" t="str">
        <x:v>北海の逃亡者</x:v>
      </x:c>
      <x:c r="D49" s="82" t="str">
        <x:v>オランダ</x:v>
      </x:c>
      <x:c r="E49" s="82" t="str">
        <x:v>引退</x:v>
      </x:c>
      <x:c r="F49" s="82" t="str"/>
      <x:c r="G49" s="82" t="str">
        <x:v>引退確認済</x:v>
      </x:c>
      <x:c r="H49" s="82" t="str">
        <x:v>クラシック型</x:v>
      </x:c>
      <x:c r="I49" s="82" t="str">
        <x:v>TT・ルーラー型</x:v>
      </x:c>
      <x:c r="J49" s="85" t="n">
        <x:v>89</x:v>
      </x:c>
      <x:c r="K49" s="85" t="n">
        <x:v>82</x:v>
      </x:c>
      <x:c r="L49" s="91" t="str">
        <x:v>エース / 石畳護衛 / 横風要員 / 逃げ屋</x:v>
      </x:c>
      <x:c r="M49" s="88" t="n">
        <x:v>10350</x:v>
      </x:c>
      <x:c r="N49" s="85" t="n">
        <x:v>74</x:v>
      </x:c>
      <x:c r="O49" s="85" t="n">
        <x:v>73</x:v>
      </x:c>
      <x:c r="P49" s="85" t="n">
        <x:v>76</x:v>
      </x:c>
      <x:c r="Q49" s="85" t="n">
        <x:v>79</x:v>
      </x:c>
      <x:c r="R49" s="85" t="n">
        <x:v>67</x:v>
      </x:c>
      <x:c r="S49" s="85" t="n">
        <x:v>77</x:v>
      </x:c>
      <x:c r="T49" s="85" t="n">
        <x:v>80</x:v>
      </x:c>
      <x:c r="U49" s="85" t="n">
        <x:v>79</x:v>
      </x:c>
      <x:c r="V49" s="85" t="n">
        <x:v>81</x:v>
      </x:c>
      <x:c r="W49" s="85" t="n">
        <x:v>82</x:v>
      </x:c>
      <x:c r="X49" s="85" t="n">
        <x:v>72</x:v>
      </x:c>
      <x:c r="Y49" s="85" t="n">
        <x:v>72</x:v>
      </x:c>
      <x:c r="Z49" s="85" t="n">
        <x:v>77</x:v>
      </x:c>
      <x:c r="AA49" s="85" t="n">
        <x:v>71</x:v>
      </x:c>
      <x:c r="AB49" s="85" t="n">
        <x:v>79</x:v>
      </x:c>
      <x:c r="AC49" s="91" t="str">
        <x:v>既存時代区分「近代」（WorldTeam名簿外）</x:v>
      </x:c>
      <x:c r="AD49" s="91" t="str">
        <x:v>https://en.wikipedia.org/wiki/Special:Search?search=Niki%20Terpstra%20cyclist</x:v>
      </x:c>
      <x:c r="AE49" s="91" t="str">
        <x:v>能力・適性・Credit整合済</x:v>
      </x:c>
      <x:c r="AF49" s="91" t="str">
        <x:v>https://en.wikipedia.org/wiki/Special:Search?search=Niki%20Terpstra%20cyclist</x:v>
      </x:c>
    </x:row>
    <x:row r="50" ht="26" customHeight="1">
      <x:c r="A50" s="82" t="n">
        <x:v>46</x:v>
      </x:c>
      <x:c r="B50" s="82" t="str">
        <x:v>Tom Dumoulin</x:v>
      </x:c>
      <x:c r="C50" s="143" t="str">
        <x:v>低地のクロノバタフライ</x:v>
      </x:c>
      <x:c r="D50" s="82" t="str">
        <x:v>オランダ</x:v>
      </x:c>
      <x:c r="E50" s="82" t="str">
        <x:v>引退</x:v>
      </x:c>
      <x:c r="F50" s="82" t="str"/>
      <x:c r="G50" s="82" t="str">
        <x:v>引退確認済</x:v>
      </x:c>
      <x:c r="H50" s="82" t="str">
        <x:v>総合型</x:v>
      </x:c>
      <x:c r="I50" s="82" t="str">
        <x:v>TT・ルーラー型</x:v>
      </x:c>
      <x:c r="J50" s="85" t="n">
        <x:v>89</x:v>
      </x:c>
      <x:c r="K50" s="85" t="n">
        <x:v>79</x:v>
      </x:c>
      <x:c r="L50" s="91" t="str">
        <x:v>エース / TTスペシャリスト / 山岳アシスト</x:v>
      </x:c>
      <x:c r="M50" s="88" t="n">
        <x:v>9950</x:v>
      </x:c>
      <x:c r="N50" s="85" t="n">
        <x:v>61</x:v>
      </x:c>
      <x:c r="O50" s="85" t="n">
        <x:v>68</x:v>
      </x:c>
      <x:c r="P50" s="85" t="n">
        <x:v>71</x:v>
      </x:c>
      <x:c r="Q50" s="85" t="n">
        <x:v>73</x:v>
      </x:c>
      <x:c r="R50" s="85" t="n">
        <x:v>76</x:v>
      </x:c>
      <x:c r="S50" s="85" t="n">
        <x:v>78</x:v>
      </x:c>
      <x:c r="T50" s="85" t="n">
        <x:v>76</x:v>
      </x:c>
      <x:c r="U50" s="85" t="n">
        <x:v>71</x:v>
      </x:c>
      <x:c r="V50" s="85" t="n">
        <x:v>69</x:v>
      </x:c>
      <x:c r="W50" s="85" t="n">
        <x:v>50</x:v>
      </x:c>
      <x:c r="X50" s="85" t="n">
        <x:v>80</x:v>
      </x:c>
      <x:c r="Y50" s="85" t="n">
        <x:v>80</x:v>
      </x:c>
      <x:c r="Z50" s="85" t="n">
        <x:v>69</x:v>
      </x:c>
      <x:c r="AA50" s="85" t="n">
        <x:v>74</x:v>
      </x:c>
      <x:c r="AB50" s="85" t="n">
        <x:v>68</x:v>
      </x:c>
      <x:c r="AC50" s="91" t="str">
        <x:v>既存時代区分「近代」（WorldTeam名簿外）</x:v>
      </x:c>
      <x:c r="AD50" s="91" t="str">
        <x:v>https://en.wikipedia.org/wiki/Special:Search?search=Tom%20Dumoulin%20cyclist</x:v>
      </x:c>
      <x:c r="AE50" s="91" t="str">
        <x:v>能力・適性・Credit整合済</x:v>
      </x:c>
      <x:c r="AF50" s="91" t="str">
        <x:v>https://en.wikipedia.org/wiki/Special:Search?search=Tom%20Dumoulin%20cyclist</x:v>
      </x:c>
    </x:row>
    <x:row r="51" ht="26" customHeight="1">
      <x:c r="A51" s="82" t="n">
        <x:v>47</x:v>
      </x:c>
      <x:c r="B51" s="82" t="str">
        <x:v>Laurent Jalabert</x:v>
      </x:c>
      <x:c r="C51" s="143" t="str">
        <x:v>変幻のクラシック王</x:v>
      </x:c>
      <x:c r="D51" s="82" t="str">
        <x:v>フランス</x:v>
      </x:c>
      <x:c r="E51" s="82" t="str">
        <x:v>引退</x:v>
      </x:c>
      <x:c r="F51" s="82" t="str"/>
      <x:c r="G51" s="82" t="str">
        <x:v>引退確認済</x:v>
      </x:c>
      <x:c r="H51" s="82" t="str">
        <x:v>クラシック型</x:v>
      </x:c>
      <x:c r="I51" s="82" t="str">
        <x:v>パンチャー</x:v>
      </x:c>
      <x:c r="J51" s="85" t="n">
        <x:v>89</x:v>
      </x:c>
      <x:c r="K51" s="85" t="n">
        <x:v>74</x:v>
      </x:c>
      <x:c r="L51" s="91" t="str">
        <x:v>エース / 石畳護衛 / 逃げ屋 / ブリッジャー / カウンターアタッカー / 横風分断 / 無賃乗車</x:v>
      </x:c>
      <x:c r="M51" s="88" t="n">
        <x:v>9850</x:v>
      </x:c>
      <x:c r="N51" s="85" t="n">
        <x:v>76</x:v>
      </x:c>
      <x:c r="O51" s="85" t="n">
        <x:v>75</x:v>
      </x:c>
      <x:c r="P51" s="85" t="n">
        <x:v>77</x:v>
      </x:c>
      <x:c r="Q51" s="85" t="n">
        <x:v>78</x:v>
      </x:c>
      <x:c r="R51" s="85" t="n">
        <x:v>72</x:v>
      </x:c>
      <x:c r="S51" s="85" t="n">
        <x:v>79</x:v>
      </x:c>
      <x:c r="T51" s="85" t="n">
        <x:v>83</x:v>
      </x:c>
      <x:c r="U51" s="85" t="n">
        <x:v>82</x:v>
      </x:c>
      <x:c r="V51" s="85" t="n">
        <x:v>84</x:v>
      </x:c>
      <x:c r="W51" s="85" t="n">
        <x:v>50</x:v>
      </x:c>
      <x:c r="X51" s="85" t="n">
        <x:v>73</x:v>
      </x:c>
      <x:c r="Y51" s="85" t="n">
        <x:v>73</x:v>
      </x:c>
      <x:c r="Z51" s="85" t="n">
        <x:v>73</x:v>
      </x:c>
      <x:c r="AA51" s="85" t="n">
        <x:v>72</x:v>
      </x:c>
      <x:c r="AB51" s="85" t="n">
        <x:v>82</x:v>
      </x:c>
      <x:c r="AC51" s="91" t="str">
        <x:v>既存時代区分「近代」（WorldTeam名簿外）</x:v>
      </x:c>
      <x:c r="AD51" s="91" t="str">
        <x:v>https://en.wikipedia.org/wiki/Special:Search?search=Laurent%20Jalabert%20cyclist</x:v>
      </x:c>
      <x:c r="AE51" s="91" t="str">
        <x:v>能力・適性・Credit整合済</x:v>
      </x:c>
      <x:c r="AF51" s="91" t="str">
        <x:v>https://en.wikipedia.org/wiki/Special:Search?search=Laurent%20Jalabert%20cyclist</x:v>
      </x:c>
    </x:row>
    <x:row r="52" ht="26" customHeight="1">
      <x:c r="A52" s="82" t="n">
        <x:v>48</x:v>
      </x:c>
      <x:c r="B52" s="82" t="str">
        <x:v>Alexander Kristoff</x:v>
      </x:c>
      <x:c r="C52" s="143" t="str"/>
      <x:c r="D52" s="82" t="str">
        <x:v>ノルウェー</x:v>
      </x:c>
      <x:c r="E52" s="82" t="str">
        <x:v>引退</x:v>
      </x:c>
      <x:c r="F52" s="82" t="str"/>
      <x:c r="G52" s="82" t="str">
        <x:v>引退確認済</x:v>
      </x:c>
      <x:c r="H52" s="82" t="str">
        <x:v>クラシック型</x:v>
      </x:c>
      <x:c r="I52" s="82" t="str">
        <x:v>スプリンター</x:v>
      </x:c>
      <x:c r="J52" s="85" t="n">
        <x:v>89</x:v>
      </x:c>
      <x:c r="K52" s="85" t="n">
        <x:v>82</x:v>
      </x:c>
      <x:c r="L52" s="91" t="str">
        <x:v>エース / スプリントトレイン / 石畳護衛 / 逃げ屋 / ブリッジャー / 無賃乗車 / ポジションキーパー</x:v>
      </x:c>
      <x:c r="M52" s="88" t="n">
        <x:v>9800</x:v>
      </x:c>
      <x:c r="N52" s="85" t="n">
        <x:v>76</x:v>
      </x:c>
      <x:c r="O52" s="85" t="n">
        <x:v>75</x:v>
      </x:c>
      <x:c r="P52" s="85" t="n">
        <x:v>76</x:v>
      </x:c>
      <x:c r="Q52" s="85" t="n">
        <x:v>76</x:v>
      </x:c>
      <x:c r="R52" s="85" t="n">
        <x:v>64</x:v>
      </x:c>
      <x:c r="S52" s="85" t="n">
        <x:v>76</x:v>
      </x:c>
      <x:c r="T52" s="85" t="n">
        <x:v>79</x:v>
      </x:c>
      <x:c r="U52" s="85" t="n">
        <x:v>82</x:v>
      </x:c>
      <x:c r="V52" s="85" t="n">
        <x:v>80</x:v>
      </x:c>
      <x:c r="W52" s="85" t="n">
        <x:v>77</x:v>
      </x:c>
      <x:c r="X52" s="85" t="n">
        <x:v>71</x:v>
      </x:c>
      <x:c r="Y52" s="85" t="n">
        <x:v>71</x:v>
      </x:c>
      <x:c r="Z52" s="85" t="n">
        <x:v>75</x:v>
      </x:c>
      <x:c r="AA52" s="85" t="n">
        <x:v>72</x:v>
      </x:c>
      <x:c r="AB52" s="85" t="n">
        <x:v>79</x:v>
      </x:c>
      <x:c r="AC52" s="91" t="str">
        <x:v>既存時代区分「近代」（WorldTeam名簿外）</x:v>
      </x:c>
      <x:c r="AD52" s="91" t="str">
        <x:v>https://en.wikipedia.org/wiki/Special:Search?search=Alexander%20Kristoff%20cyclist</x:v>
      </x:c>
      <x:c r="AE52" s="91" t="str">
        <x:v>能力・適性・Credit整合済</x:v>
      </x:c>
      <x:c r="AF52" s="91" t="str">
        <x:v>https://en.wikipedia.org/wiki/Special:Search?search=Alexander%20Kristoff%20cyclist</x:v>
      </x:c>
    </x:row>
    <x:row r="53" ht="26" customHeight="1">
      <x:c r="A53" s="82" t="n">
        <x:v>49</x:v>
      </x:c>
      <x:c r="B53" s="82" t="str">
        <x:v>Philippe Gilbert</x:v>
      </x:c>
      <x:c r="C53" s="143" t="str">
        <x:v>アルデンヌの王</x:v>
      </x:c>
      <x:c r="D53" s="82" t="str">
        <x:v>ベルギー</x:v>
      </x:c>
      <x:c r="E53" s="82" t="str">
        <x:v>引退</x:v>
      </x:c>
      <x:c r="F53" s="82" t="str"/>
      <x:c r="G53" s="82" t="str">
        <x:v>引退確認済</x:v>
      </x:c>
      <x:c r="H53" s="82" t="str">
        <x:v>パンチャー</x:v>
      </x:c>
      <x:c r="I53" s="82" t="str">
        <x:v>クライマー</x:v>
      </x:c>
      <x:c r="J53" s="85" t="n">
        <x:v>89</x:v>
      </x:c>
      <x:c r="K53" s="85" t="n">
        <x:v>66</x:v>
      </x:c>
      <x:c r="L53" s="91" t="str">
        <x:v>エース / ステージハンター / 山岳賞ハンター</x:v>
      </x:c>
      <x:c r="M53" s="88" t="n">
        <x:v>9700</x:v>
      </x:c>
      <x:c r="N53" s="85" t="n">
        <x:v>68</x:v>
      </x:c>
      <x:c r="O53" s="85" t="n">
        <x:v>77</x:v>
      </x:c>
      <x:c r="P53" s="85" t="n">
        <x:v>82</x:v>
      </x:c>
      <x:c r="Q53" s="85" t="n">
        <x:v>66</x:v>
      </x:c>
      <x:c r="R53" s="85" t="n">
        <x:v>74</x:v>
      </x:c>
      <x:c r="S53" s="85" t="n">
        <x:v>71</x:v>
      </x:c>
      <x:c r="T53" s="85" t="n">
        <x:v>68</x:v>
      </x:c>
      <x:c r="U53" s="85" t="n">
        <x:v>75</x:v>
      </x:c>
      <x:c r="V53" s="85" t="n">
        <x:v>77</x:v>
      </x:c>
      <x:c r="W53" s="85" t="n">
        <x:v>78</x:v>
      </x:c>
      <x:c r="X53" s="85" t="n">
        <x:v>72</x:v>
      </x:c>
      <x:c r="Y53" s="85" t="n">
        <x:v>73</x:v>
      </x:c>
      <x:c r="Z53" s="85" t="n">
        <x:v>62</x:v>
      </x:c>
      <x:c r="AA53" s="85" t="n">
        <x:v>79</x:v>
      </x:c>
      <x:c r="AB53" s="85" t="n">
        <x:v>80</x:v>
      </x:c>
      <x:c r="AC53" s="91" t="str">
        <x:v>既存時代区分「近代」（WorldTeam名簿外）</x:v>
      </x:c>
      <x:c r="AD53" s="91" t="str">
        <x:v>https://en.wikipedia.org/wiki/Special:Search?search=Philippe%20Gilbert%20cyclist</x:v>
      </x:c>
      <x:c r="AE53" s="91" t="str">
        <x:v>能力・適性・Credit整合済</x:v>
      </x:c>
      <x:c r="AF53" s="91" t="str">
        <x:v>https://en.wikipedia.org/wiki/Special:Search?search=Philippe%20Gilbert%20cyclist</x:v>
      </x:c>
    </x:row>
    <x:row r="54" ht="26" customHeight="1">
      <x:c r="A54" s="82" t="n">
        <x:v>50</x:v>
      </x:c>
      <x:c r="B54" s="82" t="str">
        <x:v>Thor Hushovd</x:v>
      </x:c>
      <x:c r="C54" s="143" t="str">
        <x:v>北欧の雷神</x:v>
      </x:c>
      <x:c r="D54" s="82" t="str">
        <x:v>ノルウェー</x:v>
      </x:c>
      <x:c r="E54" s="82" t="str">
        <x:v>引退</x:v>
      </x:c>
      <x:c r="F54" s="82" t="str"/>
      <x:c r="G54" s="82" t="str">
        <x:v>引退確認済</x:v>
      </x:c>
      <x:c r="H54" s="82" t="str">
        <x:v>スプリンター</x:v>
      </x:c>
      <x:c r="I54" s="82" t="str">
        <x:v>クラシック型</x:v>
      </x:c>
      <x:c r="J54" s="85" t="n">
        <x:v>89</x:v>
      </x:c>
      <x:c r="K54" s="85" t="n">
        <x:v>76</x:v>
      </x:c>
      <x:c r="L54" s="91" t="str">
        <x:v>エース / リードアウト / 最終発射台 / 下り牽引</x:v>
      </x:c>
      <x:c r="M54" s="88" t="n">
        <x:v>9600</x:v>
      </x:c>
      <x:c r="N54" s="85" t="n">
        <x:v>81</x:v>
      </x:c>
      <x:c r="O54" s="85" t="n">
        <x:v>82</x:v>
      </x:c>
      <x:c r="P54" s="85" t="n">
        <x:v>69</x:v>
      </x:c>
      <x:c r="Q54" s="85" t="n">
        <x:v>72</x:v>
      </x:c>
      <x:c r="R54" s="85" t="n">
        <x:v>58</x:v>
      </x:c>
      <x:c r="S54" s="85" t="n">
        <x:v>66</x:v>
      </x:c>
      <x:c r="T54" s="85" t="n">
        <x:v>65</x:v>
      </x:c>
      <x:c r="U54" s="85" t="n">
        <x:v>69</x:v>
      </x:c>
      <x:c r="V54" s="85" t="n">
        <x:v>71</x:v>
      </x:c>
      <x:c r="W54" s="85" t="n">
        <x:v>73</x:v>
      </x:c>
      <x:c r="X54" s="85" t="n">
        <x:v>70</x:v>
      </x:c>
      <x:c r="Y54" s="85" t="n">
        <x:v>69</x:v>
      </x:c>
      <x:c r="Z54" s="85" t="n">
        <x:v>65</x:v>
      </x:c>
      <x:c r="AA54" s="85" t="n">
        <x:v>76</x:v>
      </x:c>
      <x:c r="AB54" s="85" t="n">
        <x:v>69</x:v>
      </x:c>
      <x:c r="AC54" s="91" t="str">
        <x:v>既存時代区分「近代」（WorldTeam名簿外）</x:v>
      </x:c>
      <x:c r="AD54" s="91" t="str">
        <x:v>https://en.wikipedia.org/wiki/Special:Search?search=Thor%20Hushovd%20cyclist</x:v>
      </x:c>
      <x:c r="AE54" s="91" t="str">
        <x:v>能力・適性・Credit整合済</x:v>
      </x:c>
      <x:c r="AF54" s="91" t="str">
        <x:v>https://en.wikipedia.org/wiki/Special:Search?search=Thor%20Hushovd%20cyclist</x:v>
      </x:c>
    </x:row>
    <x:row r="55" ht="26" customHeight="1">
      <x:c r="A55" s="82" t="n">
        <x:v>51</x:v>
      </x:c>
      <x:c r="B55" s="82" t="str">
        <x:v>Nick Nuyens</x:v>
      </x:c>
      <x:c r="C55" s="143" t="str"/>
      <x:c r="D55" s="82" t="str">
        <x:v>ベルギー</x:v>
      </x:c>
      <x:c r="E55" s="82" t="str">
        <x:v>引退</x:v>
      </x:c>
      <x:c r="F55" s="82" t="str"/>
      <x:c r="G55" s="82" t="str">
        <x:v>引退確認済</x:v>
      </x:c>
      <x:c r="H55" s="82" t="str">
        <x:v>クラシック型</x:v>
      </x:c>
      <x:c r="I55" s="82" t="str">
        <x:v>パンチャー</x:v>
      </x:c>
      <x:c r="J55" s="85" t="n">
        <x:v>89</x:v>
      </x:c>
      <x:c r="K55" s="85" t="n">
        <x:v>82</x:v>
      </x:c>
      <x:c r="L55" s="91" t="str">
        <x:v>エース / 石畳護衛 / 逃げ屋 / ブリッジャー / カウンターアタッカー</x:v>
      </x:c>
      <x:c r="M55" s="88" t="n">
        <x:v>9250</x:v>
      </x:c>
      <x:c r="N55" s="85" t="n">
        <x:v>75</x:v>
      </x:c>
      <x:c r="O55" s="85" t="n">
        <x:v>74</x:v>
      </x:c>
      <x:c r="P55" s="85" t="n">
        <x:v>77</x:v>
      </x:c>
      <x:c r="Q55" s="85" t="n">
        <x:v>76</x:v>
      </x:c>
      <x:c r="R55" s="85" t="n">
        <x:v>68</x:v>
      </x:c>
      <x:c r="S55" s="85" t="n">
        <x:v>74</x:v>
      </x:c>
      <x:c r="T55" s="85" t="n">
        <x:v>78</x:v>
      </x:c>
      <x:c r="U55" s="85" t="n">
        <x:v>78</x:v>
      </x:c>
      <x:c r="V55" s="85" t="n">
        <x:v>80</x:v>
      </x:c>
      <x:c r="W55" s="85" t="n">
        <x:v>76</x:v>
      </x:c>
      <x:c r="X55" s="85" t="n">
        <x:v>71</x:v>
      </x:c>
      <x:c r="Y55" s="85" t="n">
        <x:v>71</x:v>
      </x:c>
      <x:c r="Z55" s="85" t="n">
        <x:v>74</x:v>
      </x:c>
      <x:c r="AA55" s="85" t="n">
        <x:v>72</x:v>
      </x:c>
      <x:c r="AB55" s="85" t="n">
        <x:v>78</x:v>
      </x:c>
      <x:c r="AC55" s="91" t="str">
        <x:v>既存時代区分「近代」（WorldTeam名簿外）</x:v>
      </x:c>
      <x:c r="AD55" s="91" t="str">
        <x:v>https://en.wikipedia.org/wiki/Special:Search?search=Nick%20Nuyens%20cyclist</x:v>
      </x:c>
      <x:c r="AE55" s="91" t="str">
        <x:v>能力・適性・Credit整合済</x:v>
      </x:c>
      <x:c r="AF55" s="91" t="str">
        <x:v>https://en.wikipedia.org/wiki/Special:Search?search=Nick%20Nuyens%20cyclist</x:v>
      </x:c>
    </x:row>
    <x:row r="56" ht="26" customHeight="1">
      <x:c r="A56" s="82" t="n">
        <x:v>52</x:v>
      </x:c>
      <x:c r="B56" s="82" t="str">
        <x:v>Danilo Di Luca</x:v>
      </x:c>
      <x:c r="C56" s="143" t="str"/>
      <x:c r="D56" s="82" t="str">
        <x:v>イタリア</x:v>
      </x:c>
      <x:c r="E56" s="82" t="str">
        <x:v>引退</x:v>
      </x:c>
      <x:c r="F56" s="82" t="str"/>
      <x:c r="G56" s="82" t="str">
        <x:v>引退確認済</x:v>
      </x:c>
      <x:c r="H56" s="82" t="str">
        <x:v>パンチャー</x:v>
      </x:c>
      <x:c r="I56" s="82" t="str">
        <x:v>総合型</x:v>
      </x:c>
      <x:c r="J56" s="85" t="n">
        <x:v>89</x:v>
      </x:c>
      <x:c r="K56" s="85" t="n">
        <x:v>77</x:v>
      </x:c>
      <x:c r="L56" s="91" t="str">
        <x:v>エース / ステージハンター / 集団コントローラー</x:v>
      </x:c>
      <x:c r="M56" s="88" t="n">
        <x:v>8750</x:v>
      </x:c>
      <x:c r="N56" s="85" t="n">
        <x:v>70</x:v>
      </x:c>
      <x:c r="O56" s="85" t="n">
        <x:v>77</x:v>
      </x:c>
      <x:c r="P56" s="85" t="n">
        <x:v>85</x:v>
      </x:c>
      <x:c r="Q56" s="85" t="n">
        <x:v>68</x:v>
      </x:c>
      <x:c r="R56" s="85" t="n">
        <x:v>73</x:v>
      </x:c>
      <x:c r="S56" s="85" t="n">
        <x:v>67</x:v>
      </x:c>
      <x:c r="T56" s="85" t="n">
        <x:v>65</x:v>
      </x:c>
      <x:c r="U56" s="85" t="n">
        <x:v>74</x:v>
      </x:c>
      <x:c r="V56" s="85" t="n">
        <x:v>76</x:v>
      </x:c>
      <x:c r="W56" s="85" t="n">
        <x:v>50</x:v>
      </x:c>
      <x:c r="X56" s="85" t="n">
        <x:v>74</x:v>
      </x:c>
      <x:c r="Y56" s="85" t="n">
        <x:v>73</x:v>
      </x:c>
      <x:c r="Z56" s="85" t="n">
        <x:v>66</x:v>
      </x:c>
      <x:c r="AA56" s="85" t="n">
        <x:v>75</x:v>
      </x:c>
      <x:c r="AB56" s="85" t="n">
        <x:v>75</x:v>
      </x:c>
      <x:c r="AC56" s="91" t="str">
        <x:v>既存時代区分「近代」（WorldTeam名簿外）</x:v>
      </x:c>
      <x:c r="AD56" s="91" t="str">
        <x:v>https://en.wikipedia.org/wiki/Special:Search?search=Danilo%20Di%20Luca%20cyclist</x:v>
      </x:c>
      <x:c r="AE56" s="91" t="str">
        <x:v>能力・適性・Credit整合済</x:v>
      </x:c>
      <x:c r="AF56" s="91" t="str">
        <x:v>https://en.wikipedia.org/wiki/Special:Search?search=Danilo%20Di%20Luca%20cyclist</x:v>
      </x:c>
    </x:row>
    <x:row r="57" ht="26" customHeight="1">
      <x:c r="A57" s="82" t="n">
        <x:v>53</x:v>
      </x:c>
      <x:c r="B57" s="82" t="str">
        <x:v>Michael Woods</x:v>
      </x:c>
      <x:c r="C57" s="143" t="str"/>
      <x:c r="D57" s="82" t="str">
        <x:v>カナダ</x:v>
      </x:c>
      <x:c r="E57" s="82" t="str">
        <x:v>引退</x:v>
      </x:c>
      <x:c r="F57" s="82" t="str"/>
      <x:c r="G57" s="82" t="str">
        <x:v>引退確認済</x:v>
      </x:c>
      <x:c r="H57" s="82" t="str">
        <x:v>パンチャー</x:v>
      </x:c>
      <x:c r="I57" s="82" t="str">
        <x:v>クライマー</x:v>
      </x:c>
      <x:c r="J57" s="85" t="n">
        <x:v>89</x:v>
      </x:c>
      <x:c r="K57" s="85" t="n">
        <x:v>77</x:v>
      </x:c>
      <x:c r="L57" s="91" t="str">
        <x:v>エース / ステージハンター / 山岳賞ハンター</x:v>
      </x:c>
      <x:c r="M57" s="88" t="n">
        <x:v>8750</x:v>
      </x:c>
      <x:c r="N57" s="85" t="n">
        <x:v>69</x:v>
      </x:c>
      <x:c r="O57" s="85" t="n">
        <x:v>76</x:v>
      </x:c>
      <x:c r="P57" s="85" t="n">
        <x:v>79</x:v>
      </x:c>
      <x:c r="Q57" s="85" t="n">
        <x:v>65</x:v>
      </x:c>
      <x:c r="R57" s="85" t="n">
        <x:v>73</x:v>
      </x:c>
      <x:c r="S57" s="85" t="n">
        <x:v>65</x:v>
      </x:c>
      <x:c r="T57" s="85" t="n">
        <x:v>66</x:v>
      </x:c>
      <x:c r="U57" s="85" t="n">
        <x:v>73</x:v>
      </x:c>
      <x:c r="V57" s="85" t="n">
        <x:v>75</x:v>
      </x:c>
      <x:c r="W57" s="85" t="n">
        <x:v>50</x:v>
      </x:c>
      <x:c r="X57" s="85" t="n">
        <x:v>72</x:v>
      </x:c>
      <x:c r="Y57" s="85" t="n">
        <x:v>72</x:v>
      </x:c>
      <x:c r="Z57" s="85" t="n">
        <x:v>64</x:v>
      </x:c>
      <x:c r="AA57" s="85" t="n">
        <x:v>75</x:v>
      </x:c>
      <x:c r="AB57" s="85" t="n">
        <x:v>76</x:v>
      </x:c>
      <x:c r="AC57" s="91" t="str">
        <x:v>既存時代区分「近代」（WorldTeam名簿外）</x:v>
      </x:c>
      <x:c r="AD57" s="91" t="str">
        <x:v>https://en.wikipedia.org/wiki/Special:Search?search=Michael%20Woods%20cyclist</x:v>
      </x:c>
      <x:c r="AE57" s="91" t="str">
        <x:v>能力・適性・Credit整合済</x:v>
      </x:c>
      <x:c r="AF57" s="91" t="str">
        <x:v>https://en.wikipedia.org/wiki/Special:Search?search=Michael%20Woods%20cyclist</x:v>
      </x:c>
    </x:row>
    <x:row r="58" ht="26" customHeight="1">
      <x:c r="A58" s="82" t="n">
        <x:v>54</x:v>
      </x:c>
      <x:c r="B58" s="82" t="str">
        <x:v>Esteban Chaves</x:v>
      </x:c>
      <x:c r="C58" s="143" t="str"/>
      <x:c r="D58" s="82" t="str">
        <x:v>コロンビア</x:v>
      </x:c>
      <x:c r="E58" s="82" t="str">
        <x:v>引退</x:v>
      </x:c>
      <x:c r="F58" s="82" t="str"/>
      <x:c r="G58" s="82" t="str">
        <x:v>引退確認済</x:v>
      </x:c>
      <x:c r="H58" s="82" t="str">
        <x:v>クライマー</x:v>
      </x:c>
      <x:c r="I58" s="82" t="str">
        <x:v>パンチャー</x:v>
      </x:c>
      <x:c r="J58" s="85" t="n">
        <x:v>89</x:v>
      </x:c>
      <x:c r="K58" s="85" t="n">
        <x:v>77</x:v>
      </x:c>
      <x:c r="L58" s="91" t="str">
        <x:v>エース / 山岳賞ハンター / 山岳アシスト</x:v>
      </x:c>
      <x:c r="M58" s="88" t="n">
        <x:v>8650</x:v>
      </x:c>
      <x:c r="N58" s="85" t="n">
        <x:v>60</x:v>
      </x:c>
      <x:c r="O58" s="85" t="n">
        <x:v>71</x:v>
      </x:c>
      <x:c r="P58" s="85" t="n">
        <x:v>72</x:v>
      </x:c>
      <x:c r="Q58" s="85" t="n">
        <x:v>64</x:v>
      </x:c>
      <x:c r="R58" s="85" t="n">
        <x:v>78</x:v>
      </x:c>
      <x:c r="S58" s="85" t="n">
        <x:v>73</x:v>
      </x:c>
      <x:c r="T58" s="85" t="n">
        <x:v>72</x:v>
      </x:c>
      <x:c r="U58" s="85" t="n">
        <x:v>66</x:v>
      </x:c>
      <x:c r="V58" s="85" t="n">
        <x:v>68</x:v>
      </x:c>
      <x:c r="W58" s="85" t="n">
        <x:v>50</x:v>
      </x:c>
      <x:c r="X58" s="85" t="n">
        <x:v>77</x:v>
      </x:c>
      <x:c r="Y58" s="85" t="n">
        <x:v>77</x:v>
      </x:c>
      <x:c r="Z58" s="85" t="n">
        <x:v>70</x:v>
      </x:c>
      <x:c r="AA58" s="85" t="n">
        <x:v>71</x:v>
      </x:c>
      <x:c r="AB58" s="85" t="n">
        <x:v>75</x:v>
      </x:c>
      <x:c r="AC58" s="91" t="str">
        <x:v>既存時代区分「近代」（WorldTeam名簿外）</x:v>
      </x:c>
      <x:c r="AD58" s="91" t="str">
        <x:v>https://en.wikipedia.org/wiki/Special:Search?search=Esteban%20Chaves%20cyclist</x:v>
      </x:c>
      <x:c r="AE58" s="91" t="str">
        <x:v>能力・適性・Credit整合済</x:v>
      </x:c>
      <x:c r="AF58" s="91" t="str">
        <x:v>https://en.wikipedia.org/wiki/Special:Search?search=Esteban%20Chaves%20cyclist</x:v>
      </x:c>
    </x:row>
    <x:row r="59" ht="26" customHeight="1">
      <x:c r="A59" s="82" t="n">
        <x:v>55</x:v>
      </x:c>
      <x:c r="B59" s="82" t="str">
        <x:v>Rigoberto Uran</x:v>
      </x:c>
      <x:c r="C59" s="143" t="str"/>
      <x:c r="D59" s="82" t="str">
        <x:v>コロンビア</x:v>
      </x:c>
      <x:c r="E59" s="82" t="str">
        <x:v>引退</x:v>
      </x:c>
      <x:c r="F59" s="82" t="str"/>
      <x:c r="G59" s="82" t="str">
        <x:v>引退確認済</x:v>
      </x:c>
      <x:c r="H59" s="82" t="str">
        <x:v>総合型</x:v>
      </x:c>
      <x:c r="I59" s="82" t="str">
        <x:v>クライマー</x:v>
      </x:c>
      <x:c r="J59" s="85" t="n">
        <x:v>89</x:v>
      </x:c>
      <x:c r="K59" s="85" t="n">
        <x:v>79</x:v>
      </x:c>
      <x:c r="L59" s="91" t="str">
        <x:v>エース / 山岳賞ハンター / 山岳アシスト / 山岳番手</x:v>
      </x:c>
      <x:c r="M59" s="88" t="n">
        <x:v>8400</x:v>
      </x:c>
      <x:c r="N59" s="85" t="n">
        <x:v>58</x:v>
      </x:c>
      <x:c r="O59" s="85" t="n">
        <x:v>68</x:v>
      </x:c>
      <x:c r="P59" s="85" t="n">
        <x:v>72</x:v>
      </x:c>
      <x:c r="Q59" s="85" t="n">
        <x:v>67</x:v>
      </x:c>
      <x:c r="R59" s="85" t="n">
        <x:v>77</x:v>
      </x:c>
      <x:c r="S59" s="85" t="n">
        <x:v>74</x:v>
      </x:c>
      <x:c r="T59" s="85" t="n">
        <x:v>74</x:v>
      </x:c>
      <x:c r="U59" s="85" t="n">
        <x:v>66</x:v>
      </x:c>
      <x:c r="V59" s="85" t="n">
        <x:v>67</x:v>
      </x:c>
      <x:c r="W59" s="85" t="n">
        <x:v>50</x:v>
      </x:c>
      <x:c r="X59" s="85" t="n">
        <x:v>79</x:v>
      </x:c>
      <x:c r="Y59" s="85" t="n">
        <x:v>79</x:v>
      </x:c>
      <x:c r="Z59" s="85" t="n">
        <x:v>68</x:v>
      </x:c>
      <x:c r="AA59" s="85" t="n">
        <x:v>74</x:v>
      </x:c>
      <x:c r="AB59" s="85" t="n">
        <x:v>69</x:v>
      </x:c>
      <x:c r="AC59" s="91" t="str">
        <x:v>既存時代区分「近代」（WorldTeam名簿外）</x:v>
      </x:c>
      <x:c r="AD59" s="91" t="str">
        <x:v>https://en.wikipedia.org/wiki/Special:Search?search=Rigoberto%20Uran%20cyclist</x:v>
      </x:c>
      <x:c r="AE59" s="91" t="str">
        <x:v>能力・適性・Credit整合済</x:v>
      </x:c>
      <x:c r="AF59" s="91" t="str">
        <x:v>https://en.wikipedia.org/wiki/Special:Search?search=Rigoberto%20Uran%20cyclist</x:v>
      </x:c>
    </x:row>
    <x:row r="60" ht="26" customHeight="1">
      <x:c r="A60" s="82" t="n">
        <x:v>56</x:v>
      </x:c>
      <x:c r="B60" s="82" t="str">
        <x:v>Levi Leipheimer</x:v>
      </x:c>
      <x:c r="C60" s="143" t="str"/>
      <x:c r="D60" s="82" t="str">
        <x:v>アメリカ</x:v>
      </x:c>
      <x:c r="E60" s="82" t="str">
        <x:v>引退</x:v>
      </x:c>
      <x:c r="F60" s="82" t="str"/>
      <x:c r="G60" s="82" t="str">
        <x:v>引退確認済</x:v>
      </x:c>
      <x:c r="H60" s="82" t="str">
        <x:v>総合型</x:v>
      </x:c>
      <x:c r="I60" s="82" t="str">
        <x:v>TT・ルーラー型</x:v>
      </x:c>
      <x:c r="J60" s="85" t="n">
        <x:v>89</x:v>
      </x:c>
      <x:c r="K60" s="85" t="n">
        <x:v>79</x:v>
      </x:c>
      <x:c r="L60" s="91" t="str">
        <x:v>エース / 山岳アシスト / 山岳番手</x:v>
      </x:c>
      <x:c r="M60" s="88" t="n">
        <x:v>8150</x:v>
      </x:c>
      <x:c r="N60" s="85" t="n">
        <x:v>61</x:v>
      </x:c>
      <x:c r="O60" s="85" t="n">
        <x:v>67</x:v>
      </x:c>
      <x:c r="P60" s="85" t="n">
        <x:v>71</x:v>
      </x:c>
      <x:c r="Q60" s="85" t="n">
        <x:v>69</x:v>
      </x:c>
      <x:c r="R60" s="85" t="n">
        <x:v>76</x:v>
      </x:c>
      <x:c r="S60" s="85" t="n">
        <x:v>74</x:v>
      </x:c>
      <x:c r="T60" s="85" t="n">
        <x:v>74</x:v>
      </x:c>
      <x:c r="U60" s="85" t="n">
        <x:v>67</x:v>
      </x:c>
      <x:c r="V60" s="85" t="n">
        <x:v>69</x:v>
      </x:c>
      <x:c r="W60" s="85" t="n">
        <x:v>50</x:v>
      </x:c>
      <x:c r="X60" s="85" t="n">
        <x:v>78</x:v>
      </x:c>
      <x:c r="Y60" s="85" t="n">
        <x:v>78</x:v>
      </x:c>
      <x:c r="Z60" s="85" t="n">
        <x:v>69</x:v>
      </x:c>
      <x:c r="AA60" s="85" t="n">
        <x:v>73</x:v>
      </x:c>
      <x:c r="AB60" s="85" t="n">
        <x:v>68</x:v>
      </x:c>
      <x:c r="AC60" s="91" t="str">
        <x:v>既存時代区分「近代」（WorldTeam名簿外）</x:v>
      </x:c>
      <x:c r="AD60" s="91" t="str">
        <x:v>https://en.wikipedia.org/wiki/Special:Search?search=Levi%20Leipheimer%20cyclist</x:v>
      </x:c>
      <x:c r="AE60" s="91" t="str">
        <x:v>能力・適性・Credit整合済</x:v>
      </x:c>
      <x:c r="AF60" s="91" t="str">
        <x:v>https://en.wikipedia.org/wiki/Special:Search?search=Levi%20Leipheimer%20cyclist</x:v>
      </x:c>
    </x:row>
    <x:row r="61" ht="26" customHeight="1">
      <x:c r="A61" s="82" t="n">
        <x:v>57</x:v>
      </x:c>
      <x:c r="B61" s="82" t="str">
        <x:v>Dylan Teuns</x:v>
      </x:c>
      <x:c r="C61" s="143" t="str"/>
      <x:c r="D61" s="82" t="str">
        <x:v>ベルギー</x:v>
      </x:c>
      <x:c r="E61" s="82" t="str">
        <x:v>引退</x:v>
      </x:c>
      <x:c r="F61" s="82" t="str"/>
      <x:c r="G61" s="82" t="str">
        <x:v>引退確認済</x:v>
      </x:c>
      <x:c r="H61" s="82" t="str">
        <x:v>パンチャー</x:v>
      </x:c>
      <x:c r="I61" s="82" t="str">
        <x:v>クライマー</x:v>
      </x:c>
      <x:c r="J61" s="85" t="n">
        <x:v>89</x:v>
      </x:c>
      <x:c r="K61" s="85" t="n">
        <x:v>77</x:v>
      </x:c>
      <x:c r="L61" s="91" t="str">
        <x:v>エース / ステージハンター / 山岳賞ハンター</x:v>
      </x:c>
      <x:c r="M61" s="88" t="n">
        <x:v>7900</x:v>
      </x:c>
      <x:c r="N61" s="85" t="n">
        <x:v>69</x:v>
      </x:c>
      <x:c r="O61" s="85" t="n">
        <x:v>76</x:v>
      </x:c>
      <x:c r="P61" s="85" t="n">
        <x:v>79</x:v>
      </x:c>
      <x:c r="Q61" s="85" t="n">
        <x:v>65</x:v>
      </x:c>
      <x:c r="R61" s="85" t="n">
        <x:v>73</x:v>
      </x:c>
      <x:c r="S61" s="85" t="n">
        <x:v>65</x:v>
      </x:c>
      <x:c r="T61" s="85" t="n">
        <x:v>65</x:v>
      </x:c>
      <x:c r="U61" s="85" t="n">
        <x:v>72</x:v>
      </x:c>
      <x:c r="V61" s="85" t="n">
        <x:v>73</x:v>
      </x:c>
      <x:c r="W61" s="85" t="n">
        <x:v>64</x:v>
      </x:c>
      <x:c r="X61" s="85" t="n">
        <x:v>72</x:v>
      </x:c>
      <x:c r="Y61" s="85" t="n">
        <x:v>72</x:v>
      </x:c>
      <x:c r="Z61" s="85" t="n">
        <x:v>64</x:v>
      </x:c>
      <x:c r="AA61" s="85" t="n">
        <x:v>75</x:v>
      </x:c>
      <x:c r="AB61" s="85" t="n">
        <x:v>76</x:v>
      </x:c>
      <x:c r="AC61" s="91" t="str">
        <x:v>既存時代区分「近代」（WorldTeam名簿外）</x:v>
      </x:c>
      <x:c r="AD61" s="91" t="str">
        <x:v>https://en.wikipedia.org/wiki/Special:Search?search=Dylan%20Teuns%20cyclist</x:v>
      </x:c>
      <x:c r="AE61" s="91" t="str">
        <x:v>能力・適性・Credit整合済</x:v>
      </x:c>
      <x:c r="AF61" s="91" t="str">
        <x:v>https://en.wikipedia.org/wiki/Special:Search?search=Dylan%20Teuns%20cyclist</x:v>
      </x:c>
    </x:row>
    <x:row r="62" ht="26" customHeight="1">
      <x:c r="A62" s="82" t="n">
        <x:v>58</x:v>
      </x:c>
      <x:c r="B62" s="82" t="str">
        <x:v>Nacer Bouhanni</x:v>
      </x:c>
      <x:c r="C62" s="143" t="str"/>
      <x:c r="D62" s="82" t="str">
        <x:v>フランス</x:v>
      </x:c>
      <x:c r="E62" s="82" t="str">
        <x:v>引退</x:v>
      </x:c>
      <x:c r="F62" s="82" t="str"/>
      <x:c r="G62" s="82" t="str">
        <x:v>引退確認済</x:v>
      </x:c>
      <x:c r="H62" s="82" t="str">
        <x:v>スプリンター</x:v>
      </x:c>
      <x:c r="I62" s="82" t="str">
        <x:v>パンチャー</x:v>
      </x:c>
      <x:c r="J62" s="85" t="n">
        <x:v>89</x:v>
      </x:c>
      <x:c r="K62" s="85" t="n">
        <x:v>76</x:v>
      </x:c>
      <x:c r="L62" s="91" t="str">
        <x:v>エース / リードアウト / 最終発射台 / スプリントトレイン</x:v>
      </x:c>
      <x:c r="M62" s="88" t="n">
        <x:v>7900</x:v>
      </x:c>
      <x:c r="N62" s="85" t="n">
        <x:v>82</x:v>
      </x:c>
      <x:c r="O62" s="85" t="n">
        <x:v>81</x:v>
      </x:c>
      <x:c r="P62" s="85" t="n">
        <x:v>69</x:v>
      </x:c>
      <x:c r="Q62" s="85" t="n">
        <x:v>70</x:v>
      </x:c>
      <x:c r="R62" s="85" t="n">
        <x:v>61</x:v>
      </x:c>
      <x:c r="S62" s="85" t="n">
        <x:v>63</x:v>
      </x:c>
      <x:c r="T62" s="85" t="n">
        <x:v>64</x:v>
      </x:c>
      <x:c r="U62" s="85" t="n">
        <x:v>67</x:v>
      </x:c>
      <x:c r="V62" s="85" t="n">
        <x:v>70</x:v>
      </x:c>
      <x:c r="W62" s="85" t="n">
        <x:v>50</x:v>
      </x:c>
      <x:c r="X62" s="85" t="n">
        <x:v>69</x:v>
      </x:c>
      <x:c r="Y62" s="85" t="n">
        <x:v>69</x:v>
      </x:c>
      <x:c r="Z62" s="85" t="n">
        <x:v>63</x:v>
      </x:c>
      <x:c r="AA62" s="85" t="n">
        <x:v>76</x:v>
      </x:c>
      <x:c r="AB62" s="85" t="n">
        <x:v>67</x:v>
      </x:c>
      <x:c r="AC62" s="91" t="str">
        <x:v>既存時代区分「近代」（WorldTeam名簿外）</x:v>
      </x:c>
      <x:c r="AD62" s="91" t="str">
        <x:v>https://en.wikipedia.org/wiki/Special:Search?search=Nacer%20Bouhanni%20cyclist</x:v>
      </x:c>
      <x:c r="AE62" s="91" t="str">
        <x:v>能力・適性・Credit整合済</x:v>
      </x:c>
      <x:c r="AF62" s="91" t="str">
        <x:v>https://en.wikipedia.org/wiki/Special:Search?search=Nacer%20Bouhanni%20cyclist</x:v>
      </x:c>
    </x:row>
    <x:row r="63" ht="26" customHeight="1">
      <x:c r="A63" s="82" t="n">
        <x:v>59</x:v>
      </x:c>
      <x:c r="B63" s="82" t="str">
        <x:v>Elia Viviani</x:v>
      </x:c>
      <x:c r="C63" s="143" t="str"/>
      <x:c r="D63" s="82" t="str">
        <x:v>イタリア</x:v>
      </x:c>
      <x:c r="E63" s="82" t="str">
        <x:v>引退</x:v>
      </x:c>
      <x:c r="F63" s="82" t="str"/>
      <x:c r="G63" s="82" t="str">
        <x:v>引退確認済</x:v>
      </x:c>
      <x:c r="H63" s="82" t="str">
        <x:v>スプリンター</x:v>
      </x:c>
      <x:c r="I63" s="82" t="str">
        <x:v>TT・ルーラー型</x:v>
      </x:c>
      <x:c r="J63" s="85" t="n">
        <x:v>89</x:v>
      </x:c>
      <x:c r="K63" s="85" t="n">
        <x:v>76</x:v>
      </x:c>
      <x:c r="L63" s="91" t="str">
        <x:v>エース / リードアウト / 最終発射台 / 無賃乗車</x:v>
      </x:c>
      <x:c r="M63" s="88" t="n">
        <x:v>7550</x:v>
      </x:c>
      <x:c r="N63" s="85" t="n">
        <x:v>79</x:v>
      </x:c>
      <x:c r="O63" s="85" t="n">
        <x:v>79</x:v>
      </x:c>
      <x:c r="P63" s="85" t="n">
        <x:v>67</x:v>
      </x:c>
      <x:c r="Q63" s="85" t="n">
        <x:v>72</x:v>
      </x:c>
      <x:c r="R63" s="85" t="n">
        <x:v>59</x:v>
      </x:c>
      <x:c r="S63" s="85" t="n">
        <x:v>64</x:v>
      </x:c>
      <x:c r="T63" s="85" t="n">
        <x:v>64</x:v>
      </x:c>
      <x:c r="U63" s="85" t="n">
        <x:v>70</x:v>
      </x:c>
      <x:c r="V63" s="85" t="n">
        <x:v>70</x:v>
      </x:c>
      <x:c r="W63" s="85" t="n">
        <x:v>50</x:v>
      </x:c>
      <x:c r="X63" s="85" t="n">
        <x:v>69</x:v>
      </x:c>
      <x:c r="Y63" s="85" t="n">
        <x:v>69</x:v>
      </x:c>
      <x:c r="Z63" s="85" t="n">
        <x:v>66</x:v>
      </x:c>
      <x:c r="AA63" s="85" t="n">
        <x:v>75</x:v>
      </x:c>
      <x:c r="AB63" s="85" t="n">
        <x:v>66</x:v>
      </x:c>
      <x:c r="AC63" s="91" t="str">
        <x:v>既存時代区分「近代」（WorldTeam名簿外）</x:v>
      </x:c>
      <x:c r="AD63" s="91" t="str">
        <x:v>https://en.wikipedia.org/wiki/Special:Search?search=Elia%20Viviani%20cyclist</x:v>
      </x:c>
      <x:c r="AE63" s="91" t="str">
        <x:v>能力・適性・Credit整合済</x:v>
      </x:c>
      <x:c r="AF63" s="91" t="str">
        <x:v>https://en.wikipedia.org/wiki/Special:Search?search=Elia%20Viviani%20cyclist</x:v>
      </x:c>
    </x:row>
    <x:row r="64" ht="26" customHeight="1">
      <x:c r="A64" s="82" t="n">
        <x:v>60</x:v>
      </x:c>
      <x:c r="B64" s="82" t="str">
        <x:v>Davide Rebellin</x:v>
      </x:c>
      <x:c r="C64" s="143" t="str"/>
      <x:c r="D64" s="82" t="str">
        <x:v>イタリア</x:v>
      </x:c>
      <x:c r="E64" s="82" t="str">
        <x:v>引退</x:v>
      </x:c>
      <x:c r="F64" s="82" t="str"/>
      <x:c r="G64" s="82" t="str">
        <x:v>引退確認済</x:v>
      </x:c>
      <x:c r="H64" s="82" t="str">
        <x:v>パンチャー</x:v>
      </x:c>
      <x:c r="I64" s="82" t="str">
        <x:v>クライマー</x:v>
      </x:c>
      <x:c r="J64" s="85" t="n">
        <x:v>89</x:v>
      </x:c>
      <x:c r="K64" s="85" t="n">
        <x:v>66</x:v>
      </x:c>
      <x:c r="L64" s="91" t="str">
        <x:v>エース / ステージハンター / 山岳賞ハンター</x:v>
      </x:c>
      <x:c r="M64" s="88" t="n">
        <x:v>6950</x:v>
      </x:c>
      <x:c r="N64" s="85" t="n">
        <x:v>68</x:v>
      </x:c>
      <x:c r="O64" s="85" t="n">
        <x:v>75</x:v>
      </x:c>
      <x:c r="P64" s="85" t="n">
        <x:v>79</x:v>
      </x:c>
      <x:c r="Q64" s="85" t="n">
        <x:v>65</x:v>
      </x:c>
      <x:c r="R64" s="85" t="n">
        <x:v>73</x:v>
      </x:c>
      <x:c r="S64" s="85" t="n">
        <x:v>65</x:v>
      </x:c>
      <x:c r="T64" s="85" t="n">
        <x:v>64</x:v>
      </x:c>
      <x:c r="U64" s="85" t="n">
        <x:v>72</x:v>
      </x:c>
      <x:c r="V64" s="85" t="n">
        <x:v>74</x:v>
      </x:c>
      <x:c r="W64" s="85" t="n">
        <x:v>50</x:v>
      </x:c>
      <x:c r="X64" s="85" t="n">
        <x:v>70</x:v>
      </x:c>
      <x:c r="Y64" s="85" t="n">
        <x:v>71</x:v>
      </x:c>
      <x:c r="Z64" s="85" t="n">
        <x:v>57</x:v>
      </x:c>
      <x:c r="AA64" s="85" t="n">
        <x:v>77</x:v>
      </x:c>
      <x:c r="AB64" s="85" t="n">
        <x:v>75</x:v>
      </x:c>
      <x:c r="AC64" s="91" t="str">
        <x:v>既存時代区分「近代」（WorldTeam名簿外）</x:v>
      </x:c>
      <x:c r="AD64" s="91" t="str">
        <x:v>https://en.wikipedia.org/wiki/Special:Search?search=Davide%20Rebellin%20cyclist</x:v>
      </x:c>
      <x:c r="AE64" s="91" t="str">
        <x:v>能力・適性・Credit整合済</x:v>
      </x:c>
      <x:c r="AF64" s="91" t="str">
        <x:v>https://en.wikipedia.org/wiki/Special:Search?search=Davide%20Rebellin%20cyclist</x:v>
      </x:c>
    </x:row>
    <x:row r="65" ht="26" customHeight="1">
      <x:c r="A65" s="82" t="n">
        <x:v>61</x:v>
      </x:c>
      <x:c r="B65" s="82" t="str">
        <x:v>Tony Martin</x:v>
      </x:c>
      <x:c r="C65" s="143" t="str">
        <x:v>クロノの装甲車</x:v>
      </x:c>
      <x:c r="D65" s="82" t="str">
        <x:v>ドイツ</x:v>
      </x:c>
      <x:c r="E65" s="82" t="str">
        <x:v>引退</x:v>
      </x:c>
      <x:c r="F65" s="82" t="str"/>
      <x:c r="G65" s="82" t="str">
        <x:v>引退確認済</x:v>
      </x:c>
      <x:c r="H65" s="82" t="str">
        <x:v>TT・ルーラー型</x:v>
      </x:c>
      <x:c r="I65" s="82" t="str">
        <x:v>クラシック型</x:v>
      </x:c>
      <x:c r="J65" s="85" t="n">
        <x:v>88</x:v>
      </x:c>
      <x:c r="K65" s="85" t="n">
        <x:v>79</x:v>
      </x:c>
      <x:c r="L65" s="91" t="str">
        <x:v>エース / TTスペシャリスト / 集団コントローラー / ブレイクアウェイキラー / 逃げ屋 / ポジションキーパー</x:v>
      </x:c>
      <x:c r="M65" s="88" t="n">
        <x:v>10700</x:v>
      </x:c>
      <x:c r="N65" s="85" t="n">
        <x:v>69</x:v>
      </x:c>
      <x:c r="O65" s="85" t="n">
        <x:v>68</x:v>
      </x:c>
      <x:c r="P65" s="85" t="n">
        <x:v>68</x:v>
      </x:c>
      <x:c r="Q65" s="85" t="n">
        <x:v>84</x:v>
      </x:c>
      <x:c r="R65" s="85" t="n">
        <x:v>69</x:v>
      </x:c>
      <x:c r="S65" s="85" t="n">
        <x:v>77</x:v>
      </x:c>
      <x:c r="T65" s="85" t="n">
        <x:v>77</x:v>
      </x:c>
      <x:c r="U65" s="85" t="n">
        <x:v>82</x:v>
      </x:c>
      <x:c r="V65" s="85" t="n">
        <x:v>71</x:v>
      </x:c>
      <x:c r="W65" s="85" t="n">
        <x:v>64</x:v>
      </x:c>
      <x:c r="X65" s="85" t="n">
        <x:v>71</x:v>
      </x:c>
      <x:c r="Y65" s="85" t="n">
        <x:v>71</x:v>
      </x:c>
      <x:c r="Z65" s="85" t="n">
        <x:v>85</x:v>
      </x:c>
      <x:c r="AA65" s="85" t="n">
        <x:v>70</x:v>
      </x:c>
      <x:c r="AB65" s="85" t="n">
        <x:v>69</x:v>
      </x:c>
      <x:c r="AC65" s="91" t="str">
        <x:v>既存時代区分「近代」（WorldTeam名簿外）</x:v>
      </x:c>
      <x:c r="AD65" s="91" t="str">
        <x:v>https://en.wikipedia.org/wiki/Special:Search?search=Tony%20Martin%20cyclist</x:v>
      </x:c>
      <x:c r="AE65" s="91" t="str">
        <x:v>能力・適性・Credit整合済</x:v>
      </x:c>
      <x:c r="AF65" s="91" t="str">
        <x:v>https://en.wikipedia.org/wiki/Special:Search?search=Tony%20Martin%20cyclist</x:v>
      </x:c>
    </x:row>
    <x:row r="66" ht="26" customHeight="1">
      <x:c r="A66" s="82" t="n">
        <x:v>62</x:v>
      </x:c>
      <x:c r="B66" s="82" t="str">
        <x:v>Andrei Tchmil</x:v>
      </x:c>
      <x:c r="C66" s="143" t="str">
        <x:v>北方の鉄人</x:v>
      </x:c>
      <x:c r="D66" s="82" t="str">
        <x:v>ベルギー</x:v>
      </x:c>
      <x:c r="E66" s="82" t="str">
        <x:v>引退</x:v>
      </x:c>
      <x:c r="F66" s="82" t="str"/>
      <x:c r="G66" s="82" t="str">
        <x:v>引退確認済</x:v>
      </x:c>
      <x:c r="H66" s="82" t="str">
        <x:v>クラシック型</x:v>
      </x:c>
      <x:c r="I66" s="82" t="str">
        <x:v>TT・ルーラー型</x:v>
      </x:c>
      <x:c r="J66" s="85" t="n">
        <x:v>88</x:v>
      </x:c>
      <x:c r="K66" s="85" t="n">
        <x:v>83</x:v>
      </x:c>
      <x:c r="L66" s="91" t="str">
        <x:v>エース / TT牽引 / 石畳護衛 / 横風要員 / 逃げ屋</x:v>
      </x:c>
      <x:c r="M66" s="88" t="n">
        <x:v>10400</x:v>
      </x:c>
      <x:c r="N66" s="85" t="n">
        <x:v>75</x:v>
      </x:c>
      <x:c r="O66" s="85" t="n">
        <x:v>73</x:v>
      </x:c>
      <x:c r="P66" s="85" t="n">
        <x:v>76</x:v>
      </x:c>
      <x:c r="Q66" s="85" t="n">
        <x:v>80</x:v>
      </x:c>
      <x:c r="R66" s="85" t="n">
        <x:v>67</x:v>
      </x:c>
      <x:c r="S66" s="85" t="n">
        <x:v>78</x:v>
      </x:c>
      <x:c r="T66" s="85" t="n">
        <x:v>82</x:v>
      </x:c>
      <x:c r="U66" s="85" t="n">
        <x:v>81</x:v>
      </x:c>
      <x:c r="V66" s="85" t="n">
        <x:v>81</x:v>
      </x:c>
      <x:c r="W66" s="85" t="n">
        <x:v>83</x:v>
      </x:c>
      <x:c r="X66" s="85" t="n">
        <x:v>72</x:v>
      </x:c>
      <x:c r="Y66" s="85" t="n">
        <x:v>72</x:v>
      </x:c>
      <x:c r="Z66" s="85" t="n">
        <x:v>79</x:v>
      </x:c>
      <x:c r="AA66" s="85" t="n">
        <x:v>71</x:v>
      </x:c>
      <x:c r="AB66" s="85" t="n">
        <x:v>80</x:v>
      </x:c>
      <x:c r="AC66" s="91" t="str">
        <x:v>既存時代区分「近代」（WorldTeam名簿外）</x:v>
      </x:c>
      <x:c r="AD66" s="91" t="str">
        <x:v>https://en.wikipedia.org/wiki/Special:Search?search=Andrei%20Tchmil%20cyclist</x:v>
      </x:c>
      <x:c r="AE66" s="91" t="str">
        <x:v>能力・適性・Credit整合済</x:v>
      </x:c>
      <x:c r="AF66" s="91" t="str">
        <x:v>https://en.wikipedia.org/wiki/Special:Search?search=Andrei%20Tchmil%20cyclist</x:v>
      </x:c>
    </x:row>
    <x:row r="67" ht="26" customHeight="1">
      <x:c r="A67" s="82" t="n">
        <x:v>63</x:v>
      </x:c>
      <x:c r="B67" s="82" t="str">
        <x:v>Johan Vansummeren</x:v>
      </x:c>
      <x:c r="C67" s="143" t="str">
        <x:v>石畳の長槍</x:v>
      </x:c>
      <x:c r="D67" s="82" t="str">
        <x:v>ベルギー</x:v>
      </x:c>
      <x:c r="E67" s="82" t="str">
        <x:v>引退</x:v>
      </x:c>
      <x:c r="F67" s="82" t="str"/>
      <x:c r="G67" s="82" t="str">
        <x:v>引退確認済</x:v>
      </x:c>
      <x:c r="H67" s="82" t="str">
        <x:v>クラシック型</x:v>
      </x:c>
      <x:c r="I67" s="82" t="str">
        <x:v>TT・ルーラー型</x:v>
      </x:c>
      <x:c r="J67" s="85" t="n">
        <x:v>88</x:v>
      </x:c>
      <x:c r="K67" s="85" t="n">
        <x:v>83</x:v>
      </x:c>
      <x:c r="L67" s="91" t="str">
        <x:v>エース / TT牽引 / 石畳護衛 / 横風要員 / 逃げ屋</x:v>
      </x:c>
      <x:c r="M67" s="88" t="n">
        <x:v>10100</x:v>
      </x:c>
      <x:c r="N67" s="85" t="n">
        <x:v>74</x:v>
      </x:c>
      <x:c r="O67" s="85" t="n">
        <x:v>72</x:v>
      </x:c>
      <x:c r="P67" s="85" t="n">
        <x:v>75</x:v>
      </x:c>
      <x:c r="Q67" s="85" t="n">
        <x:v>79</x:v>
      </x:c>
      <x:c r="R67" s="85" t="n">
        <x:v>67</x:v>
      </x:c>
      <x:c r="S67" s="85" t="n">
        <x:v>76</x:v>
      </x:c>
      <x:c r="T67" s="85" t="n">
        <x:v>80</x:v>
      </x:c>
      <x:c r="U67" s="85" t="n">
        <x:v>79</x:v>
      </x:c>
      <x:c r="V67" s="85" t="n">
        <x:v>79</x:v>
      </x:c>
      <x:c r="W67" s="85" t="n">
        <x:v>81</x:v>
      </x:c>
      <x:c r="X67" s="85" t="n">
        <x:v>71</x:v>
      </x:c>
      <x:c r="Y67" s="85" t="n">
        <x:v>71</x:v>
      </x:c>
      <x:c r="Z67" s="85" t="n">
        <x:v>79</x:v>
      </x:c>
      <x:c r="AA67" s="85" t="n">
        <x:v>71</x:v>
      </x:c>
      <x:c r="AB67" s="85" t="n">
        <x:v>77</x:v>
      </x:c>
      <x:c r="AC67" s="91" t="str">
        <x:v>既存時代区分「近代」（WorldTeam名簿外）</x:v>
      </x:c>
      <x:c r="AD67" s="91" t="str">
        <x:v>https://en.wikipedia.org/wiki/Special:Search?search=Johan%20Vansummeren%20cyclist</x:v>
      </x:c>
      <x:c r="AE67" s="91" t="str">
        <x:v>能力・適性・Credit整合済</x:v>
      </x:c>
      <x:c r="AF67" s="91" t="str">
        <x:v>https://en.wikipedia.org/wiki/Special:Search?search=Johan%20Vansummeren%20cyclist</x:v>
      </x:c>
    </x:row>
    <x:row r="68" ht="26" customHeight="1">
      <x:c r="A68" s="82" t="n">
        <x:v>64</x:v>
      </x:c>
      <x:c r="B68" s="82" t="str">
        <x:v>Oscar Freire</x:v>
      </x:c>
      <x:c r="C68" s="143" t="str">
        <x:v>虹のスナイパー</x:v>
      </x:c>
      <x:c r="D68" s="82" t="str">
        <x:v>スペイン</x:v>
      </x:c>
      <x:c r="E68" s="82" t="str">
        <x:v>引退</x:v>
      </x:c>
      <x:c r="F68" s="82" t="str"/>
      <x:c r="G68" s="82" t="str">
        <x:v>引退確認済</x:v>
      </x:c>
      <x:c r="H68" s="82" t="str">
        <x:v>スプリンター</x:v>
      </x:c>
      <x:c r="I68" s="82" t="str">
        <x:v>クラシック型</x:v>
      </x:c>
      <x:c r="J68" s="85" t="n">
        <x:v>88</x:v>
      </x:c>
      <x:c r="K68" s="85" t="n">
        <x:v>77</x:v>
      </x:c>
      <x:c r="L68" s="91" t="str">
        <x:v>エース / リードアウト / 最終発射台 / 無賃乗車</x:v>
      </x:c>
      <x:c r="M68" s="88" t="n">
        <x:v>10050</x:v>
      </x:c>
      <x:c r="N68" s="85" t="n">
        <x:v>82</x:v>
      </x:c>
      <x:c r="O68" s="85" t="n">
        <x:v>82</x:v>
      </x:c>
      <x:c r="P68" s="85" t="n">
        <x:v>69</x:v>
      </x:c>
      <x:c r="Q68" s="85" t="n">
        <x:v>73</x:v>
      </x:c>
      <x:c r="R68" s="85" t="n">
        <x:v>58</x:v>
      </x:c>
      <x:c r="S68" s="85" t="n">
        <x:v>68</x:v>
      </x:c>
      <x:c r="T68" s="85" t="n">
        <x:v>68</x:v>
      </x:c>
      <x:c r="U68" s="85" t="n">
        <x:v>75</x:v>
      </x:c>
      <x:c r="V68" s="85" t="n">
        <x:v>72</x:v>
      </x:c>
      <x:c r="W68" s="85" t="n">
        <x:v>50</x:v>
      </x:c>
      <x:c r="X68" s="85" t="n">
        <x:v>70</x:v>
      </x:c>
      <x:c r="Y68" s="85" t="n">
        <x:v>70</x:v>
      </x:c>
      <x:c r="Z68" s="85" t="n">
        <x:v>66</x:v>
      </x:c>
      <x:c r="AA68" s="85" t="n">
        <x:v>77</x:v>
      </x:c>
      <x:c r="AB68" s="85" t="n">
        <x:v>70</x:v>
      </x:c>
      <x:c r="AC68" s="91" t="str">
        <x:v>既存時代区分「近代」（WorldTeam名簿外）</x:v>
      </x:c>
      <x:c r="AD68" s="91" t="str">
        <x:v>https://en.wikipedia.org/wiki/Special:Search?search=Oscar%20Freire%20cyclist</x:v>
      </x:c>
      <x:c r="AE68" s="91" t="str">
        <x:v>能力・適性・Credit整合済</x:v>
      </x:c>
      <x:c r="AF68" s="91" t="str">
        <x:v>https://en.wikipedia.org/wiki/Special:Search?search=Oscar%20Freire%20cyclist</x:v>
      </x:c>
    </x:row>
    <x:row r="69" ht="26" customHeight="1">
      <x:c r="A69" s="82" t="n">
        <x:v>65</x:v>
      </x:c>
      <x:c r="B69" s="82" t="str">
        <x:v>Evgeni Berzin</x:v>
      </x:c>
      <x:c r="C69" s="143" t="str"/>
      <x:c r="D69" s="82" t="str">
        <x:v>ロシア</x:v>
      </x:c>
      <x:c r="E69" s="82" t="str">
        <x:v>引退</x:v>
      </x:c>
      <x:c r="F69" s="82" t="str"/>
      <x:c r="G69" s="82" t="str">
        <x:v>引退確認済</x:v>
      </x:c>
      <x:c r="H69" s="82" t="str">
        <x:v>総合型</x:v>
      </x:c>
      <x:c r="I69" s="82" t="str">
        <x:v>TT・ルーラー型</x:v>
      </x:c>
      <x:c r="J69" s="85" t="n">
        <x:v>88</x:v>
      </x:c>
      <x:c r="K69" s="85" t="n">
        <x:v>80</x:v>
      </x:c>
      <x:c r="L69" s="91" t="str">
        <x:v>エース / 山岳アシスト / 集団コントローラー</x:v>
      </x:c>
      <x:c r="M69" s="88" t="n">
        <x:v>8550</x:v>
      </x:c>
      <x:c r="N69" s="85" t="n">
        <x:v>61</x:v>
      </x:c>
      <x:c r="O69" s="85" t="n">
        <x:v>67</x:v>
      </x:c>
      <x:c r="P69" s="85" t="n">
        <x:v>72</x:v>
      </x:c>
      <x:c r="Q69" s="85" t="n">
        <x:v>70</x:v>
      </x:c>
      <x:c r="R69" s="85" t="n">
        <x:v>77</x:v>
      </x:c>
      <x:c r="S69" s="85" t="n">
        <x:v>75</x:v>
      </x:c>
      <x:c r="T69" s="85" t="n">
        <x:v>75</x:v>
      </x:c>
      <x:c r="U69" s="85" t="n">
        <x:v>68</x:v>
      </x:c>
      <x:c r="V69" s="85" t="n">
        <x:v>69</x:v>
      </x:c>
      <x:c r="W69" s="85" t="n">
        <x:v>50</x:v>
      </x:c>
      <x:c r="X69" s="85" t="n">
        <x:v>79</x:v>
      </x:c>
      <x:c r="Y69" s="85" t="n">
        <x:v>80</x:v>
      </x:c>
      <x:c r="Z69" s="85" t="n">
        <x:v>69</x:v>
      </x:c>
      <x:c r="AA69" s="85" t="n">
        <x:v>73</x:v>
      </x:c>
      <x:c r="AB69" s="85" t="n">
        <x:v>68</x:v>
      </x:c>
      <x:c r="AC69" s="91" t="str">
        <x:v>既存時代区分「近代」（WorldTeam名簿外）</x:v>
      </x:c>
      <x:c r="AD69" s="91" t="str">
        <x:v>https://en.wikipedia.org/wiki/Special:Search?search=Evgeni%20Berzin%20cyclist</x:v>
      </x:c>
      <x:c r="AE69" s="91" t="str">
        <x:v>能力・適性・Credit整合済</x:v>
      </x:c>
      <x:c r="AF69" s="91" t="str">
        <x:v>https://en.wikipedia.org/wiki/Special:Search?search=Evgeni%20Berzin%20cyclist</x:v>
      </x:c>
    </x:row>
    <x:row r="70" ht="26" customHeight="1">
      <x:c r="A70" s="82" t="n">
        <x:v>66</x:v>
      </x:c>
      <x:c r="B70" s="82" t="str">
        <x:v>Fabio Aru</x:v>
      </x:c>
      <x:c r="C70" s="143" t="str"/>
      <x:c r="D70" s="82" t="str">
        <x:v>イタリア</x:v>
      </x:c>
      <x:c r="E70" s="82" t="str">
        <x:v>引退</x:v>
      </x:c>
      <x:c r="F70" s="82" t="str"/>
      <x:c r="G70" s="82" t="str">
        <x:v>引退確認済</x:v>
      </x:c>
      <x:c r="H70" s="82" t="str">
        <x:v>総合型</x:v>
      </x:c>
      <x:c r="I70" s="82" t="str">
        <x:v>クライマー</x:v>
      </x:c>
      <x:c r="J70" s="85" t="n">
        <x:v>88</x:v>
      </x:c>
      <x:c r="K70" s="85" t="n">
        <x:v>80</x:v>
      </x:c>
      <x:c r="L70" s="91" t="str">
        <x:v>エース / 山岳賞ハンター / 山岳アシスト</x:v>
      </x:c>
      <x:c r="M70" s="88" t="n">
        <x:v>8450</x:v>
      </x:c>
      <x:c r="N70" s="85" t="n">
        <x:v>58</x:v>
      </x:c>
      <x:c r="O70" s="85" t="n">
        <x:v>69</x:v>
      </x:c>
      <x:c r="P70" s="85" t="n">
        <x:v>73</x:v>
      </x:c>
      <x:c r="Q70" s="85" t="n">
        <x:v>68</x:v>
      </x:c>
      <x:c r="R70" s="85" t="n">
        <x:v>78</x:v>
      </x:c>
      <x:c r="S70" s="85" t="n">
        <x:v>76</x:v>
      </x:c>
      <x:c r="T70" s="85" t="n">
        <x:v>73</x:v>
      </x:c>
      <x:c r="U70" s="85" t="n">
        <x:v>66</x:v>
      </x:c>
      <x:c r="V70" s="85" t="n">
        <x:v>68</x:v>
      </x:c>
      <x:c r="W70" s="85" t="n">
        <x:v>50</x:v>
      </x:c>
      <x:c r="X70" s="85" t="n">
        <x:v>79</x:v>
      </x:c>
      <x:c r="Y70" s="85" t="n">
        <x:v>79</x:v>
      </x:c>
      <x:c r="Z70" s="85" t="n">
        <x:v>68</x:v>
      </x:c>
      <x:c r="AA70" s="85" t="n">
        <x:v>73</x:v>
      </x:c>
      <x:c r="AB70" s="85" t="n">
        <x:v>68</x:v>
      </x:c>
      <x:c r="AC70" s="91" t="str">
        <x:v>既存時代区分「近代」（WorldTeam名簿外）</x:v>
      </x:c>
      <x:c r="AD70" s="91" t="str">
        <x:v>https://en.wikipedia.org/wiki/Special:Search?search=Fabio%20Aru%20cyclist</x:v>
      </x:c>
      <x:c r="AE70" s="91" t="str">
        <x:v>能力・適性・Credit整合済</x:v>
      </x:c>
      <x:c r="AF70" s="91" t="str">
        <x:v>https://en.wikipedia.org/wiki/Special:Search?search=Fabio%20Aru%20cyclist</x:v>
      </x:c>
    </x:row>
    <x:row r="71" ht="26" customHeight="1">
      <x:c r="A71" s="82" t="n">
        <x:v>67</x:v>
      </x:c>
      <x:c r="B71" s="82" t="str">
        <x:v>Jakob Fuglsang</x:v>
      </x:c>
      <x:c r="C71" s="143" t="str"/>
      <x:c r="D71" s="82" t="str">
        <x:v>デンマーク</x:v>
      </x:c>
      <x:c r="E71" s="82" t="str">
        <x:v>引退</x:v>
      </x:c>
      <x:c r="F71" s="82" t="str"/>
      <x:c r="G71" s="82" t="str">
        <x:v>引退確認済</x:v>
      </x:c>
      <x:c r="H71" s="82" t="str">
        <x:v>パンチャー</x:v>
      </x:c>
      <x:c r="I71" s="82" t="str">
        <x:v>総合型</x:v>
      </x:c>
      <x:c r="J71" s="85" t="n">
        <x:v>88</x:v>
      </x:c>
      <x:c r="K71" s="85" t="n">
        <x:v>78</x:v>
      </x:c>
      <x:c r="L71" s="91" t="str">
        <x:v>エース / ステージハンター / 集団コントローラー</x:v>
      </x:c>
      <x:c r="M71" s="88" t="n">
        <x:v>8100</x:v>
      </x:c>
      <x:c r="N71" s="85" t="n">
        <x:v>70</x:v>
      </x:c>
      <x:c r="O71" s="85" t="n">
        <x:v>76</x:v>
      </x:c>
      <x:c r="P71" s="85" t="n">
        <x:v>81</x:v>
      </x:c>
      <x:c r="Q71" s="85" t="n">
        <x:v>68</x:v>
      </x:c>
      <x:c r="R71" s="85" t="n">
        <x:v>73</x:v>
      </x:c>
      <x:c r="S71" s="85" t="n">
        <x:v>65</x:v>
      </x:c>
      <x:c r="T71" s="85" t="n">
        <x:v>67</x:v>
      </x:c>
      <x:c r="U71" s="85" t="n">
        <x:v>74</x:v>
      </x:c>
      <x:c r="V71" s="85" t="n">
        <x:v>75</x:v>
      </x:c>
      <x:c r="W71" s="85" t="n">
        <x:v>50</x:v>
      </x:c>
      <x:c r="X71" s="85" t="n">
        <x:v>73</x:v>
      </x:c>
      <x:c r="Y71" s="85" t="n">
        <x:v>73</x:v>
      </x:c>
      <x:c r="Z71" s="85" t="n">
        <x:v>67</x:v>
      </x:c>
      <x:c r="AA71" s="85" t="n">
        <x:v>75</x:v>
      </x:c>
      <x:c r="AB71" s="85" t="n">
        <x:v>76</x:v>
      </x:c>
      <x:c r="AC71" s="91" t="str">
        <x:v>既存時代区分「近代」（WorldTeam名簿外）</x:v>
      </x:c>
      <x:c r="AD71" s="91" t="str">
        <x:v>https://en.wikipedia.org/wiki/Special:Search?search=Jakob%20Fuglsang%20cyclist</x:v>
      </x:c>
      <x:c r="AE71" s="91" t="str">
        <x:v>能力・適性・Credit整合済</x:v>
      </x:c>
      <x:c r="AF71" s="91" t="str">
        <x:v>https://en.wikipedia.org/wiki/Special:Search?search=Jakob%20Fuglsang%20cyclist</x:v>
      </x:c>
    </x:row>
    <x:row r="72" ht="26" customHeight="1">
      <x:c r="A72" s="82" t="n">
        <x:v>68</x:v>
      </x:c>
      <x:c r="B72" s="82" t="str">
        <x:v>Sam Bennett</x:v>
      </x:c>
      <x:c r="C72" s="143" t="str"/>
      <x:c r="D72" s="82" t="str">
        <x:v>アイルランド</x:v>
      </x:c>
      <x:c r="E72" s="82" t="str">
        <x:v>引退</x:v>
      </x:c>
      <x:c r="F72" s="82" t="str"/>
      <x:c r="G72" s="82" t="str">
        <x:v>引退確認済</x:v>
      </x:c>
      <x:c r="H72" s="82" t="str">
        <x:v>スプリンター</x:v>
      </x:c>
      <x:c r="I72" s="82" t="str">
        <x:v>クラシック型</x:v>
      </x:c>
      <x:c r="J72" s="85" t="n">
        <x:v>88</x:v>
      </x:c>
      <x:c r="K72" s="85" t="n">
        <x:v>77</x:v>
      </x:c>
      <x:c r="L72" s="91" t="str">
        <x:v>エース / リードアウト / 最終発射台 / 無賃乗車</x:v>
      </x:c>
      <x:c r="M72" s="88" t="n">
        <x:v>7700</x:v>
      </x:c>
      <x:c r="N72" s="85" t="n">
        <x:v>80</x:v>
      </x:c>
      <x:c r="O72" s="85" t="n">
        <x:v>80</x:v>
      </x:c>
      <x:c r="P72" s="85" t="n">
        <x:v>68</x:v>
      </x:c>
      <x:c r="Q72" s="85" t="n">
        <x:v>72</x:v>
      </x:c>
      <x:c r="R72" s="85" t="n">
        <x:v>58</x:v>
      </x:c>
      <x:c r="S72" s="85" t="n">
        <x:v>64</x:v>
      </x:c>
      <x:c r="T72" s="85" t="n">
        <x:v>64</x:v>
      </x:c>
      <x:c r="U72" s="85" t="n">
        <x:v>70</x:v>
      </x:c>
      <x:c r="V72" s="85" t="n">
        <x:v>71</x:v>
      </x:c>
      <x:c r="W72" s="85" t="n">
        <x:v>64</x:v>
      </x:c>
      <x:c r="X72" s="85" t="n">
        <x:v>69</x:v>
      </x:c>
      <x:c r="Y72" s="85" t="n">
        <x:v>69</x:v>
      </x:c>
      <x:c r="Z72" s="85" t="n">
        <x:v>65</x:v>
      </x:c>
      <x:c r="AA72" s="85" t="n">
        <x:v>76</x:v>
      </x:c>
      <x:c r="AB72" s="85" t="n">
        <x:v>67</x:v>
      </x:c>
      <x:c r="AC72" s="91" t="str">
        <x:v>既存時代区分「近代」（WorldTeam名簿外）</x:v>
      </x:c>
      <x:c r="AD72" s="91" t="str">
        <x:v>https://en.wikipedia.org/wiki/Special:Search?search=Sam%20Bennett%20cyclist</x:v>
      </x:c>
      <x:c r="AE72" s="91" t="str">
        <x:v>能力・適性・Credit整合済</x:v>
      </x:c>
      <x:c r="AF72" s="91" t="str">
        <x:v>https://en.wikipedia.org/wiki/Special:Search?search=Sam%20Bennett%20cyclist</x:v>
      </x:c>
    </x:row>
    <x:row r="73" ht="26" customHeight="1">
      <x:c r="A73" s="82" t="n">
        <x:v>69</x:v>
      </x:c>
      <x:c r="B73" s="82" t="str">
        <x:v>Tyler Farrar</x:v>
      </x:c>
      <x:c r="C73" s="143" t="str"/>
      <x:c r="D73" s="82" t="str">
        <x:v>アメリカ</x:v>
      </x:c>
      <x:c r="E73" s="82" t="str">
        <x:v>引退</x:v>
      </x:c>
      <x:c r="F73" s="82" t="str"/>
      <x:c r="G73" s="82" t="str">
        <x:v>引退確認済</x:v>
      </x:c>
      <x:c r="H73" s="82" t="str">
        <x:v>スプリンター</x:v>
      </x:c>
      <x:c r="I73" s="82" t="str">
        <x:v>クラシック型</x:v>
      </x:c>
      <x:c r="J73" s="85" t="n">
        <x:v>88</x:v>
      </x:c>
      <x:c r="K73" s="85" t="n">
        <x:v>77</x:v>
      </x:c>
      <x:c r="L73" s="91" t="str">
        <x:v>エース / リードアウト / 最終発射台 / 下り牽引 / 無賃乗車</x:v>
      </x:c>
      <x:c r="M73" s="88" t="n">
        <x:v>7300</x:v>
      </x:c>
      <x:c r="N73" s="85" t="n">
        <x:v>79</x:v>
      </x:c>
      <x:c r="O73" s="85" t="n">
        <x:v>79</x:v>
      </x:c>
      <x:c r="P73" s="85" t="n">
        <x:v>68</x:v>
      </x:c>
      <x:c r="Q73" s="85" t="n">
        <x:v>71</x:v>
      </x:c>
      <x:c r="R73" s="85" t="n">
        <x:v>58</x:v>
      </x:c>
      <x:c r="S73" s="85" t="n">
        <x:v>63</x:v>
      </x:c>
      <x:c r="T73" s="85" t="n">
        <x:v>63</x:v>
      </x:c>
      <x:c r="U73" s="85" t="n">
        <x:v>69</x:v>
      </x:c>
      <x:c r="V73" s="85" t="n">
        <x:v>71</x:v>
      </x:c>
      <x:c r="W73" s="85" t="n">
        <x:v>64</x:v>
      </x:c>
      <x:c r="X73" s="85" t="n">
        <x:v>69</x:v>
      </x:c>
      <x:c r="Y73" s="85" t="n">
        <x:v>68</x:v>
      </x:c>
      <x:c r="Z73" s="85" t="n">
        <x:v>64</x:v>
      </x:c>
      <x:c r="AA73" s="85" t="n">
        <x:v>75</x:v>
      </x:c>
      <x:c r="AB73" s="85" t="n">
        <x:v>66</x:v>
      </x:c>
      <x:c r="AC73" s="91" t="str">
        <x:v>既存時代区分「近代」（WorldTeam名簿外）</x:v>
      </x:c>
      <x:c r="AD73" s="91" t="str">
        <x:v>https://en.wikipedia.org/wiki/Special:Search?search=Tyler%20Farrar%20cyclist</x:v>
      </x:c>
      <x:c r="AE73" s="91" t="str">
        <x:v>能力・適性・Credit整合済</x:v>
      </x:c>
      <x:c r="AF73" s="91" t="str">
        <x:v>https://en.wikipedia.org/wiki/Special:Search?search=Tyler%20Farrar%20cyclist</x:v>
      </x:c>
    </x:row>
    <x:row r="74" ht="26" customHeight="1">
      <x:c r="A74" s="82" t="n">
        <x:v>70</x:v>
      </x:c>
      <x:c r="B74" s="82" t="str">
        <x:v>Fernando Gaviria</x:v>
      </x:c>
      <x:c r="C74" s="143" t="str"/>
      <x:c r="D74" s="82" t="str">
        <x:v>コロンビア</x:v>
      </x:c>
      <x:c r="E74" s="82" t="str">
        <x:v>引退</x:v>
      </x:c>
      <x:c r="F74" s="82" t="str"/>
      <x:c r="G74" s="82" t="str">
        <x:v>引退確認済</x:v>
      </x:c>
      <x:c r="H74" s="82" t="str">
        <x:v>スプリンター</x:v>
      </x:c>
      <x:c r="I74" s="82" t="str">
        <x:v>TT・ルーラー型</x:v>
      </x:c>
      <x:c r="J74" s="85" t="n">
        <x:v>88</x:v>
      </x:c>
      <x:c r="K74" s="85" t="n">
        <x:v>77</x:v>
      </x:c>
      <x:c r="L74" s="91" t="str">
        <x:v>エース / リードアウト / 最終発射台 / 無賃乗車</x:v>
      </x:c>
      <x:c r="M74" s="88" t="n">
        <x:v>7100</x:v>
      </x:c>
      <x:c r="N74" s="85" t="n">
        <x:v>79</x:v>
      </x:c>
      <x:c r="O74" s="85" t="n">
        <x:v>78</x:v>
      </x:c>
      <x:c r="P74" s="85" t="n">
        <x:v>67</x:v>
      </x:c>
      <x:c r="Q74" s="85" t="n">
        <x:v>71</x:v>
      </x:c>
      <x:c r="R74" s="85" t="n">
        <x:v>59</x:v>
      </x:c>
      <x:c r="S74" s="85" t="n">
        <x:v>63</x:v>
      </x:c>
      <x:c r="T74" s="85" t="n">
        <x:v>63</x:v>
      </x:c>
      <x:c r="U74" s="85" t="n">
        <x:v>69</x:v>
      </x:c>
      <x:c r="V74" s="85" t="n">
        <x:v>70</x:v>
      </x:c>
      <x:c r="W74" s="85" t="n">
        <x:v>50</x:v>
      </x:c>
      <x:c r="X74" s="85" t="n">
        <x:v>69</x:v>
      </x:c>
      <x:c r="Y74" s="85" t="n">
        <x:v>69</x:v>
      </x:c>
      <x:c r="Z74" s="85" t="n">
        <x:v>66</x:v>
      </x:c>
      <x:c r="AA74" s="85" t="n">
        <x:v>74</x:v>
      </x:c>
      <x:c r="AB74" s="85" t="n">
        <x:v>66</x:v>
      </x:c>
      <x:c r="AC74" s="91" t="str">
        <x:v>既存時代区分「近代」（WorldTeam名簿外）</x:v>
      </x:c>
      <x:c r="AD74" s="91" t="str">
        <x:v>https://en.wikipedia.org/wiki/Special:Search?search=Fernando%20Gaviria%20cyclist</x:v>
      </x:c>
      <x:c r="AE74" s="91" t="str">
        <x:v>能力・適性・Credit整合済</x:v>
      </x:c>
      <x:c r="AF74" s="91" t="str">
        <x:v>https://en.wikipedia.org/wiki/Special:Search?search=Fernando%20Gaviria%20cyclist</x:v>
      </x:c>
    </x:row>
    <x:row r="75" ht="26" customHeight="1">
      <x:c r="A75" s="82" t="n">
        <x:v>71</x:v>
      </x:c>
      <x:c r="B75" s="82" t="str">
        <x:v>Peter Van Petegem</x:v>
      </x:c>
      <x:c r="C75" s="143" t="str">
        <x:v>フランドルの黒豹</x:v>
      </x:c>
      <x:c r="D75" s="82" t="str">
        <x:v>ベルギー</x:v>
      </x:c>
      <x:c r="E75" s="82" t="str">
        <x:v>引退</x:v>
      </x:c>
      <x:c r="F75" s="82" t="str"/>
      <x:c r="G75" s="82" t="str">
        <x:v>引退確認済</x:v>
      </x:c>
      <x:c r="H75" s="82" t="str">
        <x:v>クラシック型</x:v>
      </x:c>
      <x:c r="I75" s="82" t="str">
        <x:v>パンチャー</x:v>
      </x:c>
      <x:c r="J75" s="85" t="n">
        <x:v>87</x:v>
      </x:c>
      <x:c r="K75" s="85" t="n">
        <x:v>84</x:v>
      </x:c>
      <x:c r="L75" s="91" t="str">
        <x:v>エース / 石畳護衛 / 横風要員 / 逃げ屋 / ブリッジャー / カウンターアタッカー</x:v>
      </x:c>
      <x:c r="M75" s="88" t="n">
        <x:v>10650</x:v>
      </x:c>
      <x:c r="N75" s="85" t="n">
        <x:v>75</x:v>
      </x:c>
      <x:c r="O75" s="85" t="n">
        <x:v>75</x:v>
      </x:c>
      <x:c r="P75" s="85" t="n">
        <x:v>77</x:v>
      </x:c>
      <x:c r="Q75" s="85" t="n">
        <x:v>76</x:v>
      </x:c>
      <x:c r="R75" s="85" t="n">
        <x:v>68</x:v>
      </x:c>
      <x:c r="S75" s="85" t="n">
        <x:v>78</x:v>
      </x:c>
      <x:c r="T75" s="85" t="n">
        <x:v>81</x:v>
      </x:c>
      <x:c r="U75" s="85" t="n">
        <x:v>81</x:v>
      </x:c>
      <x:c r="V75" s="85" t="n">
        <x:v>82</x:v>
      </x:c>
      <x:c r="W75" s="85" t="n">
        <x:v>83</x:v>
      </x:c>
      <x:c r="X75" s="85" t="n">
        <x:v>72</x:v>
      </x:c>
      <x:c r="Y75" s="85" t="n">
        <x:v>73</x:v>
      </x:c>
      <x:c r="Z75" s="85" t="n">
        <x:v>77</x:v>
      </x:c>
      <x:c r="AA75" s="85" t="n">
        <x:v>72</x:v>
      </x:c>
      <x:c r="AB75" s="85" t="n">
        <x:v>84</x:v>
      </x:c>
      <x:c r="AC75" s="91" t="str">
        <x:v>既存時代区分「近代」（WorldTeam名簿外）</x:v>
      </x:c>
      <x:c r="AD75" s="91" t="str">
        <x:v>https://en.wikipedia.org/wiki/Special:Search?search=Peter%20Van%20Petegem%20cyclist</x:v>
      </x:c>
      <x:c r="AE75" s="91" t="str">
        <x:v>能力・適性・Credit整合済</x:v>
      </x:c>
      <x:c r="AF75" s="91" t="str">
        <x:v>https://en.wikipedia.org/wiki/Special:Search?search=Peter%20Van%20Petegem%20cyclist</x:v>
      </x:c>
    </x:row>
    <x:row r="76" ht="26" customHeight="1">
      <x:c r="A76" s="82" t="n">
        <x:v>72</x:v>
      </x:c>
      <x:c r="B76" s="82" t="str">
        <x:v>Bradley Wiggins</x:v>
      </x:c>
      <x:c r="C76" s="143" t="str">
        <x:v>英国のクロノ騎士</x:v>
      </x:c>
      <x:c r="D76" s="82" t="str">
        <x:v>イギリス</x:v>
      </x:c>
      <x:c r="E76" s="82" t="str">
        <x:v>引退</x:v>
      </x:c>
      <x:c r="F76" s="82" t="str"/>
      <x:c r="G76" s="82" t="str">
        <x:v>引退確認済</x:v>
      </x:c>
      <x:c r="H76" s="82" t="str">
        <x:v>TT・ルーラー型</x:v>
      </x:c>
      <x:c r="I76" s="82" t="str">
        <x:v>総合型</x:v>
      </x:c>
      <x:c r="J76" s="85" t="n">
        <x:v>87</x:v>
      </x:c>
      <x:c r="K76" s="85" t="n">
        <x:v>80</x:v>
      </x:c>
      <x:c r="L76" s="91" t="str">
        <x:v>エース / TTスペシャリスト / 平坦ペースメーカー / 集団コントローラー / ブレイクアウェイキラー</x:v>
      </x:c>
      <x:c r="M76" s="88" t="n">
        <x:v>10350</x:v>
      </x:c>
      <x:c r="N76" s="85" t="n">
        <x:v>65</x:v>
      </x:c>
      <x:c r="O76" s="85" t="n">
        <x:v>67</x:v>
      </x:c>
      <x:c r="P76" s="85" t="n">
        <x:v>67</x:v>
      </x:c>
      <x:c r="Q76" s="85" t="n">
        <x:v>83</x:v>
      </x:c>
      <x:c r="R76" s="85" t="n">
        <x:v>72</x:v>
      </x:c>
      <x:c r="S76" s="85" t="n">
        <x:v>79</x:v>
      </x:c>
      <x:c r="T76" s="85" t="n">
        <x:v>77</x:v>
      </x:c>
      <x:c r="U76" s="85" t="n">
        <x:v>79</x:v>
      </x:c>
      <x:c r="V76" s="85" t="n">
        <x:v>69</x:v>
      </x:c>
      <x:c r="W76" s="85" t="n">
        <x:v>75</x:v>
      </x:c>
      <x:c r="X76" s="85" t="n">
        <x:v>73</x:v>
      </x:c>
      <x:c r="Y76" s="85" t="n">
        <x:v>73</x:v>
      </x:c>
      <x:c r="Z76" s="85" t="n">
        <x:v>85</x:v>
      </x:c>
      <x:c r="AA76" s="85" t="n">
        <x:v>69</x:v>
      </x:c>
      <x:c r="AB76" s="85" t="n">
        <x:v>67</x:v>
      </x:c>
      <x:c r="AC76" s="91" t="str">
        <x:v>既存時代区分「近代」（WorldTeam名簿外）</x:v>
      </x:c>
      <x:c r="AD76" s="91" t="str">
        <x:v>https://en.wikipedia.org/wiki/Special:Search?search=Bradley%20Wiggins%20cyclist</x:v>
      </x:c>
      <x:c r="AE76" s="91" t="str">
        <x:v>能力・適性・Credit整合済</x:v>
      </x:c>
      <x:c r="AF76" s="91" t="str">
        <x:v>https://en.wikipedia.org/wiki/Special:Search?search=Bradley%20Wiggins%20cyclist</x:v>
      </x:c>
    </x:row>
    <x:row r="77" ht="26" customHeight="1">
      <x:c r="A77" s="82" t="n">
        <x:v>73</x:v>
      </x:c>
      <x:c r="B77" s="82" t="str">
        <x:v>Servais Knaven</x:v>
      </x:c>
      <x:c r="C77" s="143" t="str">
        <x:v>ルーベの脱走者</x:v>
      </x:c>
      <x:c r="D77" s="82" t="str">
        <x:v>オランダ</x:v>
      </x:c>
      <x:c r="E77" s="82" t="str">
        <x:v>引退</x:v>
      </x:c>
      <x:c r="F77" s="82" t="str"/>
      <x:c r="G77" s="82" t="str">
        <x:v>引退確認済</x:v>
      </x:c>
      <x:c r="H77" s="82" t="str">
        <x:v>クラシック型</x:v>
      </x:c>
      <x:c r="I77" s="82" t="str">
        <x:v>TT・ルーラー型</x:v>
      </x:c>
      <x:c r="J77" s="85" t="n">
        <x:v>87</x:v>
      </x:c>
      <x:c r="K77" s="85" t="n">
        <x:v>84</x:v>
      </x:c>
      <x:c r="L77" s="91" t="str">
        <x:v>エース / TT牽引 / 石畳護衛 / 横風要員 / 逃げ屋</x:v>
      </x:c>
      <x:c r="M77" s="88" t="n">
        <x:v>9900</x:v>
      </x:c>
      <x:c r="N77" s="85" t="n">
        <x:v>74</x:v>
      </x:c>
      <x:c r="O77" s="85" t="n">
        <x:v>72</x:v>
      </x:c>
      <x:c r="P77" s="85" t="n">
        <x:v>75</x:v>
      </x:c>
      <x:c r="Q77" s="85" t="n">
        <x:v>79</x:v>
      </x:c>
      <x:c r="R77" s="85" t="n">
        <x:v>67</x:v>
      </x:c>
      <x:c r="S77" s="85" t="n">
        <x:v>75</x:v>
      </x:c>
      <x:c r="T77" s="85" t="n">
        <x:v>79</x:v>
      </x:c>
      <x:c r="U77" s="85" t="n">
        <x:v>79</x:v>
      </x:c>
      <x:c r="V77" s="85" t="n">
        <x:v>79</x:v>
      </x:c>
      <x:c r="W77" s="85" t="n">
        <x:v>81</x:v>
      </x:c>
      <x:c r="X77" s="85" t="n">
        <x:v>71</x:v>
      </x:c>
      <x:c r="Y77" s="85" t="n">
        <x:v>71</x:v>
      </x:c>
      <x:c r="Z77" s="85" t="n">
        <x:v>78</x:v>
      </x:c>
      <x:c r="AA77" s="85" t="n">
        <x:v>71</x:v>
      </x:c>
      <x:c r="AB77" s="85" t="n">
        <x:v>76</x:v>
      </x:c>
      <x:c r="AC77" s="91" t="str">
        <x:v>既存時代区分「近代」（WorldTeam名簿外）</x:v>
      </x:c>
      <x:c r="AD77" s="91" t="str">
        <x:v>https://en.wikipedia.org/wiki/Special:Search?search=Servais%20Knaven%20cyclist</x:v>
      </x:c>
      <x:c r="AE77" s="91" t="str">
        <x:v>能力・適性・Credit整合済</x:v>
      </x:c>
      <x:c r="AF77" s="91" t="str">
        <x:v>https://en.wikipedia.org/wiki/Special:Search?search=Servais%20Knaven%20cyclist</x:v>
      </x:c>
    </x:row>
    <x:row r="78" ht="26" customHeight="1">
      <x:c r="A78" s="82" t="n">
        <x:v>74</x:v>
      </x:c>
      <x:c r="B78" s="82" t="str">
        <x:v>Damiano Cunego</x:v>
      </x:c>
      <x:c r="C78" s="143" t="str"/>
      <x:c r="D78" s="82" t="str">
        <x:v>イタリア</x:v>
      </x:c>
      <x:c r="E78" s="82" t="str">
        <x:v>引退</x:v>
      </x:c>
      <x:c r="F78" s="82" t="str"/>
      <x:c r="G78" s="82" t="str">
        <x:v>引退確認済</x:v>
      </x:c>
      <x:c r="H78" s="82" t="str">
        <x:v>パンチャー</x:v>
      </x:c>
      <x:c r="I78" s="82" t="str">
        <x:v>クライマー</x:v>
      </x:c>
      <x:c r="J78" s="85" t="n">
        <x:v>87</x:v>
      </x:c>
      <x:c r="K78" s="85" t="n">
        <x:v>79</x:v>
      </x:c>
      <x:c r="L78" s="91" t="str">
        <x:v>エース / ステージハンター / 山岳賞ハンター / 逃げ屋</x:v>
      </x:c>
      <x:c r="M78" s="88" t="n">
        <x:v>9450</x:v>
      </x:c>
      <x:c r="N78" s="85" t="n">
        <x:v>69</x:v>
      </x:c>
      <x:c r="O78" s="85" t="n">
        <x:v>77</x:v>
      </x:c>
      <x:c r="P78" s="85" t="n">
        <x:v>85</x:v>
      </x:c>
      <x:c r="Q78" s="85" t="n">
        <x:v>67</x:v>
      </x:c>
      <x:c r="R78" s="85" t="n">
        <x:v>75</x:v>
      </x:c>
      <x:c r="S78" s="85" t="n">
        <x:v>72</x:v>
      </x:c>
      <x:c r="T78" s="85" t="n">
        <x:v>70</x:v>
      </x:c>
      <x:c r="U78" s="85" t="n">
        <x:v>74</x:v>
      </x:c>
      <x:c r="V78" s="85" t="n">
        <x:v>77</x:v>
      </x:c>
      <x:c r="W78" s="85" t="n">
        <x:v>50</x:v>
      </x:c>
      <x:c r="X78" s="85" t="n">
        <x:v>74</x:v>
      </x:c>
      <x:c r="Y78" s="85" t="n">
        <x:v>74</x:v>
      </x:c>
      <x:c r="Z78" s="85" t="n">
        <x:v>67</x:v>
      </x:c>
      <x:c r="AA78" s="85" t="n">
        <x:v>75</x:v>
      </x:c>
      <x:c r="AB78" s="85" t="n">
        <x:v>80</x:v>
      </x:c>
      <x:c r="AC78" s="91" t="str">
        <x:v>既存時代区分「近代」（WorldTeam名簿外）</x:v>
      </x:c>
      <x:c r="AD78" s="91" t="str">
        <x:v>https://en.wikipedia.org/wiki/Special:Search?search=Damiano%20Cunego%20cyclist</x:v>
      </x:c>
      <x:c r="AE78" s="91" t="str">
        <x:v>能力・適性・Credit整合済</x:v>
      </x:c>
      <x:c r="AF78" s="91" t="str">
        <x:v>https://en.wikipedia.org/wiki/Special:Search?search=Damiano%20Cunego%20cyclist</x:v>
      </x:c>
    </x:row>
    <x:row r="79" ht="26" customHeight="1">
      <x:c r="A79" s="82" t="n">
        <x:v>75</x:v>
      </x:c>
      <x:c r="B79" s="82" t="str">
        <x:v>Claudio Chiappucci</x:v>
      </x:c>
      <x:c r="C79" s="143" t="str"/>
      <x:c r="D79" s="82" t="str">
        <x:v>イタリア</x:v>
      </x:c>
      <x:c r="E79" s="82" t="str">
        <x:v>引退</x:v>
      </x:c>
      <x:c r="F79" s="82" t="str"/>
      <x:c r="G79" s="82" t="str">
        <x:v>引退確認済</x:v>
      </x:c>
      <x:c r="H79" s="82" t="str">
        <x:v>クライマー</x:v>
      </x:c>
      <x:c r="I79" s="82" t="str">
        <x:v>パンチャー</x:v>
      </x:c>
      <x:c r="J79" s="85" t="n">
        <x:v>87</x:v>
      </x:c>
      <x:c r="K79" s="85" t="n">
        <x:v>70</x:v>
      </x:c>
      <x:c r="L79" s="91" t="str">
        <x:v>エース / 山岳賞ハンター / 山岳アシスト / 逃げ屋</x:v>
      </x:c>
      <x:c r="M79" s="88" t="n">
        <x:v>9250</x:v>
      </x:c>
      <x:c r="N79" s="85" t="n">
        <x:v>61</x:v>
      </x:c>
      <x:c r="O79" s="85" t="n">
        <x:v>71</x:v>
      </x:c>
      <x:c r="P79" s="85" t="n">
        <x:v>72</x:v>
      </x:c>
      <x:c r="Q79" s="85" t="n">
        <x:v>64</x:v>
      </x:c>
      <x:c r="R79" s="85" t="n">
        <x:v>80</x:v>
      </x:c>
      <x:c r="S79" s="85" t="n">
        <x:v>79</x:v>
      </x:c>
      <x:c r="T79" s="85" t="n">
        <x:v>77</x:v>
      </x:c>
      <x:c r="U79" s="85" t="n">
        <x:v>66</x:v>
      </x:c>
      <x:c r="V79" s="85" t="n">
        <x:v>68</x:v>
      </x:c>
      <x:c r="W79" s="85" t="n">
        <x:v>50</x:v>
      </x:c>
      <x:c r="X79" s="85" t="n">
        <x:v>77</x:v>
      </x:c>
      <x:c r="Y79" s="85" t="n">
        <x:v>76</x:v>
      </x:c>
      <x:c r="Z79" s="85" t="n">
        <x:v>70</x:v>
      </x:c>
      <x:c r="AA79" s="85" t="n">
        <x:v>72</x:v>
      </x:c>
      <x:c r="AB79" s="85" t="n">
        <x:v>78</x:v>
      </x:c>
      <x:c r="AC79" s="91" t="str">
        <x:v>既存時代区分「近代」（WorldTeam名簿外）</x:v>
      </x:c>
      <x:c r="AD79" s="91" t="str">
        <x:v>https://en.wikipedia.org/wiki/Special:Search?search=Claudio%20Chiappucci%20cyclist</x:v>
      </x:c>
      <x:c r="AE79" s="91" t="str">
        <x:v>能力・適性・Credit整合済</x:v>
      </x:c>
      <x:c r="AF79" s="91" t="str">
        <x:v>https://en.wikipedia.org/wiki/Special:Search?search=Claudio%20Chiappucci%20cyclist</x:v>
      </x:c>
    </x:row>
    <x:row r="80" ht="26" customHeight="1">
      <x:c r="A80" s="82" t="n">
        <x:v>76</x:v>
      </x:c>
      <x:c r="B80" s="82" t="str">
        <x:v>Luis Leon Sanchez</x:v>
      </x:c>
      <x:c r="C80" s="143" t="str"/>
      <x:c r="D80" s="82" t="str">
        <x:v>スペイン</x:v>
      </x:c>
      <x:c r="E80" s="82" t="str">
        <x:v>引退</x:v>
      </x:c>
      <x:c r="F80" s="82" t="str"/>
      <x:c r="G80" s="82" t="str">
        <x:v>引退確認済</x:v>
      </x:c>
      <x:c r="H80" s="82" t="str">
        <x:v>TT・ルーラー型</x:v>
      </x:c>
      <x:c r="I80" s="82" t="str">
        <x:v>クラシック型</x:v>
      </x:c>
      <x:c r="J80" s="85" t="n">
        <x:v>87</x:v>
      </x:c>
      <x:c r="K80" s="85" t="n">
        <x:v>80</x:v>
      </x:c>
      <x:c r="L80" s="91" t="str">
        <x:v>エース / 平坦ペースメーカー / TT牽引 / ブレイクアウェイキラー</x:v>
      </x:c>
      <x:c r="M80" s="88" t="n">
        <x:v>8800</x:v>
      </x:c>
      <x:c r="N80" s="85" t="n">
        <x:v>69</x:v>
      </x:c>
      <x:c r="O80" s="85" t="n">
        <x:v>67</x:v>
      </x:c>
      <x:c r="P80" s="85" t="n">
        <x:v>67</x:v>
      </x:c>
      <x:c r="Q80" s="85" t="n">
        <x:v>82</x:v>
      </x:c>
      <x:c r="R80" s="85" t="n">
        <x:v>70</x:v>
      </x:c>
      <x:c r="S80" s="85" t="n">
        <x:v>75</x:v>
      </x:c>
      <x:c r="T80" s="85" t="n">
        <x:v>76</x:v>
      </x:c>
      <x:c r="U80" s="85" t="n">
        <x:v>77</x:v>
      </x:c>
      <x:c r="V80" s="85" t="n">
        <x:v>70</x:v>
      </x:c>
      <x:c r="W80" s="85" t="n">
        <x:v>50</x:v>
      </x:c>
      <x:c r="X80" s="85" t="n">
        <x:v>70</x:v>
      </x:c>
      <x:c r="Y80" s="85" t="n">
        <x:v>71</x:v>
      </x:c>
      <x:c r="Z80" s="85" t="n">
        <x:v>80</x:v>
      </x:c>
      <x:c r="AA80" s="85" t="n">
        <x:v>69</x:v>
      </x:c>
      <x:c r="AB80" s="85" t="n">
        <x:v>69</x:v>
      </x:c>
      <x:c r="AC80" s="91" t="str">
        <x:v>既存時代区分「近代」（WorldTeam名簿外）</x:v>
      </x:c>
      <x:c r="AD80" s="91" t="str">
        <x:v>https://en.wikipedia.org/wiki/Special:Search?search=Luis%20Leon%20Sanchez%20cyclist</x:v>
      </x:c>
      <x:c r="AE80" s="91" t="str">
        <x:v>能力・適性・Credit整合済</x:v>
      </x:c>
      <x:c r="AF80" s="91" t="str">
        <x:v>https://en.wikipedia.org/wiki/Special:Search?search=Luis%20Leon%20Sanchez%20cyclist</x:v>
      </x:c>
    </x:row>
    <x:row r="81" ht="26" customHeight="1">
      <x:c r="A81" s="82" t="n">
        <x:v>77</x:v>
      </x:c>
      <x:c r="B81" s="82" t="str">
        <x:v>Filippo Pozzato</x:v>
      </x:c>
      <x:c r="C81" s="143" t="str"/>
      <x:c r="D81" s="82" t="str">
        <x:v>イタリア</x:v>
      </x:c>
      <x:c r="E81" s="82" t="str">
        <x:v>引退</x:v>
      </x:c>
      <x:c r="F81" s="82" t="str"/>
      <x:c r="G81" s="82" t="str">
        <x:v>引退確認済</x:v>
      </x:c>
      <x:c r="H81" s="82" t="str">
        <x:v>クラシック型</x:v>
      </x:c>
      <x:c r="I81" s="82" t="str">
        <x:v>スプリンター</x:v>
      </x:c>
      <x:c r="J81" s="85" t="n">
        <x:v>87</x:v>
      </x:c>
      <x:c r="K81" s="85" t="n">
        <x:v>84</x:v>
      </x:c>
      <x:c r="L81" s="91" t="str">
        <x:v>エース / スプリントトレイン / 石畳護衛 / 下り牽引 / ポジションキーパー</x:v>
      </x:c>
      <x:c r="M81" s="88" t="n">
        <x:v>8600</x:v>
      </x:c>
      <x:c r="N81" s="85" t="n">
        <x:v>76</x:v>
      </x:c>
      <x:c r="O81" s="85" t="n">
        <x:v>74</x:v>
      </x:c>
      <x:c r="P81" s="85" t="n">
        <x:v>75</x:v>
      </x:c>
      <x:c r="Q81" s="85" t="n">
        <x:v>75</x:v>
      </x:c>
      <x:c r="R81" s="85" t="n">
        <x:v>64</x:v>
      </x:c>
      <x:c r="S81" s="85" t="n">
        <x:v>73</x:v>
      </x:c>
      <x:c r="T81" s="85" t="n">
        <x:v>74</x:v>
      </x:c>
      <x:c r="U81" s="85" t="n">
        <x:v>81</x:v>
      </x:c>
      <x:c r="V81" s="85" t="n">
        <x:v>79</x:v>
      </x:c>
      <x:c r="W81" s="85" t="n">
        <x:v>69</x:v>
      </x:c>
      <x:c r="X81" s="85" t="n">
        <x:v>69</x:v>
      </x:c>
      <x:c r="Y81" s="85" t="n">
        <x:v>70</x:v>
      </x:c>
      <x:c r="Z81" s="85" t="n">
        <x:v>75</x:v>
      </x:c>
      <x:c r="AA81" s="85" t="n">
        <x:v>72</x:v>
      </x:c>
      <x:c r="AB81" s="85" t="n">
        <x:v>75</x:v>
      </x:c>
      <x:c r="AC81" s="91" t="str">
        <x:v>既存時代区分「近代」（WorldTeam名簿外）</x:v>
      </x:c>
      <x:c r="AD81" s="91" t="str">
        <x:v>https://en.wikipedia.org/wiki/Special:Search?search=Filippo%20Pozzato%20cyclist</x:v>
      </x:c>
      <x:c r="AE81" s="91" t="str">
        <x:v>能力・適性・Credit整合済</x:v>
      </x:c>
      <x:c r="AF81" s="91" t="str">
        <x:v>https://en.wikipedia.org/wiki/Special:Search?search=Filippo%20Pozzato%20cyclist</x:v>
      </x:c>
    </x:row>
    <x:row r="82" ht="26" customHeight="1">
      <x:c r="A82" s="82" t="n">
        <x:v>78</x:v>
      </x:c>
      <x:c r="B82" s="82" t="str">
        <x:v>Michael Rasmussen</x:v>
      </x:c>
      <x:c r="C82" s="143" t="str"/>
      <x:c r="D82" s="82" t="str">
        <x:v>デンマーク</x:v>
      </x:c>
      <x:c r="E82" s="82" t="str">
        <x:v>引退</x:v>
      </x:c>
      <x:c r="F82" s="82" t="str"/>
      <x:c r="G82" s="82" t="str">
        <x:v>引退確認済</x:v>
      </x:c>
      <x:c r="H82" s="82" t="str">
        <x:v>クライマー</x:v>
      </x:c>
      <x:c r="I82" s="82" t="str">
        <x:v>総合型</x:v>
      </x:c>
      <x:c r="J82" s="85" t="n">
        <x:v>87</x:v>
      </x:c>
      <x:c r="K82" s="85" t="n">
        <x:v>79</x:v>
      </x:c>
      <x:c r="L82" s="91" t="str">
        <x:v>エース / 山岳賞ハンター / 山岳アシスト / 集団コントローラー</x:v>
      </x:c>
      <x:c r="M82" s="88" t="n">
        <x:v>8450</x:v>
      </x:c>
      <x:c r="N82" s="85" t="n">
        <x:v>57</x:v>
      </x:c>
      <x:c r="O82" s="85" t="n">
        <x:v>69</x:v>
      </x:c>
      <x:c r="P82" s="85" t="n">
        <x:v>70</x:v>
      </x:c>
      <x:c r="Q82" s="85" t="n">
        <x:v>65</x:v>
      </x:c>
      <x:c r="R82" s="85" t="n">
        <x:v>79</x:v>
      </x:c>
      <x:c r="S82" s="85" t="n">
        <x:v>75</x:v>
      </x:c>
      <x:c r="T82" s="85" t="n">
        <x:v>73</x:v>
      </x:c>
      <x:c r="U82" s="85" t="n">
        <x:v>65</x:v>
      </x:c>
      <x:c r="V82" s="85" t="n">
        <x:v>67</x:v>
      </x:c>
      <x:c r="W82" s="85" t="n">
        <x:v>50</x:v>
      </x:c>
      <x:c r="X82" s="85" t="n">
        <x:v>76</x:v>
      </x:c>
      <x:c r="Y82" s="85" t="n">
        <x:v>77</x:v>
      </x:c>
      <x:c r="Z82" s="85" t="n">
        <x:v>71</x:v>
      </x:c>
      <x:c r="AA82" s="85" t="n">
        <x:v>70</x:v>
      </x:c>
      <x:c r="AB82" s="85" t="n">
        <x:v>75</x:v>
      </x:c>
      <x:c r="AC82" s="91" t="str">
        <x:v>既存時代区分「近代」（WorldTeam名簿外）</x:v>
      </x:c>
      <x:c r="AD82" s="91" t="str">
        <x:v>https://en.wikipedia.org/wiki/Special:Search?search=Michael%20Rasmussen%20cyclist</x:v>
      </x:c>
      <x:c r="AE82" s="91" t="str">
        <x:v>能力・適性・Credit整合済</x:v>
      </x:c>
      <x:c r="AF82" s="91" t="str">
        <x:v>https://en.wikipedia.org/wiki/Special:Search?search=Michael%20Rasmussen%20cyclist</x:v>
      </x:c>
    </x:row>
    <x:row r="83" ht="26" customHeight="1">
      <x:c r="A83" s="82" t="n">
        <x:v>79</x:v>
      </x:c>
      <x:c r="B83" s="82" t="str">
        <x:v>Ben Healy</x:v>
      </x:c>
      <x:c r="C83" s="143" t="str"/>
      <x:c r="D83" s="82" t="str">
        <x:v>アイルランド</x:v>
      </x:c>
      <x:c r="E83" s="82" t="str">
        <x:v>引退</x:v>
      </x:c>
      <x:c r="F83" s="82" t="str"/>
      <x:c r="G83" s="82" t="str">
        <x:v>引退確認済</x:v>
      </x:c>
      <x:c r="H83" s="82" t="str">
        <x:v>パンチャー</x:v>
      </x:c>
      <x:c r="I83" s="82" t="str">
        <x:v>クライマー</x:v>
      </x:c>
      <x:c r="J83" s="85" t="n">
        <x:v>87</x:v>
      </x:c>
      <x:c r="K83" s="85" t="n">
        <x:v>79</x:v>
      </x:c>
      <x:c r="L83" s="91" t="str">
        <x:v>エース / ステージハンター / 山岳賞ハンター / 超ロングスパート</x:v>
      </x:c>
      <x:c r="M83" s="88" t="n">
        <x:v>8300</x:v>
      </x:c>
      <x:c r="N83" s="85" t="n">
        <x:v>69</x:v>
      </x:c>
      <x:c r="O83" s="85" t="n">
        <x:v>75</x:v>
      </x:c>
      <x:c r="P83" s="85" t="n">
        <x:v>79</x:v>
      </x:c>
      <x:c r="Q83" s="85" t="n">
        <x:v>66</x:v>
      </x:c>
      <x:c r="R83" s="85" t="n">
        <x:v>73</x:v>
      </x:c>
      <x:c r="S83" s="85" t="n">
        <x:v>64</x:v>
      </x:c>
      <x:c r="T83" s="85" t="n">
        <x:v>65</x:v>
      </x:c>
      <x:c r="U83" s="85" t="n">
        <x:v>73</x:v>
      </x:c>
      <x:c r="V83" s="85" t="n">
        <x:v>74</x:v>
      </x:c>
      <x:c r="W83" s="85" t="n">
        <x:v>50</x:v>
      </x:c>
      <x:c r="X83" s="85" t="n">
        <x:v>72</x:v>
      </x:c>
      <x:c r="Y83" s="85" t="n">
        <x:v>72</x:v>
      </x:c>
      <x:c r="Z83" s="85" t="n">
        <x:v>64</x:v>
      </x:c>
      <x:c r="AA83" s="85" t="n">
        <x:v>73</x:v>
      </x:c>
      <x:c r="AB83" s="85" t="n">
        <x:v>77</x:v>
      </x:c>
      <x:c r="AC83" s="91" t="str">
        <x:v>既存時代区分「近代」（WorldTeam名簿外）</x:v>
      </x:c>
      <x:c r="AD83" s="91" t="str">
        <x:v>https://en.wikipedia.org/wiki/Special:Search?search=Ben%20Healy%20cyclist</x:v>
      </x:c>
      <x:c r="AE83" s="91" t="str">
        <x:v>能力・適性・Credit整合済</x:v>
      </x:c>
      <x:c r="AF83" s="91" t="str">
        <x:v>https://en.wikipedia.org/wiki/Special:Search?search=Ben%20Healy%20cyclist</x:v>
      </x:c>
    </x:row>
    <x:row r="84" ht="26" customHeight="1">
      <x:c r="A84" s="82" t="n">
        <x:v>80</x:v>
      </x:c>
      <x:c r="B84" s="82" t="str">
        <x:v>Pavel Tonkov</x:v>
      </x:c>
      <x:c r="C84" s="143" t="str"/>
      <x:c r="D84" s="82" t="str">
        <x:v>ロシア</x:v>
      </x:c>
      <x:c r="E84" s="82" t="str">
        <x:v>引退</x:v>
      </x:c>
      <x:c r="F84" s="82" t="str"/>
      <x:c r="G84" s="82" t="str">
        <x:v>引退確認済</x:v>
      </x:c>
      <x:c r="H84" s="82" t="str">
        <x:v>総合型</x:v>
      </x:c>
      <x:c r="I84" s="82" t="str">
        <x:v>クライマー</x:v>
      </x:c>
      <x:c r="J84" s="85" t="n">
        <x:v>87</x:v>
      </x:c>
      <x:c r="K84" s="85" t="n">
        <x:v>81</x:v>
      </x:c>
      <x:c r="L84" s="91" t="str">
        <x:v>エース / 山岳賞ハンター / 山岳アシスト / 山岳番手</x:v>
      </x:c>
      <x:c r="M84" s="88" t="n">
        <x:v>8200</x:v>
      </x:c>
      <x:c r="N84" s="85" t="n">
        <x:v>58</x:v>
      </x:c>
      <x:c r="O84" s="85" t="n">
        <x:v>68</x:v>
      </x:c>
      <x:c r="P84" s="85" t="n">
        <x:v>73</x:v>
      </x:c>
      <x:c r="Q84" s="85" t="n">
        <x:v>68</x:v>
      </x:c>
      <x:c r="R84" s="85" t="n">
        <x:v>78</x:v>
      </x:c>
      <x:c r="S84" s="85" t="n">
        <x:v>75</x:v>
      </x:c>
      <x:c r="T84" s="85" t="n">
        <x:v>75</x:v>
      </x:c>
      <x:c r="U84" s="85" t="n">
        <x:v>66</x:v>
      </x:c>
      <x:c r="V84" s="85" t="n">
        <x:v>68</x:v>
      </x:c>
      <x:c r="W84" s="85" t="n">
        <x:v>50</x:v>
      </x:c>
      <x:c r="X84" s="85" t="n">
        <x:v>80</x:v>
      </x:c>
      <x:c r="Y84" s="85" t="n">
        <x:v>79</x:v>
      </x:c>
      <x:c r="Z84" s="85" t="n">
        <x:v>68</x:v>
      </x:c>
      <x:c r="AA84" s="85" t="n">
        <x:v>73</x:v>
      </x:c>
      <x:c r="AB84" s="85" t="n">
        <x:v>69</x:v>
      </x:c>
      <x:c r="AC84" s="91" t="str">
        <x:v>既存時代区分「近代」（WorldTeam名簿外）</x:v>
      </x:c>
      <x:c r="AD84" s="91" t="str">
        <x:v>https://en.wikipedia.org/wiki/Special:Search?search=Pavel%20Tonkov%20cyclist</x:v>
      </x:c>
      <x:c r="AE84" s="91" t="str">
        <x:v>能力・適性・Credit整合済</x:v>
      </x:c>
      <x:c r="AF84" s="91" t="str">
        <x:v>https://en.wikipedia.org/wiki/Special:Search?search=Pavel%20Tonkov%20cyclist</x:v>
      </x:c>
    </x:row>
    <x:row r="85" ht="26" customHeight="1">
      <x:c r="A85" s="82" t="n">
        <x:v>81</x:v>
      </x:c>
      <x:c r="B85" s="82" t="str">
        <x:v>Caleb Ewan</x:v>
      </x:c>
      <x:c r="C85" s="143" t="str"/>
      <x:c r="D85" s="82" t="str">
        <x:v>オーストラリア</x:v>
      </x:c>
      <x:c r="E85" s="82" t="str">
        <x:v>引退</x:v>
      </x:c>
      <x:c r="F85" s="82" t="str"/>
      <x:c r="G85" s="82" t="str">
        <x:v>引退確認済</x:v>
      </x:c>
      <x:c r="H85" s="82" t="str">
        <x:v>スプリンター</x:v>
      </x:c>
      <x:c r="I85" s="82" t="str">
        <x:v>パンチャー</x:v>
      </x:c>
      <x:c r="J85" s="85" t="n">
        <x:v>87</x:v>
      </x:c>
      <x:c r="K85" s="85" t="n">
        <x:v>78</x:v>
      </x:c>
      <x:c r="L85" s="91" t="str">
        <x:v>エース / リードアウト / 最終発射台 / 無賃乗車</x:v>
      </x:c>
      <x:c r="M85" s="88" t="n">
        <x:v>7850</x:v>
      </x:c>
      <x:c r="N85" s="85" t="n">
        <x:v>83</x:v>
      </x:c>
      <x:c r="O85" s="85" t="n">
        <x:v>83</x:v>
      </x:c>
      <x:c r="P85" s="85" t="n">
        <x:v>69</x:v>
      </x:c>
      <x:c r="Q85" s="85" t="n">
        <x:v>70</x:v>
      </x:c>
      <x:c r="R85" s="85" t="n">
        <x:v>61</x:v>
      </x:c>
      <x:c r="S85" s="85" t="n">
        <x:v>63</x:v>
      </x:c>
      <x:c r="T85" s="85" t="n">
        <x:v>63</x:v>
      </x:c>
      <x:c r="U85" s="85" t="n">
        <x:v>70</x:v>
      </x:c>
      <x:c r="V85" s="85" t="n">
        <x:v>70</x:v>
      </x:c>
      <x:c r="W85" s="85" t="n">
        <x:v>50</x:v>
      </x:c>
      <x:c r="X85" s="85" t="n">
        <x:v>69</x:v>
      </x:c>
      <x:c r="Y85" s="85" t="n">
        <x:v>69</x:v>
      </x:c>
      <x:c r="Z85" s="85" t="n">
        <x:v>65</x:v>
      </x:c>
      <x:c r="AA85" s="85" t="n">
        <x:v>77</x:v>
      </x:c>
      <x:c r="AB85" s="85" t="n">
        <x:v>67</x:v>
      </x:c>
      <x:c r="AC85" s="91" t="str">
        <x:v>既存時代区分「近代」（WorldTeam名簿外）</x:v>
      </x:c>
      <x:c r="AD85" s="91" t="str">
        <x:v>https://en.wikipedia.org/wiki/Special:Search?search=Caleb%20Ewan%20cyclist</x:v>
      </x:c>
      <x:c r="AE85" s="91" t="str">
        <x:v>能力・適性・Credit整合済</x:v>
      </x:c>
      <x:c r="AF85" s="91" t="str">
        <x:v>https://en.wikipedia.org/wiki/Special:Search?search=Caleb%20Ewan%20cyclist</x:v>
      </x:c>
    </x:row>
    <x:row r="86" ht="26" customHeight="1">
      <x:c r="A86" s="82" t="n">
        <x:v>82</x:v>
      </x:c>
      <x:c r="B86" s="82" t="str">
        <x:v>Samuel Sanchez</x:v>
      </x:c>
      <x:c r="C86" s="143" t="str"/>
      <x:c r="D86" s="82" t="str">
        <x:v>スペイン</x:v>
      </x:c>
      <x:c r="E86" s="82" t="str">
        <x:v>引退</x:v>
      </x:c>
      <x:c r="F86" s="82" t="str"/>
      <x:c r="G86" s="82" t="str">
        <x:v>引退確認済</x:v>
      </x:c>
      <x:c r="H86" s="82" t="str">
        <x:v>総合型</x:v>
      </x:c>
      <x:c r="I86" s="82" t="str">
        <x:v>パンチャー</x:v>
      </x:c>
      <x:c r="J86" s="85" t="n">
        <x:v>87</x:v>
      </x:c>
      <x:c r="K86" s="85" t="n">
        <x:v>81</x:v>
      </x:c>
      <x:c r="L86" s="91" t="str">
        <x:v>エース / 山岳アシスト / 山岳番手</x:v>
      </x:c>
      <x:c r="M86" s="88" t="n">
        <x:v>7750</x:v>
      </x:c>
      <x:c r="N86" s="85" t="n">
        <x:v>62</x:v>
      </x:c>
      <x:c r="O86" s="85" t="n">
        <x:v>70</x:v>
      </x:c>
      <x:c r="P86" s="85" t="n">
        <x:v>74</x:v>
      </x:c>
      <x:c r="Q86" s="85" t="n">
        <x:v>68</x:v>
      </x:c>
      <x:c r="R86" s="85" t="n">
        <x:v>76</x:v>
      </x:c>
      <x:c r="S86" s="85" t="n">
        <x:v>73</x:v>
      </x:c>
      <x:c r="T86" s="85" t="n">
        <x:v>73</x:v>
      </x:c>
      <x:c r="U86" s="85" t="n">
        <x:v>67</x:v>
      </x:c>
      <x:c r="V86" s="85" t="n">
        <x:v>69</x:v>
      </x:c>
      <x:c r="W86" s="85" t="n">
        <x:v>50</x:v>
      </x:c>
      <x:c r="X86" s="85" t="n">
        <x:v>78</x:v>
      </x:c>
      <x:c r="Y86" s="85" t="n">
        <x:v>78</x:v>
      </x:c>
      <x:c r="Z86" s="85" t="n">
        <x:v>67</x:v>
      </x:c>
      <x:c r="AA86" s="85" t="n">
        <x:v>74</x:v>
      </x:c>
      <x:c r="AB86" s="85" t="n">
        <x:v>69</x:v>
      </x:c>
      <x:c r="AC86" s="91" t="str">
        <x:v>既存時代区分「近代」（WorldTeam名簿外）</x:v>
      </x:c>
      <x:c r="AD86" s="91" t="str">
        <x:v>https://en.wikipedia.org/wiki/Special:Search?search=Samuel%20Sanchez%20cyclist</x:v>
      </x:c>
      <x:c r="AE86" s="91" t="str">
        <x:v>能力・適性・Credit整合済</x:v>
      </x:c>
      <x:c r="AF86" s="91" t="str">
        <x:v>https://en.wikipedia.org/wiki/Special:Search?search=Samuel%20Sanchez%20cyclist</x:v>
      </x:c>
    </x:row>
    <x:row r="87" ht="26" customHeight="1">
      <x:c r="A87" s="82" t="n">
        <x:v>83</x:v>
      </x:c>
      <x:c r="B87" s="82" t="str">
        <x:v>Daniel Martin</x:v>
      </x:c>
      <x:c r="C87" s="143" t="str"/>
      <x:c r="D87" s="82" t="str">
        <x:v>アイルランド</x:v>
      </x:c>
      <x:c r="E87" s="82" t="str">
        <x:v>引退</x:v>
      </x:c>
      <x:c r="F87" s="82" t="str"/>
      <x:c r="G87" s="82" t="str">
        <x:v>引退確認済</x:v>
      </x:c>
      <x:c r="H87" s="82" t="str">
        <x:v>パンチャー</x:v>
      </x:c>
      <x:c r="I87" s="82" t="str">
        <x:v>クライマー</x:v>
      </x:c>
      <x:c r="J87" s="85" t="n">
        <x:v>87</x:v>
      </x:c>
      <x:c r="K87" s="85" t="n">
        <x:v>79</x:v>
      </x:c>
      <x:c r="L87" s="91" t="str">
        <x:v>エース / ステージハンター / 山岳賞ハンター</x:v>
      </x:c>
      <x:c r="M87" s="88" t="n">
        <x:v>7600</x:v>
      </x:c>
      <x:c r="N87" s="85" t="n">
        <x:v>69</x:v>
      </x:c>
      <x:c r="O87" s="85" t="n">
        <x:v>76</x:v>
      </x:c>
      <x:c r="P87" s="85" t="n">
        <x:v>81</x:v>
      </x:c>
      <x:c r="Q87" s="85" t="n">
        <x:v>66</x:v>
      </x:c>
      <x:c r="R87" s="85" t="n">
        <x:v>73</x:v>
      </x:c>
      <x:c r="S87" s="85" t="n">
        <x:v>65</x:v>
      </x:c>
      <x:c r="T87" s="85" t="n">
        <x:v>65</x:v>
      </x:c>
      <x:c r="U87" s="85" t="n">
        <x:v>72</x:v>
      </x:c>
      <x:c r="V87" s="85" t="n">
        <x:v>73</x:v>
      </x:c>
      <x:c r="W87" s="85" t="n">
        <x:v>50</x:v>
      </x:c>
      <x:c r="X87" s="85" t="n">
        <x:v>73</x:v>
      </x:c>
      <x:c r="Y87" s="85" t="n">
        <x:v>72</x:v>
      </x:c>
      <x:c r="Z87" s="85" t="n">
        <x:v>66</x:v>
      </x:c>
      <x:c r="AA87" s="85" t="n">
        <x:v>74</x:v>
      </x:c>
      <x:c r="AB87" s="85" t="n">
        <x:v>75</x:v>
      </x:c>
      <x:c r="AC87" s="91" t="str">
        <x:v>既存時代区分「近代」（WorldTeam名簿外）</x:v>
      </x:c>
      <x:c r="AD87" s="91" t="str">
        <x:v>https://en.wikipedia.org/wiki/Special:Search?search=Daniel%20Martin%20cyclist</x:v>
      </x:c>
      <x:c r="AE87" s="91" t="str">
        <x:v>能力・適性・Credit整合済</x:v>
      </x:c>
      <x:c r="AF87" s="91" t="str">
        <x:v>https://en.wikipedia.org/wiki/Special:Search?search=Daniel%20Martin%20cyclist</x:v>
      </x:c>
    </x:row>
    <x:row r="88" ht="26" customHeight="1">
      <x:c r="A88" s="82" t="n">
        <x:v>84</x:v>
      </x:c>
      <x:c r="B88" s="82" t="str">
        <x:v>Daniele Bennati</x:v>
      </x:c>
      <x:c r="C88" s="143" t="str"/>
      <x:c r="D88" s="82" t="str">
        <x:v>イタリア</x:v>
      </x:c>
      <x:c r="E88" s="82" t="str">
        <x:v>引退</x:v>
      </x:c>
      <x:c r="F88" s="82" t="str"/>
      <x:c r="G88" s="82" t="str">
        <x:v>引退確認済</x:v>
      </x:c>
      <x:c r="H88" s="82" t="str">
        <x:v>スプリンター</x:v>
      </x:c>
      <x:c r="I88" s="82" t="str">
        <x:v>クラシック型</x:v>
      </x:c>
      <x:c r="J88" s="85" t="n">
        <x:v>87</x:v>
      </x:c>
      <x:c r="K88" s="85" t="n">
        <x:v>78</x:v>
      </x:c>
      <x:c r="L88" s="91" t="str">
        <x:v>エース / リードアウト / 最終発射台 / 無賃乗車</x:v>
      </x:c>
      <x:c r="M88" s="88" t="n">
        <x:v>7350</x:v>
      </x:c>
      <x:c r="N88" s="85" t="n">
        <x:v>80</x:v>
      </x:c>
      <x:c r="O88" s="85" t="n">
        <x:v>79</x:v>
      </x:c>
      <x:c r="P88" s="85" t="n">
        <x:v>68</x:v>
      </x:c>
      <x:c r="Q88" s="85" t="n">
        <x:v>72</x:v>
      </x:c>
      <x:c r="R88" s="85" t="n">
        <x:v>58</x:v>
      </x:c>
      <x:c r="S88" s="85" t="n">
        <x:v>64</x:v>
      </x:c>
      <x:c r="T88" s="85" t="n">
        <x:v>65</x:v>
      </x:c>
      <x:c r="U88" s="85" t="n">
        <x:v>70</x:v>
      </x:c>
      <x:c r="V88" s="85" t="n">
        <x:v>71</x:v>
      </x:c>
      <x:c r="W88" s="85" t="n">
        <x:v>50</x:v>
      </x:c>
      <x:c r="X88" s="85" t="n">
        <x:v>69</x:v>
      </x:c>
      <x:c r="Y88" s="85" t="n">
        <x:v>69</x:v>
      </x:c>
      <x:c r="Z88" s="85" t="n">
        <x:v>67</x:v>
      </x:c>
      <x:c r="AA88" s="85" t="n">
        <x:v>75</x:v>
      </x:c>
      <x:c r="AB88" s="85" t="n">
        <x:v>67</x:v>
      </x:c>
      <x:c r="AC88" s="91" t="str">
        <x:v>既存時代区分「近代」（WorldTeam名簿外）</x:v>
      </x:c>
      <x:c r="AD88" s="91" t="str">
        <x:v>https://en.wikipedia.org/wiki/Special:Search?search=Daniele%20Bennati%20cyclist</x:v>
      </x:c>
      <x:c r="AE88" s="91" t="str">
        <x:v>能力・適性・Credit整合済</x:v>
      </x:c>
      <x:c r="AF88" s="91" t="str">
        <x:v>https://en.wikipedia.org/wiki/Special:Search?search=Daniele%20Bennati%20cyclist</x:v>
      </x:c>
    </x:row>
    <x:row r="89" ht="26" customHeight="1">
      <x:c r="A89" s="82" t="n">
        <x:v>85</x:v>
      </x:c>
      <x:c r="B89" s="82" t="str">
        <x:v>Magnus Backstedt</x:v>
      </x:c>
      <x:c r="C89" s="143" t="str">
        <x:v>北欧の巨人</x:v>
      </x:c>
      <x:c r="D89" s="82" t="str">
        <x:v>スウェーデン</x:v>
      </x:c>
      <x:c r="E89" s="82" t="str">
        <x:v>引退</x:v>
      </x:c>
      <x:c r="F89" s="82" t="str"/>
      <x:c r="G89" s="82" t="str">
        <x:v>引退確認済</x:v>
      </x:c>
      <x:c r="H89" s="82" t="str">
        <x:v>クラシック型</x:v>
      </x:c>
      <x:c r="I89" s="82" t="str">
        <x:v>TT・ルーラー型</x:v>
      </x:c>
      <x:c r="J89" s="85" t="n">
        <x:v>86</x:v>
      </x:c>
      <x:c r="K89" s="85" t="n">
        <x:v>85</x:v>
      </x:c>
      <x:c r="L89" s="91" t="str">
        <x:v>エース / 石畳護衛 / 横風要員 / 逃げ屋 / 横風分断</x:v>
      </x:c>
      <x:c r="M89" s="88" t="n">
        <x:v>9750</x:v>
      </x:c>
      <x:c r="N89" s="85" t="n">
        <x:v>74</x:v>
      </x:c>
      <x:c r="O89" s="85" t="n">
        <x:v>72</x:v>
      </x:c>
      <x:c r="P89" s="85" t="n">
        <x:v>75</x:v>
      </x:c>
      <x:c r="Q89" s="85" t="n">
        <x:v>75</x:v>
      </x:c>
      <x:c r="R89" s="85" t="n">
        <x:v>67</x:v>
      </x:c>
      <x:c r="S89" s="85" t="n">
        <x:v>74</x:v>
      </x:c>
      <x:c r="T89" s="85" t="n">
        <x:v>77</x:v>
      </x:c>
      <x:c r="U89" s="85" t="n">
        <x:v>78</x:v>
      </x:c>
      <x:c r="V89" s="85" t="n">
        <x:v>78</x:v>
      </x:c>
      <x:c r="W89" s="85" t="n">
        <x:v>81</x:v>
      </x:c>
      <x:c r="X89" s="85" t="n">
        <x:v>70</x:v>
      </x:c>
      <x:c r="Y89" s="85" t="n">
        <x:v>71</x:v>
      </x:c>
      <x:c r="Z89" s="85" t="n">
        <x:v>78</x:v>
      </x:c>
      <x:c r="AA89" s="85" t="n">
        <x:v>70</x:v>
      </x:c>
      <x:c r="AB89" s="85" t="n">
        <x:v>76</x:v>
      </x:c>
      <x:c r="AC89" s="91" t="str">
        <x:v>既存時代区分「近代」（WorldTeam名簿外）</x:v>
      </x:c>
      <x:c r="AD89" s="91" t="str">
        <x:v>https://en.wikipedia.org/wiki/Special:Search?search=Magnus%20Backstedt%20cyclist</x:v>
      </x:c>
      <x:c r="AE89" s="91" t="str">
        <x:v>能力・適性・Credit整合済</x:v>
      </x:c>
      <x:c r="AF89" s="91" t="str">
        <x:v>https://en.wikipedia.org/wiki/Special:Search?search=Magnus%20Backstedt%20cyclist</x:v>
      </x:c>
    </x:row>
    <x:row r="90" ht="26" customHeight="1">
      <x:c r="A90" s="82" t="n">
        <x:v>86</x:v>
      </x:c>
      <x:c r="B90" s="82" t="str">
        <x:v>Sonny Colbrelli</x:v>
      </x:c>
      <x:c r="C90" s="143" t="str">
        <x:v>泥雨の王</x:v>
      </x:c>
      <x:c r="D90" s="82" t="str">
        <x:v>イタリア</x:v>
      </x:c>
      <x:c r="E90" s="82" t="str">
        <x:v>引退</x:v>
      </x:c>
      <x:c r="F90" s="82" t="str"/>
      <x:c r="G90" s="82" t="str">
        <x:v>引退確認済</x:v>
      </x:c>
      <x:c r="H90" s="82" t="str">
        <x:v>クラシック型</x:v>
      </x:c>
      <x:c r="I90" s="82" t="str">
        <x:v>スプリンター</x:v>
      </x:c>
      <x:c r="J90" s="85" t="n">
        <x:v>86</x:v>
      </x:c>
      <x:c r="K90" s="85" t="n">
        <x:v>85</x:v>
      </x:c>
      <x:c r="L90" s="91" t="str">
        <x:v>エース / スプリントトレイン / 石畳護衛 / 下り牽引 / 横風要員</x:v>
      </x:c>
      <x:c r="M90" s="88" t="n">
        <x:v>9650</x:v>
      </x:c>
      <x:c r="N90" s="85" t="n">
        <x:v>76</x:v>
      </x:c>
      <x:c r="O90" s="85" t="n">
        <x:v>74</x:v>
      </x:c>
      <x:c r="P90" s="85" t="n">
        <x:v>75</x:v>
      </x:c>
      <x:c r="Q90" s="85" t="n">
        <x:v>74</x:v>
      </x:c>
      <x:c r="R90" s="85" t="n">
        <x:v>64</x:v>
      </x:c>
      <x:c r="S90" s="85" t="n">
        <x:v>72</x:v>
      </x:c>
      <x:c r="T90" s="85" t="n">
        <x:v>74</x:v>
      </x:c>
      <x:c r="U90" s="85" t="n">
        <x:v>78</x:v>
      </x:c>
      <x:c r="V90" s="85" t="n">
        <x:v>78</x:v>
      </x:c>
      <x:c r="W90" s="85" t="n">
        <x:v>80</x:v>
      </x:c>
      <x:c r="X90" s="85" t="n">
        <x:v>69</x:v>
      </x:c>
      <x:c r="Y90" s="85" t="n">
        <x:v>70</x:v>
      </x:c>
      <x:c r="Z90" s="85" t="n">
        <x:v>75</x:v>
      </x:c>
      <x:c r="AA90" s="85" t="n">
        <x:v>71</x:v>
      </x:c>
      <x:c r="AB90" s="85" t="n">
        <x:v>75</x:v>
      </x:c>
      <x:c r="AC90" s="91" t="str">
        <x:v>既存時代区分「近代」（WorldTeam名簿外）</x:v>
      </x:c>
      <x:c r="AD90" s="91" t="str">
        <x:v>https://en.wikipedia.org/wiki/Special:Search?search=Sonny%20Colbrelli%20cyclist</x:v>
      </x:c>
      <x:c r="AE90" s="91" t="str">
        <x:v>能力・適性・Credit整合済</x:v>
      </x:c>
      <x:c r="AF90" s="91" t="str">
        <x:v>https://en.wikipedia.org/wiki/Special:Search?search=Sonny%20Colbrelli%20cyclist</x:v>
      </x:c>
    </x:row>
    <x:row r="91" ht="26" customHeight="1">
      <x:c r="A91" s="82" t="n">
        <x:v>87</x:v>
      </x:c>
      <x:c r="B91" s="82" t="str">
        <x:v>Steffen Wesemann</x:v>
      </x:c>
      <x:c r="C91" s="143" t="str"/>
      <x:c r="D91" s="82" t="str">
        <x:v>ドイツ</x:v>
      </x:c>
      <x:c r="E91" s="82" t="str">
        <x:v>引退</x:v>
      </x:c>
      <x:c r="F91" s="82" t="str"/>
      <x:c r="G91" s="82" t="str">
        <x:v>引退確認済</x:v>
      </x:c>
      <x:c r="H91" s="82" t="str">
        <x:v>クラシック型</x:v>
      </x:c>
      <x:c r="I91" s="82" t="str">
        <x:v>TT・ルーラー型</x:v>
      </x:c>
      <x:c r="J91" s="85" t="n">
        <x:v>86</x:v>
      </x:c>
      <x:c r="K91" s="85" t="n">
        <x:v>85</x:v>
      </x:c>
      <x:c r="L91" s="91" t="str">
        <x:v>エース / 石畳護衛 / 逃げ屋</x:v>
      </x:c>
      <x:c r="M91" s="88" t="n">
        <x:v>9100</x:v>
      </x:c>
      <x:c r="N91" s="85" t="n">
        <x:v>74</x:v>
      </x:c>
      <x:c r="O91" s="85" t="n">
        <x:v>72</x:v>
      </x:c>
      <x:c r="P91" s="85" t="n">
        <x:v>76</x:v>
      </x:c>
      <x:c r="Q91" s="85" t="n">
        <x:v>75</x:v>
      </x:c>
      <x:c r="R91" s="85" t="n">
        <x:v>67</x:v>
      </x:c>
      <x:c r="S91" s="85" t="n">
        <x:v>75</x:v>
      </x:c>
      <x:c r="T91" s="85" t="n">
        <x:v>79</x:v>
      </x:c>
      <x:c r="U91" s="85" t="n">
        <x:v>78</x:v>
      </x:c>
      <x:c r="V91" s="85" t="n">
        <x:v>81</x:v>
      </x:c>
      <x:c r="W91" s="85" t="n">
        <x:v>76</x:v>
      </x:c>
      <x:c r="X91" s="85" t="n">
        <x:v>70</x:v>
      </x:c>
      <x:c r="Y91" s="85" t="n">
        <x:v>70</x:v>
      </x:c>
      <x:c r="Z91" s="85" t="n">
        <x:v>78</x:v>
      </x:c>
      <x:c r="AA91" s="85" t="n">
        <x:v>70</x:v>
      </x:c>
      <x:c r="AB91" s="85" t="n">
        <x:v>77</x:v>
      </x:c>
      <x:c r="AC91" s="91" t="str">
        <x:v>既存時代区分「近代」（WorldTeam名簿外）</x:v>
      </x:c>
      <x:c r="AD91" s="91" t="str">
        <x:v>https://en.wikipedia.org/wiki/Special:Search?search=Steffen%20Wesemann%20cyclist</x:v>
      </x:c>
      <x:c r="AE91" s="91" t="str">
        <x:v>能力・適性・Credit整合済</x:v>
      </x:c>
      <x:c r="AF91" s="91" t="str">
        <x:v>https://en.wikipedia.org/wiki/Special:Search?search=Steffen%20Wesemann%20cyclist</x:v>
      </x:c>
    </x:row>
    <x:row r="92" ht="26" customHeight="1">
      <x:c r="A92" s="82" t="n">
        <x:v>88</x:v>
      </x:c>
      <x:c r="B92" s="82" t="str">
        <x:v>Oscar Pereiro</x:v>
      </x:c>
      <x:c r="C92" s="143" t="str"/>
      <x:c r="D92" s="82" t="str">
        <x:v>スペイン</x:v>
      </x:c>
      <x:c r="E92" s="82" t="str">
        <x:v>引退</x:v>
      </x:c>
      <x:c r="F92" s="82" t="str"/>
      <x:c r="G92" s="82" t="str">
        <x:v>引退確認済</x:v>
      </x:c>
      <x:c r="H92" s="82" t="str">
        <x:v>総合型</x:v>
      </x:c>
      <x:c r="I92" s="82" t="str">
        <x:v>TT・ルーラー型</x:v>
      </x:c>
      <x:c r="J92" s="85" t="n">
        <x:v>86</x:v>
      </x:c>
      <x:c r="K92" s="85" t="n">
        <x:v>82</x:v>
      </x:c>
      <x:c r="L92" s="91" t="str">
        <x:v>エース / 山岳アシスト</x:v>
      </x:c>
      <x:c r="M92" s="88" t="n">
        <x:v>8000</x:v>
      </x:c>
      <x:c r="N92" s="85" t="n">
        <x:v>61</x:v>
      </x:c>
      <x:c r="O92" s="85" t="n">
        <x:v>67</x:v>
      </x:c>
      <x:c r="P92" s="85" t="n">
        <x:v>71</x:v>
      </x:c>
      <x:c r="Q92" s="85" t="n">
        <x:v>70</x:v>
      </x:c>
      <x:c r="R92" s="85" t="n">
        <x:v>76</x:v>
      </x:c>
      <x:c r="S92" s="85" t="n">
        <x:v>78</x:v>
      </x:c>
      <x:c r="T92" s="85" t="n">
        <x:v>76</x:v>
      </x:c>
      <x:c r="U92" s="85" t="n">
        <x:v>67</x:v>
      </x:c>
      <x:c r="V92" s="85" t="n">
        <x:v>69</x:v>
      </x:c>
      <x:c r="W92" s="85" t="n">
        <x:v>50</x:v>
      </x:c>
      <x:c r="X92" s="85" t="n">
        <x:v>78</x:v>
      </x:c>
      <x:c r="Y92" s="85" t="n">
        <x:v>79</x:v>
      </x:c>
      <x:c r="Z92" s="85" t="n">
        <x:v>69</x:v>
      </x:c>
      <x:c r="AA92" s="85" t="n">
        <x:v>73</x:v>
      </x:c>
      <x:c r="AB92" s="85" t="n">
        <x:v>69</x:v>
      </x:c>
      <x:c r="AC92" s="91" t="str">
        <x:v>既存時代区分「近代」（WorldTeam名簿外）</x:v>
      </x:c>
      <x:c r="AD92" s="91" t="str">
        <x:v>https://en.wikipedia.org/wiki/Special:Search?search=Oscar%20Pereiro%20cyclist</x:v>
      </x:c>
      <x:c r="AE92" s="91" t="str">
        <x:v>能力・適性・Credit整合済</x:v>
      </x:c>
      <x:c r="AF92" s="91" t="str">
        <x:v>https://en.wikipedia.org/wiki/Special:Search?search=Oscar%20Pereiro%20cyclist</x:v>
      </x:c>
    </x:row>
    <x:row r="93" ht="26" customHeight="1">
      <x:c r="A93" s="82" t="n">
        <x:v>89</x:v>
      </x:c>
      <x:c r="B93" s="82" t="str">
        <x:v>Jose Rujano</x:v>
      </x:c>
      <x:c r="C93" s="143" t="str"/>
      <x:c r="D93" s="82" t="str">
        <x:v>ベネズエラ</x:v>
      </x:c>
      <x:c r="E93" s="82" t="str">
        <x:v>引退</x:v>
      </x:c>
      <x:c r="F93" s="82" t="str"/>
      <x:c r="G93" s="82" t="str">
        <x:v>引退確認済</x:v>
      </x:c>
      <x:c r="H93" s="82" t="str">
        <x:v>クライマー</x:v>
      </x:c>
      <x:c r="I93" s="82" t="str">
        <x:v>パンチャー</x:v>
      </x:c>
      <x:c r="J93" s="85" t="n">
        <x:v>86</x:v>
      </x:c>
      <x:c r="K93" s="85" t="n">
        <x:v>80</x:v>
      </x:c>
      <x:c r="L93" s="91" t="str">
        <x:v>エース / 山岳アシスト / 山岳ペースメーカー</x:v>
      </x:c>
      <x:c r="M93" s="88" t="n">
        <x:v>7700</x:v>
      </x:c>
      <x:c r="N93" s="85" t="n">
        <x:v>60</x:v>
      </x:c>
      <x:c r="O93" s="85" t="n">
        <x:v>70</x:v>
      </x:c>
      <x:c r="P93" s="85" t="n">
        <x:v>71</x:v>
      </x:c>
      <x:c r="Q93" s="85" t="n">
        <x:v>64</x:v>
      </x:c>
      <x:c r="R93" s="85" t="n">
        <x:v>78</x:v>
      </x:c>
      <x:c r="S93" s="85" t="n">
        <x:v>73</x:v>
      </x:c>
      <x:c r="T93" s="85" t="n">
        <x:v>71</x:v>
      </x:c>
      <x:c r="U93" s="85" t="n">
        <x:v>65</x:v>
      </x:c>
      <x:c r="V93" s="85" t="n">
        <x:v>68</x:v>
      </x:c>
      <x:c r="W93" s="85" t="n">
        <x:v>50</x:v>
      </x:c>
      <x:c r="X93" s="85" t="n">
        <x:v>76</x:v>
      </x:c>
      <x:c r="Y93" s="85" t="n">
        <x:v>76</x:v>
      </x:c>
      <x:c r="Z93" s="85" t="n">
        <x:v>71</x:v>
      </x:c>
      <x:c r="AA93" s="85" t="n">
        <x:v>71</x:v>
      </x:c>
      <x:c r="AB93" s="85" t="n">
        <x:v>75</x:v>
      </x:c>
      <x:c r="AC93" s="91" t="str">
        <x:v>既存時代区分「近代」（WorldTeam名簿外）</x:v>
      </x:c>
      <x:c r="AD93" s="91" t="str">
        <x:v>https://en.wikipedia.org/wiki/Special:Search?search=Jose%20Rujano%20cyclist</x:v>
      </x:c>
      <x:c r="AE93" s="91" t="str">
        <x:v>能力・適性・Credit整合済</x:v>
      </x:c>
      <x:c r="AF93" s="91" t="str">
        <x:v>https://en.wikipedia.org/wiki/Special:Search?search=Jose%20Rujano%20cyclist</x:v>
      </x:c>
    </x:row>
    <x:row r="94" ht="26" customHeight="1">
      <x:c r="A94" s="82" t="n">
        <x:v>90</x:v>
      </x:c>
      <x:c r="B94" s="82" t="str">
        <x:v>Ryder Hesjedal</x:v>
      </x:c>
      <x:c r="C94" s="143" t="str"/>
      <x:c r="D94" s="82" t="str">
        <x:v>カナダ</x:v>
      </x:c>
      <x:c r="E94" s="82" t="str">
        <x:v>引退</x:v>
      </x:c>
      <x:c r="F94" s="82" t="str"/>
      <x:c r="G94" s="82" t="str">
        <x:v>引退確認済</x:v>
      </x:c>
      <x:c r="H94" s="82" t="str">
        <x:v>総合型</x:v>
      </x:c>
      <x:c r="I94" s="82" t="str">
        <x:v>TT・ルーラー型</x:v>
      </x:c>
      <x:c r="J94" s="85" t="n">
        <x:v>86</x:v>
      </x:c>
      <x:c r="K94" s="85" t="n">
        <x:v>82</x:v>
      </x:c>
      <x:c r="L94" s="91" t="str">
        <x:v>エース / 山岳アシスト</x:v>
      </x:c>
      <x:c r="M94" s="88" t="n">
        <x:v>7550</x:v>
      </x:c>
      <x:c r="N94" s="85" t="n">
        <x:v>61</x:v>
      </x:c>
      <x:c r="O94" s="85" t="n">
        <x:v>67</x:v>
      </x:c>
      <x:c r="P94" s="85" t="n">
        <x:v>71</x:v>
      </x:c>
      <x:c r="Q94" s="85" t="n">
        <x:v>69</x:v>
      </x:c>
      <x:c r="R94" s="85" t="n">
        <x:v>76</x:v>
      </x:c>
      <x:c r="S94" s="85" t="n">
        <x:v>76</x:v>
      </x:c>
      <x:c r="T94" s="85" t="n">
        <x:v>72</x:v>
      </x:c>
      <x:c r="U94" s="85" t="n">
        <x:v>67</x:v>
      </x:c>
      <x:c r="V94" s="85" t="n">
        <x:v>68</x:v>
      </x:c>
      <x:c r="W94" s="85" t="n">
        <x:v>50</x:v>
      </x:c>
      <x:c r="X94" s="85" t="n">
        <x:v>78</x:v>
      </x:c>
      <x:c r="Y94" s="85" t="n">
        <x:v>78</x:v>
      </x:c>
      <x:c r="Z94" s="85" t="n">
        <x:v>69</x:v>
      </x:c>
      <x:c r="AA94" s="85" t="n">
        <x:v>73</x:v>
      </x:c>
      <x:c r="AB94" s="85" t="n">
        <x:v>68</x:v>
      </x:c>
      <x:c r="AC94" s="91" t="str">
        <x:v>既存時代区分「近代」（WorldTeam名簿外）</x:v>
      </x:c>
      <x:c r="AD94" s="91" t="str">
        <x:v>https://en.wikipedia.org/wiki/Special:Search?search=Ryder%20Hesjedal%20cyclist</x:v>
      </x:c>
      <x:c r="AE94" s="91" t="str">
        <x:v>能力・適性・Credit整合済</x:v>
      </x:c>
      <x:c r="AF94" s="91" t="str">
        <x:v>https://en.wikipedia.org/wiki/Special:Search?search=Ryder%20Hesjedal%20cyclist</x:v>
      </x:c>
    </x:row>
    <x:row r="95" ht="26" customHeight="1">
      <x:c r="A95" s="82" t="n">
        <x:v>91</x:v>
      </x:c>
      <x:c r="B95" s="82" t="str">
        <x:v>Michael Albasini</x:v>
      </x:c>
      <x:c r="C95" s="143" t="str"/>
      <x:c r="D95" s="82" t="str">
        <x:v>スイス</x:v>
      </x:c>
      <x:c r="E95" s="82" t="str">
        <x:v>引退</x:v>
      </x:c>
      <x:c r="F95" s="82" t="str"/>
      <x:c r="G95" s="82" t="str">
        <x:v>引退確認済</x:v>
      </x:c>
      <x:c r="H95" s="82" t="str">
        <x:v>パンチャー</x:v>
      </x:c>
      <x:c r="I95" s="82" t="str">
        <x:v>スプリンター</x:v>
      </x:c>
      <x:c r="J95" s="85" t="n">
        <x:v>86</x:v>
      </x:c>
      <x:c r="K95" s="85" t="n">
        <x:v>80</x:v>
      </x:c>
      <x:c r="L95" s="91" t="str">
        <x:v>エース / ステージハンター / スプリントトレイン</x:v>
      </x:c>
      <x:c r="M95" s="88" t="n">
        <x:v>7050</x:v>
      </x:c>
      <x:c r="N95" s="85" t="n">
        <x:v>75</x:v>
      </x:c>
      <x:c r="O95" s="85" t="n">
        <x:v>79</x:v>
      </x:c>
      <x:c r="P95" s="85" t="n">
        <x:v>78</x:v>
      </x:c>
      <x:c r="Q95" s="85" t="n">
        <x:v>67</x:v>
      </x:c>
      <x:c r="R95" s="85" t="n">
        <x:v>72</x:v>
      </x:c>
      <x:c r="S95" s="85" t="n">
        <x:v>64</x:v>
      </x:c>
      <x:c r="T95" s="85" t="n">
        <x:v>63</x:v>
      </x:c>
      <x:c r="U95" s="85" t="n">
        <x:v>72</x:v>
      </x:c>
      <x:c r="V95" s="85" t="n">
        <x:v>73</x:v>
      </x:c>
      <x:c r="W95" s="85" t="n">
        <x:v>50</x:v>
      </x:c>
      <x:c r="X95" s="85" t="n">
        <x:v>69</x:v>
      </x:c>
      <x:c r="Y95" s="85" t="n">
        <x:v>69</x:v>
      </x:c>
      <x:c r="Z95" s="85" t="n">
        <x:v>64</x:v>
      </x:c>
      <x:c r="AA95" s="85" t="n">
        <x:v>74</x:v>
      </x:c>
      <x:c r="AB95" s="85" t="n">
        <x:v>75</x:v>
      </x:c>
      <x:c r="AC95" s="91" t="str">
        <x:v>既存時代区分「近代」（WorldTeam名簿外）</x:v>
      </x:c>
      <x:c r="AD95" s="91" t="str">
        <x:v>https://en.wikipedia.org/wiki/Special:Search?search=Michael%20Albasini%20cyclist</x:v>
      </x:c>
      <x:c r="AE95" s="91" t="str">
        <x:v>能力・適性・Credit整合済</x:v>
      </x:c>
      <x:c r="AF95" s="91" t="str">
        <x:v>https://en.wikipedia.org/wiki/Special:Search?search=Michael%20Albasini%20cyclist</x:v>
      </x:c>
    </x:row>
    <x:row r="96" ht="26" customHeight="1">
      <x:c r="A96" s="82" t="n">
        <x:v>92</x:v>
      </x:c>
      <x:c r="B96" s="82" t="str">
        <x:v>Richard Virenque</x:v>
      </x:c>
      <x:c r="C96" s="143" t="str"/>
      <x:c r="D96" s="82" t="str">
        <x:v>フランス</x:v>
      </x:c>
      <x:c r="E96" s="82" t="str">
        <x:v>引退</x:v>
      </x:c>
      <x:c r="F96" s="82" t="str"/>
      <x:c r="G96" s="82" t="str">
        <x:v>引退確認済</x:v>
      </x:c>
      <x:c r="H96" s="82" t="str">
        <x:v>クライマー</x:v>
      </x:c>
      <x:c r="I96" s="82" t="str">
        <x:v>パンチャー</x:v>
      </x:c>
      <x:c r="J96" s="85" t="n">
        <x:v>85</x:v>
      </x:c>
      <x:c r="K96" s="85" t="n">
        <x:v>72</x:v>
      </x:c>
      <x:c r="L96" s="91" t="str">
        <x:v>エース / 山岳アシスト / 山岳ペースメーカー</x:v>
      </x:c>
      <x:c r="M96" s="88" t="n">
        <x:v>8650</x:v>
      </x:c>
      <x:c r="N96" s="85" t="n">
        <x:v>59</x:v>
      </x:c>
      <x:c r="O96" s="85" t="n">
        <x:v>71</x:v>
      </x:c>
      <x:c r="P96" s="85" t="n">
        <x:v>72</x:v>
      </x:c>
      <x:c r="Q96" s="85" t="n">
        <x:v>64</x:v>
      </x:c>
      <x:c r="R96" s="85" t="n">
        <x:v>80</x:v>
      </x:c>
      <x:c r="S96" s="85" t="n">
        <x:v>76</x:v>
      </x:c>
      <x:c r="T96" s="85" t="n">
        <x:v>76</x:v>
      </x:c>
      <x:c r="U96" s="85" t="n">
        <x:v>66</x:v>
      </x:c>
      <x:c r="V96" s="85" t="n">
        <x:v>68</x:v>
      </x:c>
      <x:c r="W96" s="85" t="n">
        <x:v>50</x:v>
      </x:c>
      <x:c r="X96" s="85" t="n">
        <x:v>76</x:v>
      </x:c>
      <x:c r="Y96" s="85" t="n">
        <x:v>76</x:v>
      </x:c>
      <x:c r="Z96" s="85" t="n">
        <x:v>70</x:v>
      </x:c>
      <x:c r="AA96" s="85" t="n">
        <x:v>71</x:v>
      </x:c>
      <x:c r="AB96" s="85" t="n">
        <x:v>76</x:v>
      </x:c>
      <x:c r="AC96" s="91" t="str">
        <x:v>既存時代区分「近代」（WorldTeam名簿外）</x:v>
      </x:c>
      <x:c r="AD96" s="91" t="str">
        <x:v>https://en.wikipedia.org/wiki/Special:Search?search=Richard%20Virenque%20cyclist</x:v>
      </x:c>
      <x:c r="AE96" s="91" t="str">
        <x:v>能力・適性・Credit整合済</x:v>
      </x:c>
      <x:c r="AF96" s="91" t="str">
        <x:v>https://en.wikipedia.org/wiki/Special:Search?search=Richard%20Virenque%20cyclist</x:v>
      </x:c>
    </x:row>
    <x:row r="97" ht="26" customHeight="1">
      <x:c r="A97" s="82" t="n">
        <x:v>93</x:v>
      </x:c>
      <x:c r="B97" s="82" t="str">
        <x:v>Iban Mayo</x:v>
      </x:c>
      <x:c r="C97" s="143" t="str"/>
      <x:c r="D97" s="82" t="str">
        <x:v>スペイン</x:v>
      </x:c>
      <x:c r="E97" s="82" t="str">
        <x:v>引退</x:v>
      </x:c>
      <x:c r="F97" s="82" t="str"/>
      <x:c r="G97" s="82" t="str">
        <x:v>引退確認済</x:v>
      </x:c>
      <x:c r="H97" s="82" t="str">
        <x:v>クライマー</x:v>
      </x:c>
      <x:c r="I97" s="82" t="str">
        <x:v>パンチャー</x:v>
      </x:c>
      <x:c r="J97" s="85" t="n">
        <x:v>85</x:v>
      </x:c>
      <x:c r="K97" s="85" t="n">
        <x:v>81</x:v>
      </x:c>
      <x:c r="L97" s="91" t="str">
        <x:v>エース / 山岳アシスト / 山岳ペースメーカー</x:v>
      </x:c>
      <x:c r="M97" s="88" t="n">
        <x:v>7450</x:v>
      </x:c>
      <x:c r="N97" s="85" t="n">
        <x:v>60</x:v>
      </x:c>
      <x:c r="O97" s="85" t="n">
        <x:v>70</x:v>
      </x:c>
      <x:c r="P97" s="85" t="n">
        <x:v>72</x:v>
      </x:c>
      <x:c r="Q97" s="85" t="n">
        <x:v>63</x:v>
      </x:c>
      <x:c r="R97" s="85" t="n">
        <x:v>77</x:v>
      </x:c>
      <x:c r="S97" s="85" t="n">
        <x:v>73</x:v>
      </x:c>
      <x:c r="T97" s="85" t="n">
        <x:v>71</x:v>
      </x:c>
      <x:c r="U97" s="85" t="n">
        <x:v>65</x:v>
      </x:c>
      <x:c r="V97" s="85" t="n">
        <x:v>67</x:v>
      </x:c>
      <x:c r="W97" s="85" t="n">
        <x:v>50</x:v>
      </x:c>
      <x:c r="X97" s="85" t="n">
        <x:v>76</x:v>
      </x:c>
      <x:c r="Y97" s="85" t="n">
        <x:v>76</x:v>
      </x:c>
      <x:c r="Z97" s="85" t="n">
        <x:v>71</x:v>
      </x:c>
      <x:c r="AA97" s="85" t="n">
        <x:v>71</x:v>
      </x:c>
      <x:c r="AB97" s="85" t="n">
        <x:v>74</x:v>
      </x:c>
      <x:c r="AC97" s="91" t="str">
        <x:v>既存時代区分「近代」（WorldTeam名簿外）</x:v>
      </x:c>
      <x:c r="AD97" s="91" t="str">
        <x:v>https://en.wikipedia.org/wiki/Special:Search?search=Iban%20Mayo%20cyclist</x:v>
      </x:c>
      <x:c r="AE97" s="91" t="str">
        <x:v>能力・適性・Credit整合済</x:v>
      </x:c>
      <x:c r="AF97" s="91" t="str">
        <x:v>https://en.wikipedia.org/wiki/Special:Search?search=Iban%20Mayo%20cyclist</x:v>
      </x:c>
    </x:row>
    <x:row r="98" ht="26" customHeight="1">
      <x:c r="A98" s="82" t="n">
        <x:v>94</x:v>
      </x:c>
      <x:c r="B98" s="82" t="str">
        <x:v>Derek Gee</x:v>
      </x:c>
      <x:c r="C98" s="143" t="str"/>
      <x:c r="D98" s="82" t="str">
        <x:v>カナダ</x:v>
      </x:c>
      <x:c r="E98" s="82" t="str">
        <x:v>引退</x:v>
      </x:c>
      <x:c r="F98" s="82" t="str"/>
      <x:c r="G98" s="82" t="str">
        <x:v>引退確認済</x:v>
      </x:c>
      <x:c r="H98" s="82" t="str">
        <x:v>TT・ルーラー型</x:v>
      </x:c>
      <x:c r="I98" s="82" t="str">
        <x:v>総合型</x:v>
      </x:c>
      <x:c r="J98" s="85" t="n">
        <x:v>83</x:v>
      </x:c>
      <x:c r="K98" s="85" t="n">
        <x:v>87</x:v>
      </x:c>
      <x:c r="L98" s="91" t="str">
        <x:v>サブエース / 平坦ペースメーカー / TT牽引 / 集団コントローラー / ブレイクアウェイキラー</x:v>
      </x:c>
      <x:c r="M98" s="88" t="n">
        <x:v>7850</x:v>
      </x:c>
      <x:c r="N98" s="85" t="n">
        <x:v>65</x:v>
      </x:c>
      <x:c r="O98" s="85" t="n">
        <x:v>66</x:v>
      </x:c>
      <x:c r="P98" s="85" t="n">
        <x:v>66</x:v>
      </x:c>
      <x:c r="Q98" s="85" t="n">
        <x:v>81</x:v>
      </x:c>
      <x:c r="R98" s="85" t="n">
        <x:v>72</x:v>
      </x:c>
      <x:c r="S98" s="85" t="n">
        <x:v>74</x:v>
      </x:c>
      <x:c r="T98" s="85" t="n">
        <x:v>75</x:v>
      </x:c>
      <x:c r="U98" s="85" t="n">
        <x:v>76</x:v>
      </x:c>
      <x:c r="V98" s="85" t="n">
        <x:v>68</x:v>
      </x:c>
      <x:c r="W98" s="85" t="n">
        <x:v>50</x:v>
      </x:c>
      <x:c r="X98" s="85" t="n">
        <x:v>71</x:v>
      </x:c>
      <x:c r="Y98" s="85" t="n">
        <x:v>71</x:v>
      </x:c>
      <x:c r="Z98" s="85" t="n">
        <x:v>80</x:v>
      </x:c>
      <x:c r="AA98" s="85" t="n">
        <x:v>69</x:v>
      </x:c>
      <x:c r="AB98" s="85" t="n">
        <x:v>66</x:v>
      </x:c>
      <x:c r="AC98" s="91" t="str">
        <x:v>既存時代区分「近代」（WorldTeam名簿外）</x:v>
      </x:c>
      <x:c r="AD98" s="91" t="str">
        <x:v>https://en.wikipedia.org/wiki/Special:Search?search=Derek%20Gee%20cyclist</x:v>
      </x:c>
      <x:c r="AE98" s="91" t="str">
        <x:v>能力・適性・Credit整合済</x:v>
      </x:c>
      <x:c r="AF98" s="91" t="str">
        <x:v>https://en.wikipedia.org/wiki/Special:Search?search=Derek%20Gee%20cyclist</x:v>
      </x:c>
    </x:row>
    <x:row r="99" ht="26" customHeight="1">
      <x:c r="A99" s="82" t="n">
        <x:v>95</x:v>
      </x:c>
      <x:c r="B99" s="82" t="str">
        <x:v>Gustav Erik Larsson</x:v>
      </x:c>
      <x:c r="C99" s="143" t="str"/>
      <x:c r="D99" s="82" t="str">
        <x:v>スウェーデン</x:v>
      </x:c>
      <x:c r="E99" s="82" t="str">
        <x:v>引退</x:v>
      </x:c>
      <x:c r="F99" s="82" t="str"/>
      <x:c r="G99" s="82" t="str">
        <x:v>引退確認済</x:v>
      </x:c>
      <x:c r="H99" s="82" t="str">
        <x:v>TT・ルーラー型</x:v>
      </x:c>
      <x:c r="I99" s="82" t="str">
        <x:v>クラシック型</x:v>
      </x:c>
      <x:c r="J99" s="85" t="n">
        <x:v>82</x:v>
      </x:c>
      <x:c r="K99" s="85" t="n">
        <x:v>88</x:v>
      </x:c>
      <x:c r="L99" s="91" t="str">
        <x:v>サブエース / スーパー・ドメスティーク / 平坦ペースメーカー / TT牽引 / ブレイクアウェイキラー / ポジションキーパー</x:v>
      </x:c>
      <x:c r="M99" s="88" t="n">
        <x:v>8900</x:v>
      </x:c>
      <x:c r="N99" s="85" t="n">
        <x:v>69</x:v>
      </x:c>
      <x:c r="O99" s="85" t="n">
        <x:v>66</x:v>
      </x:c>
      <x:c r="P99" s="85" t="n">
        <x:v>66</x:v>
      </x:c>
      <x:c r="Q99" s="85" t="n">
        <x:v>83</x:v>
      </x:c>
      <x:c r="R99" s="85" t="n">
        <x:v>69</x:v>
      </x:c>
      <x:c r="S99" s="85" t="n">
        <x:v>73</x:v>
      </x:c>
      <x:c r="T99" s="85" t="n">
        <x:v>72</x:v>
      </x:c>
      <x:c r="U99" s="85" t="n">
        <x:v>78</x:v>
      </x:c>
      <x:c r="V99" s="85" t="n">
        <x:v>69</x:v>
      </x:c>
      <x:c r="W99" s="85" t="n">
        <x:v>50</x:v>
      </x:c>
      <x:c r="X99" s="85" t="n">
        <x:v>68</x:v>
      </x:c>
      <x:c r="Y99" s="85" t="n">
        <x:v>69</x:v>
      </x:c>
      <x:c r="Z99" s="85" t="n">
        <x:v>81</x:v>
      </x:c>
      <x:c r="AA99" s="85" t="n">
        <x:v>69</x:v>
      </x:c>
      <x:c r="AB99" s="85" t="n">
        <x:v>66</x:v>
      </x:c>
      <x:c r="AC99" s="91" t="str">
        <x:v>既存時代区分「近代」（WorldTeam名簿外）</x:v>
      </x:c>
      <x:c r="AD99" s="91" t="str">
        <x:v>https://en.wikipedia.org/wiki/Special:Search?search=Gustav%20Erik%20Larsson%20cyclist</x:v>
      </x:c>
      <x:c r="AE99" s="91" t="str">
        <x:v>能力・適性・Credit整合済</x:v>
      </x:c>
      <x:c r="AF99" s="91" t="str">
        <x:v>https://en.wikipedia.org/wiki/Special:Search?search=Gustav%20Erik%20Larsson%20cyclist</x:v>
      </x:c>
    </x:row>
    <x:row r="100" ht="26" customHeight="1">
      <x:c r="A100" s="82" t="n">
        <x:v>96</x:v>
      </x:c>
      <x:c r="B100" s="82" t="str">
        <x:v>David Zabriskie</x:v>
      </x:c>
      <x:c r="C100" s="143" t="str"/>
      <x:c r="D100" s="82" t="str">
        <x:v>アメリカ</x:v>
      </x:c>
      <x:c r="E100" s="82" t="str">
        <x:v>引退</x:v>
      </x:c>
      <x:c r="F100" s="82" t="str"/>
      <x:c r="G100" s="82" t="str">
        <x:v>引退確認済</x:v>
      </x:c>
      <x:c r="H100" s="82" t="str">
        <x:v>TT・ルーラー型</x:v>
      </x:c>
      <x:c r="I100" s="82" t="str">
        <x:v>総合型</x:v>
      </x:c>
      <x:c r="J100" s="85" t="n">
        <x:v>81</x:v>
      </x:c>
      <x:c r="K100" s="85" t="n">
        <x:v>89</x:v>
      </x:c>
      <x:c r="L100" s="91" t="str">
        <x:v>サブエース / スーパー・ドメスティーク / TTスペシャリスト / 集団コントローラー / ブレイクアウェイキラー</x:v>
      </x:c>
      <x:c r="M100" s="88" t="n">
        <x:v>8950</x:v>
      </x:c>
      <x:c r="N100" s="85" t="n">
        <x:v>65</x:v>
      </x:c>
      <x:c r="O100" s="85" t="n">
        <x:v>66</x:v>
      </x:c>
      <x:c r="P100" s="85" t="n">
        <x:v>66</x:v>
      </x:c>
      <x:c r="Q100" s="85" t="n">
        <x:v>82</x:v>
      </x:c>
      <x:c r="R100" s="85" t="n">
        <x:v>72</x:v>
      </x:c>
      <x:c r="S100" s="85" t="n">
        <x:v>73</x:v>
      </x:c>
      <x:c r="T100" s="85" t="n">
        <x:v>72</x:v>
      </x:c>
      <x:c r="U100" s="85" t="n">
        <x:v>77</x:v>
      </x:c>
      <x:c r="V100" s="85" t="n">
        <x:v>67</x:v>
      </x:c>
      <x:c r="W100" s="85" t="n">
        <x:v>50</x:v>
      </x:c>
      <x:c r="X100" s="85" t="n">
        <x:v>70</x:v>
      </x:c>
      <x:c r="Y100" s="85" t="n">
        <x:v>70</x:v>
      </x:c>
      <x:c r="Z100" s="85" t="n">
        <x:v>81</x:v>
      </x:c>
      <x:c r="AA100" s="85" t="n">
        <x:v>68</x:v>
      </x:c>
      <x:c r="AB100" s="85" t="n">
        <x:v>66</x:v>
      </x:c>
      <x:c r="AC100" s="91" t="str">
        <x:v>既存時代区分「近代」（WorldTeam名簿外）</x:v>
      </x:c>
      <x:c r="AD100" s="91" t="str">
        <x:v>https://en.wikipedia.org/wiki/Special:Search?search=David%20Zabriskie%20cyclist</x:v>
      </x:c>
      <x:c r="AE100" s="91" t="str">
        <x:v>能力・適性・Credit整合済</x:v>
      </x:c>
      <x:c r="AF100" s="91" t="str">
        <x:v>https://en.wikipedia.org/wiki/Special:Search?search=David%20Zabriskie%20cyclist</x:v>
      </x:c>
    </x:row>
    <x:row r="101" ht="26" customHeight="1">
      <x:c r="A101" s="82" t="n">
        <x:v>97</x:v>
      </x:c>
      <x:c r="B101" s="82" t="str">
        <x:v>Tobias Ludvigsson</x:v>
      </x:c>
      <x:c r="C101" s="143" t="str"/>
      <x:c r="D101" s="82" t="str">
        <x:v>スウェーデン</x:v>
      </x:c>
      <x:c r="E101" s="82" t="str">
        <x:v>引退</x:v>
      </x:c>
      <x:c r="F101" s="82" t="str"/>
      <x:c r="G101" s="82" t="str">
        <x:v>引退確認済</x:v>
      </x:c>
      <x:c r="H101" s="82" t="str">
        <x:v>TT・ルーラー型</x:v>
      </x:c>
      <x:c r="I101" s="82" t="str">
        <x:v>総合型</x:v>
      </x:c>
      <x:c r="J101" s="85" t="n">
        <x:v>80</x:v>
      </x:c>
      <x:c r="K101" s="85" t="n">
        <x:v>90</x:v>
      </x:c>
      <x:c r="L101" s="91" t="str">
        <x:v>サブエース / スーパー・ドメスティーク / 平坦アシスト / TT牽引 / 集団コントローラー / ブレイクアウェイキラー</x:v>
      </x:c>
      <x:c r="M101" s="88" t="n">
        <x:v>7300</x:v>
      </x:c>
      <x:c r="N101" s="85" t="n">
        <x:v>65</x:v>
      </x:c>
      <x:c r="O101" s="85" t="n">
        <x:v>66</x:v>
      </x:c>
      <x:c r="P101" s="85" t="n">
        <x:v>66</x:v>
      </x:c>
      <x:c r="Q101" s="85" t="n">
        <x:v>82</x:v>
      </x:c>
      <x:c r="R101" s="85" t="n">
        <x:v>72</x:v>
      </x:c>
      <x:c r="S101" s="85" t="n">
        <x:v>74</x:v>
      </x:c>
      <x:c r="T101" s="85" t="n">
        <x:v>75</x:v>
      </x:c>
      <x:c r="U101" s="85" t="n">
        <x:v>76</x:v>
      </x:c>
      <x:c r="V101" s="85" t="n">
        <x:v>67</x:v>
      </x:c>
      <x:c r="W101" s="85" t="n">
        <x:v>50</x:v>
      </x:c>
      <x:c r="X101" s="85" t="n">
        <x:v>70</x:v>
      </x:c>
      <x:c r="Y101" s="85" t="n">
        <x:v>70</x:v>
      </x:c>
      <x:c r="Z101" s="85" t="n">
        <x:v>81</x:v>
      </x:c>
      <x:c r="AA101" s="85" t="n">
        <x:v>68</x:v>
      </x:c>
      <x:c r="AB101" s="85" t="n">
        <x:v>66</x:v>
      </x:c>
      <x:c r="AC101" s="91" t="str">
        <x:v>既存時代区分「近代」（WorldTeam名簿外）</x:v>
      </x:c>
      <x:c r="AD101" s="91" t="str">
        <x:v>https://en.wikipedia.org/wiki/Special:Search?search=Tobias%20Ludvigsson%20cyclist</x:v>
      </x:c>
      <x:c r="AE101" s="91" t="str">
        <x:v>能力・適性・Credit整合済</x:v>
      </x:c>
      <x:c r="AF101" s="91" t="str">
        <x:v>https://en.wikipedia.org/wiki/Special:Search?search=Tobias%20Ludvigsson%20cyclist</x:v>
      </x:c>
    </x:row>
    <x:row r="102" ht="26" customHeight="1">
      <x:c r="A102" s="82" t="n">
        <x:v>98</x:v>
      </x:c>
      <x:c r="B102" s="82" t="str">
        <x:v>Jose Azevedo</x:v>
      </x:c>
      <x:c r="C102" s="143" t="str"/>
      <x:c r="D102" s="82" t="str">
        <x:v>ポルトガル</x:v>
      </x:c>
      <x:c r="E102" s="82" t="str">
        <x:v>引退</x:v>
      </x:c>
      <x:c r="F102" s="82" t="str"/>
      <x:c r="G102" s="82" t="str">
        <x:v>引退確認済</x:v>
      </x:c>
      <x:c r="H102" s="82" t="str">
        <x:v>TT・ルーラー型</x:v>
      </x:c>
      <x:c r="I102" s="82" t="str">
        <x:v>総合型</x:v>
      </x:c>
      <x:c r="J102" s="85" t="n">
        <x:v>80</x:v>
      </x:c>
      <x:c r="K102" s="85" t="n">
        <x:v>90</x:v>
      </x:c>
      <x:c r="L102" s="91" t="str">
        <x:v>サブエース / スーパー・ドメスティーク / 平坦ペースメーカー / TT牽引 / 集団コントローラー / ブレイクアウェイキラー</x:v>
      </x:c>
      <x:c r="M102" s="88" t="n">
        <x:v>7200</x:v>
      </x:c>
      <x:c r="N102" s="85" t="n">
        <x:v>65</x:v>
      </x:c>
      <x:c r="O102" s="85" t="n">
        <x:v>66</x:v>
      </x:c>
      <x:c r="P102" s="85" t="n">
        <x:v>66</x:v>
      </x:c>
      <x:c r="Q102" s="85" t="n">
        <x:v>81</x:v>
      </x:c>
      <x:c r="R102" s="85" t="n">
        <x:v>72</x:v>
      </x:c>
      <x:c r="S102" s="85" t="n">
        <x:v>74</x:v>
      </x:c>
      <x:c r="T102" s="85" t="n">
        <x:v>75</x:v>
      </x:c>
      <x:c r="U102" s="85" t="n">
        <x:v>75</x:v>
      </x:c>
      <x:c r="V102" s="85" t="n">
        <x:v>67</x:v>
      </x:c>
      <x:c r="W102" s="85" t="n">
        <x:v>50</x:v>
      </x:c>
      <x:c r="X102" s="85" t="n">
        <x:v>70</x:v>
      </x:c>
      <x:c r="Y102" s="85" t="n">
        <x:v>70</x:v>
      </x:c>
      <x:c r="Z102" s="85" t="n">
        <x:v>80</x:v>
      </x:c>
      <x:c r="AA102" s="85" t="n">
        <x:v>68</x:v>
      </x:c>
      <x:c r="AB102" s="85" t="n">
        <x:v>66</x:v>
      </x:c>
      <x:c r="AC102" s="91" t="str">
        <x:v>既存時代区分「近代」（WorldTeam名簿外）</x:v>
      </x:c>
      <x:c r="AD102" s="91" t="str">
        <x:v>https://en.wikipedia.org/wiki/Special:Search?search=Jose%20Azevedo%20cyclist</x:v>
      </x:c>
      <x:c r="AE102" s="91" t="str">
        <x:v>能力・適性・Credit整合済</x:v>
      </x:c>
      <x:c r="AF102" s="91" t="str">
        <x:v>https://en.wikipedia.org/wiki/Special:Search?search=Jose%20Azevedo%20cyclist</x:v>
      </x:c>
    </x:row>
    <x:row r="103" ht="26" customHeight="1">
      <x:c r="A103" s="82" t="n">
        <x:v>99</x:v>
      </x:c>
      <x:c r="B103" s="82" t="str">
        <x:v>Richie Porte</x:v>
      </x:c>
      <x:c r="C103" s="143" t="str"/>
      <x:c r="D103" s="82" t="str">
        <x:v>オーストラリア</x:v>
      </x:c>
      <x:c r="E103" s="82" t="str">
        <x:v>引退</x:v>
      </x:c>
      <x:c r="F103" s="82" t="str"/>
      <x:c r="G103" s="82" t="str">
        <x:v>引退確認済</x:v>
      </x:c>
      <x:c r="H103" s="82" t="str">
        <x:v>クライマー</x:v>
      </x:c>
      <x:c r="I103" s="82" t="str">
        <x:v>総合型</x:v>
      </x:c>
      <x:c r="J103" s="85" t="n">
        <x:v>78</x:v>
      </x:c>
      <x:c r="K103" s="85" t="n">
        <x:v>89</x:v>
      </x:c>
      <x:c r="L103" s="91" t="str">
        <x:v>サブエース / スーパー・ドメスティーク / 山岳アシスト / 山岳ペースメーカー / 集団コントローラー / サテライトライダー</x:v>
      </x:c>
      <x:c r="M103" s="88" t="n">
        <x:v>6350</x:v>
      </x:c>
      <x:c r="N103" s="85" t="n">
        <x:v>57</x:v>
      </x:c>
      <x:c r="O103" s="85" t="n">
        <x:v>67</x:v>
      </x:c>
      <x:c r="P103" s="85" t="n">
        <x:v>69</x:v>
      </x:c>
      <x:c r="Q103" s="85" t="n">
        <x:v>63</x:v>
      </x:c>
      <x:c r="R103" s="85" t="n">
        <x:v>77</x:v>
      </x:c>
      <x:c r="S103" s="85" t="n">
        <x:v>73</x:v>
      </x:c>
      <x:c r="T103" s="85" t="n">
        <x:v>72</x:v>
      </x:c>
      <x:c r="U103" s="85" t="n">
        <x:v>65</x:v>
      </x:c>
      <x:c r="V103" s="85" t="n">
        <x:v>67</x:v>
      </x:c>
      <x:c r="W103" s="85" t="n">
        <x:v>50</x:v>
      </x:c>
      <x:c r="X103" s="85" t="n">
        <x:v>76</x:v>
      </x:c>
      <x:c r="Y103" s="85" t="n">
        <x:v>76</x:v>
      </x:c>
      <x:c r="Z103" s="85" t="n">
        <x:v>71</x:v>
      </x:c>
      <x:c r="AA103" s="85" t="n">
        <x:v>69</x:v>
      </x:c>
      <x:c r="AB103" s="85" t="n">
        <x:v>72</x:v>
      </x:c>
      <x:c r="AC103" s="91" t="str">
        <x:v>既存時代区分「近代」（WorldTeam名簿外）</x:v>
      </x:c>
      <x:c r="AD103" s="91" t="str">
        <x:v>https://en.wikipedia.org/wiki/Special:Search?search=Richie%20Porte%20cyclist</x:v>
      </x:c>
      <x:c r="AE103" s="91" t="str">
        <x:v>能力・適性・Credit整合済</x:v>
      </x:c>
      <x:c r="AF103" s="91" t="str">
        <x:v>https://en.wikipedia.org/wiki/Special:Search?search=Richie%20Porte%20cyclist</x:v>
      </x:c>
    </x:row>
    <x:row r="104" ht="26" customHeight="1">
      <x:c r="A104" s="82" t="n">
        <x:v>100</x:v>
      </x:c>
      <x:c r="B104" s="82" t="str">
        <x:v>Daniel Oss</x:v>
      </x:c>
      <x:c r="C104" s="143" t="str"/>
      <x:c r="D104" s="82" t="str">
        <x:v>イタリア</x:v>
      </x:c>
      <x:c r="E104" s="82" t="str">
        <x:v>引退</x:v>
      </x:c>
      <x:c r="F104" s="82" t="str"/>
      <x:c r="G104" s="82" t="str">
        <x:v>引退確認済</x:v>
      </x:c>
      <x:c r="H104" s="82" t="str">
        <x:v>クラシック型</x:v>
      </x:c>
      <x:c r="I104" s="82" t="str">
        <x:v>パンチャー</x:v>
      </x:c>
      <x:c r="J104" s="85" t="n">
        <x:v>65</x:v>
      </x:c>
      <x:c r="K104" s="85" t="n">
        <x:v>92</x:v>
      </x:c>
      <x:c r="L104" s="91" t="str">
        <x:v>ロードキャプテン / 石畳護衛</x:v>
      </x:c>
      <x:c r="M104" s="88" t="n">
        <x:v>4250</x:v>
      </x:c>
      <x:c r="N104" s="85" t="n">
        <x:v>73</x:v>
      </x:c>
      <x:c r="O104" s="85" t="n">
        <x:v>72</x:v>
      </x:c>
      <x:c r="P104" s="85" t="n">
        <x:v>74</x:v>
      </x:c>
      <x:c r="Q104" s="85" t="n">
        <x:v>72</x:v>
      </x:c>
      <x:c r="R104" s="85" t="n">
        <x:v>67</x:v>
      </x:c>
      <x:c r="S104" s="85" t="n">
        <x:v>71</x:v>
      </x:c>
      <x:c r="T104" s="85" t="n">
        <x:v>74</x:v>
      </x:c>
      <x:c r="U104" s="85" t="n">
        <x:v>73</x:v>
      </x:c>
      <x:c r="V104" s="85" t="n">
        <x:v>77</x:v>
      </x:c>
      <x:c r="W104" s="85" t="n">
        <x:v>69</x:v>
      </x:c>
      <x:c r="X104" s="85" t="n">
        <x:v>68</x:v>
      </x:c>
      <x:c r="Y104" s="85" t="n">
        <x:v>68</x:v>
      </x:c>
      <x:c r="Z104" s="85" t="n">
        <x:v>73</x:v>
      </x:c>
      <x:c r="AA104" s="85" t="n">
        <x:v>69</x:v>
      </x:c>
      <x:c r="AB104" s="85" t="n">
        <x:v>74</x:v>
      </x:c>
      <x:c r="AC104" s="91" t="str">
        <x:v>既存時代区分「近代」（WorldTeam名簿外）</x:v>
      </x:c>
      <x:c r="AD104" s="91" t="str">
        <x:v>https://en.wikipedia.org/wiki/Special:Search?search=Daniel%20Oss%20cyclist</x:v>
      </x:c>
      <x:c r="AE104" s="91" t="str">
        <x:v>能力・適性・Credit整合済</x:v>
      </x:c>
      <x:c r="AF104" s="91" t="str">
        <x:v>https://en.wikipedia.org/wiki/Special:Search?search=Daniel%20Oss%20cyclist</x:v>
      </x:c>
    </x:row>
    <x:row r="105" ht="26" customHeight="1">
      <x:c r="A105" s="82" t="n">
        <x:v>101</x:v>
      </x:c>
      <x:c r="B105" s="82" t="str">
        <x:v>Jens Keukeleire</x:v>
      </x:c>
      <x:c r="C105" s="143" t="str"/>
      <x:c r="D105" s="82" t="str">
        <x:v>ベルギー</x:v>
      </x:c>
      <x:c r="E105" s="82" t="str">
        <x:v>引退</x:v>
      </x:c>
      <x:c r="F105" s="82" t="str"/>
      <x:c r="G105" s="82" t="str">
        <x:v>引退確認済</x:v>
      </x:c>
      <x:c r="H105" s="82" t="str">
        <x:v>クラシック型</x:v>
      </x:c>
      <x:c r="I105" s="82" t="str">
        <x:v>パンチャー</x:v>
      </x:c>
      <x:c r="J105" s="85" t="n">
        <x:v>64</x:v>
      </x:c>
      <x:c r="K105" s="85" t="n">
        <x:v>93</x:v>
      </x:c>
      <x:c r="L105" s="91" t="str">
        <x:v>ロードキャプテン / 石畳護衛 / 横風分断</x:v>
      </x:c>
      <x:c r="M105" s="88" t="n">
        <x:v>4450</x:v>
      </x:c>
      <x:c r="N105" s="85" t="n">
        <x:v>73</x:v>
      </x:c>
      <x:c r="O105" s="85" t="n">
        <x:v>72</x:v>
      </x:c>
      <x:c r="P105" s="85" t="n">
        <x:v>74</x:v>
      </x:c>
      <x:c r="Q105" s="85" t="n">
        <x:v>71</x:v>
      </x:c>
      <x:c r="R105" s="85" t="n">
        <x:v>67</x:v>
      </x:c>
      <x:c r="S105" s="85" t="n">
        <x:v>71</x:v>
      </x:c>
      <x:c r="T105" s="85" t="n">
        <x:v>73</x:v>
      </x:c>
      <x:c r="U105" s="85" t="n">
        <x:v>73</x:v>
      </x:c>
      <x:c r="V105" s="85" t="n">
        <x:v>77</x:v>
      </x:c>
      <x:c r="W105" s="85" t="n">
        <x:v>76</x:v>
      </x:c>
      <x:c r="X105" s="85" t="n">
        <x:v>68</x:v>
      </x:c>
      <x:c r="Y105" s="85" t="n">
        <x:v>68</x:v>
      </x:c>
      <x:c r="Z105" s="85" t="n">
        <x:v>74</x:v>
      </x:c>
      <x:c r="AA105" s="85" t="n">
        <x:v>69</x:v>
      </x:c>
      <x:c r="AB105" s="85" t="n">
        <x:v>74</x:v>
      </x:c>
      <x:c r="AC105" s="91" t="str">
        <x:v>既存時代区分「近代」（WorldTeam名簿外）</x:v>
      </x:c>
      <x:c r="AD105" s="91" t="str">
        <x:v>https://en.wikipedia.org/wiki/Special:Search?search=Jens%20Keukeleire%20cyclist</x:v>
      </x:c>
      <x:c r="AE105" s="91" t="str">
        <x:v>能力・適性・Credit整合済</x:v>
      </x:c>
      <x:c r="AF105" s="91" t="str">
        <x:v>https://en.wikipedia.org/wiki/Special:Search?search=Jens%20Keukeleire%20cyclist</x:v>
      </x:c>
    </x:row>
    <x:row r="106" ht="26" customHeight="1">
      <x:c r="A106" s="82" t="n">
        <x:v>102</x:v>
      </x:c>
      <x:c r="B106" s="82" t="str">
        <x:v>Greg Van Avermaet</x:v>
      </x:c>
      <x:c r="C106" s="143" t="str">
        <x:v>黄金のクラシックハンター</x:v>
      </x:c>
      <x:c r="D106" s="82" t="str">
        <x:v>ベルギー</x:v>
      </x:c>
      <x:c r="E106" s="82" t="str">
        <x:v>引退</x:v>
      </x:c>
      <x:c r="F106" s="82" t="str"/>
      <x:c r="G106" s="82" t="str">
        <x:v>引退確認済</x:v>
      </x:c>
      <x:c r="H106" s="82" t="str">
        <x:v>クラシック型</x:v>
      </x:c>
      <x:c r="I106" s="82" t="str">
        <x:v>パンチャー</x:v>
      </x:c>
      <x:c r="J106" s="85" t="n">
        <x:v>63</x:v>
      </x:c>
      <x:c r="K106" s="85" t="n">
        <x:v>91</x:v>
      </x:c>
      <x:c r="L106" s="91" t="str">
        <x:v>ロードキャプテン / 石畳護衛 / 横風要員 / 横風分断</x:v>
      </x:c>
      <x:c r="M106" s="88" t="n">
        <x:v>5700</x:v>
      </x:c>
      <x:c r="N106" s="85" t="n">
        <x:v>74</x:v>
      </x:c>
      <x:c r="O106" s="85" t="n">
        <x:v>71</x:v>
      </x:c>
      <x:c r="P106" s="85" t="n">
        <x:v>73</x:v>
      </x:c>
      <x:c r="Q106" s="85" t="n">
        <x:v>71</x:v>
      </x:c>
      <x:c r="R106" s="85" t="n">
        <x:v>67</x:v>
      </x:c>
      <x:c r="S106" s="85" t="n">
        <x:v>70</x:v>
      </x:c>
      <x:c r="T106" s="85" t="n">
        <x:v>74</x:v>
      </x:c>
      <x:c r="U106" s="85" t="n">
        <x:v>72</x:v>
      </x:c>
      <x:c r="V106" s="85" t="n">
        <x:v>75</x:v>
      </x:c>
      <x:c r="W106" s="85" t="n">
        <x:v>79</x:v>
      </x:c>
      <x:c r="X106" s="85" t="n">
        <x:v>68</x:v>
      </x:c>
      <x:c r="Y106" s="85" t="n">
        <x:v>68</x:v>
      </x:c>
      <x:c r="Z106" s="85" t="n">
        <x:v>72</x:v>
      </x:c>
      <x:c r="AA106" s="85" t="n">
        <x:v>68</x:v>
      </x:c>
      <x:c r="AB106" s="85" t="n">
        <x:v>74</x:v>
      </x:c>
      <x:c r="AC106" s="91" t="str">
        <x:v>既存時代区分「近代」（WorldTeam名簿外）</x:v>
      </x:c>
      <x:c r="AD106" s="91" t="str">
        <x:v>https://en.wikipedia.org/wiki/Special:Search?search=Greg%20Van%20Avermaet%20cyclist</x:v>
      </x:c>
      <x:c r="AE106" s="91" t="str">
        <x:v>能力・適性・Credit整合済</x:v>
      </x:c>
      <x:c r="AF106" s="91" t="str">
        <x:v>https://en.wikipedia.org/wiki/Special:Search?search=Greg%20Van%20Avermaet%20cyclist</x:v>
      </x:c>
    </x:row>
    <x:row r="107" ht="26" customHeight="1">
      <x:c r="A107" s="82" t="n">
        <x:v>103</x:v>
      </x:c>
      <x:c r="B107" s="82" t="str">
        <x:v>Heinrich Haussler</x:v>
      </x:c>
      <x:c r="C107" s="143" t="str"/>
      <x:c r="D107" s="82" t="str">
        <x:v>オーストラリア</x:v>
      </x:c>
      <x:c r="E107" s="82" t="str">
        <x:v>引退</x:v>
      </x:c>
      <x:c r="F107" s="82" t="str"/>
      <x:c r="G107" s="82" t="str">
        <x:v>引退確認済</x:v>
      </x:c>
      <x:c r="H107" s="82" t="str">
        <x:v>クラシック型</x:v>
      </x:c>
      <x:c r="I107" s="82" t="str">
        <x:v>パンチャー</x:v>
      </x:c>
      <x:c r="J107" s="85" t="n">
        <x:v>63</x:v>
      </x:c>
      <x:c r="K107" s="85" t="n">
        <x:v>91</x:v>
      </x:c>
      <x:c r="L107" s="91" t="str">
        <x:v>ロードキャプテン / 石畳護衛</x:v>
      </x:c>
      <x:c r="M107" s="88" t="n">
        <x:v>3950</x:v>
      </x:c>
      <x:c r="N107" s="85" t="n">
        <x:v>73</x:v>
      </x:c>
      <x:c r="O107" s="85" t="n">
        <x:v>72</x:v>
      </x:c>
      <x:c r="P107" s="85" t="n">
        <x:v>74</x:v>
      </x:c>
      <x:c r="Q107" s="85" t="n">
        <x:v>71</x:v>
      </x:c>
      <x:c r="R107" s="85" t="n">
        <x:v>67</x:v>
      </x:c>
      <x:c r="S107" s="85" t="n">
        <x:v>70</x:v>
      </x:c>
      <x:c r="T107" s="85" t="n">
        <x:v>73</x:v>
      </x:c>
      <x:c r="U107" s="85" t="n">
        <x:v>72</x:v>
      </x:c>
      <x:c r="V107" s="85" t="n">
        <x:v>76</x:v>
      </x:c>
      <x:c r="W107" s="85" t="n">
        <x:v>73</x:v>
      </x:c>
      <x:c r="X107" s="85" t="n">
        <x:v>68</x:v>
      </x:c>
      <x:c r="Y107" s="85" t="n">
        <x:v>68</x:v>
      </x:c>
      <x:c r="Z107" s="85" t="n">
        <x:v>72</x:v>
      </x:c>
      <x:c r="AA107" s="85" t="n">
        <x:v>69</x:v>
      </x:c>
      <x:c r="AB107" s="85" t="n">
        <x:v>73</x:v>
      </x:c>
      <x:c r="AC107" s="91" t="str">
        <x:v>既存時代区分「近代」（WorldTeam名簿外）</x:v>
      </x:c>
      <x:c r="AD107" s="91" t="str">
        <x:v>https://en.wikipedia.org/wiki/Special:Search?search=Heinrich%20Haussler%20cyclist</x:v>
      </x:c>
      <x:c r="AE107" s="91" t="str">
        <x:v>能力・適性・Credit整合済</x:v>
      </x:c>
      <x:c r="AF107" s="91" t="str">
        <x:v>https://en.wikipedia.org/wiki/Special:Search?search=Heinrich%20Haussler%20cyclist</x:v>
      </x:c>
    </x:row>
    <x:row r="108" ht="26" customHeight="1">
      <x:c r="A108" s="82" t="n">
        <x:v>104</x:v>
      </x:c>
      <x:c r="B108" s="82" t="str">
        <x:v>Mark Renshaw</x:v>
      </x:c>
      <x:c r="C108" s="143" t="str"/>
      <x:c r="D108" s="82" t="str">
        <x:v>オーストラリア</x:v>
      </x:c>
      <x:c r="E108" s="82" t="str">
        <x:v>引退</x:v>
      </x:c>
      <x:c r="F108" s="82" t="str"/>
      <x:c r="G108" s="82" t="str">
        <x:v>引退確認済</x:v>
      </x:c>
      <x:c r="H108" s="82" t="str">
        <x:v>スプリンター</x:v>
      </x:c>
      <x:c r="I108" s="82" t="str">
        <x:v>TT・ルーラー型</x:v>
      </x:c>
      <x:c r="J108" s="85" t="n">
        <x:v>63</x:v>
      </x:c>
      <x:c r="K108" s="85" t="n">
        <x:v>93</x:v>
      </x:c>
      <x:c r="L108" s="91" t="str">
        <x:v>リードアウト / 最終発射台 / スプリントトレイン</x:v>
      </x:c>
      <x:c r="M108" s="88" t="n">
        <x:v>3400</x:v>
      </x:c>
      <x:c r="N108" s="85" t="n">
        <x:v>76</x:v>
      </x:c>
      <x:c r="O108" s="85" t="n">
        <x:v>75</x:v>
      </x:c>
      <x:c r="P108" s="85" t="n">
        <x:v>65</x:v>
      </x:c>
      <x:c r="Q108" s="85" t="n">
        <x:v>68</x:v>
      </x:c>
      <x:c r="R108" s="85" t="n">
        <x:v>58</x:v>
      </x:c>
      <x:c r="S108" s="85" t="n">
        <x:v>63</x:v>
      </x:c>
      <x:c r="T108" s="85" t="n">
        <x:v>63</x:v>
      </x:c>
      <x:c r="U108" s="85" t="n">
        <x:v>66</x:v>
      </x:c>
      <x:c r="V108" s="85" t="n">
        <x:v>70</x:v>
      </x:c>
      <x:c r="W108" s="85" t="n">
        <x:v>57</x:v>
      </x:c>
      <x:c r="X108" s="85" t="n">
        <x:v>67</x:v>
      </x:c>
      <x:c r="Y108" s="85" t="n">
        <x:v>67</x:v>
      </x:c>
      <x:c r="Z108" s="85" t="n">
        <x:v>73</x:v>
      </x:c>
      <x:c r="AA108" s="85" t="n">
        <x:v>63</x:v>
      </x:c>
      <x:c r="AB108" s="85" t="n">
        <x:v>61</x:v>
      </x:c>
      <x:c r="AC108" s="91" t="str">
        <x:v>既存時代区分「近代」（WorldTeam名簿外）</x:v>
      </x:c>
      <x:c r="AD108" s="91" t="str">
        <x:v>https://en.wikipedia.org/wiki/Special:Search?search=Mark%20Renshaw%20cyclist</x:v>
      </x:c>
      <x:c r="AE108" s="91" t="str">
        <x:v>能力・適性・Credit整合済</x:v>
      </x:c>
      <x:c r="AF108" s="91" t="str">
        <x:v>https://en.wikipedia.org/wiki/Special:Search?search=Mark%20Renshaw%20cyclist</x:v>
      </x:c>
    </x:row>
    <x:row r="109" ht="26" customHeight="1">
      <x:c r="A109" s="82" t="n">
        <x:v>105</x:v>
      </x:c>
      <x:c r="B109" s="82" t="str">
        <x:v>Sebastian Langeveld</x:v>
      </x:c>
      <x:c r="C109" s="143" t="str"/>
      <x:c r="D109" s="82" t="str">
        <x:v>オランダ</x:v>
      </x:c>
      <x:c r="E109" s="82" t="str">
        <x:v>引退</x:v>
      </x:c>
      <x:c r="F109" s="82" t="str"/>
      <x:c r="G109" s="82" t="str">
        <x:v>引退確認済</x:v>
      </x:c>
      <x:c r="H109" s="82" t="str">
        <x:v>クラシック型</x:v>
      </x:c>
      <x:c r="I109" s="82" t="str">
        <x:v>パンチャー</x:v>
      </x:c>
      <x:c r="J109" s="85" t="n">
        <x:v>62</x:v>
      </x:c>
      <x:c r="K109" s="85" t="n">
        <x:v>95</x:v>
      </x:c>
      <x:c r="L109" s="91" t="str">
        <x:v>ロードキャプテン / 石畳護衛 / 横風分断</x:v>
      </x:c>
      <x:c r="M109" s="88" t="n">
        <x:v>4150</x:v>
      </x:c>
      <x:c r="N109" s="85" t="n">
        <x:v>73</x:v>
      </x:c>
      <x:c r="O109" s="85" t="n">
        <x:v>72</x:v>
      </x:c>
      <x:c r="P109" s="85" t="n">
        <x:v>74</x:v>
      </x:c>
      <x:c r="Q109" s="85" t="n">
        <x:v>71</x:v>
      </x:c>
      <x:c r="R109" s="85" t="n">
        <x:v>67</x:v>
      </x:c>
      <x:c r="S109" s="85" t="n">
        <x:v>70</x:v>
      </x:c>
      <x:c r="T109" s="85" t="n">
        <x:v>73</x:v>
      </x:c>
      <x:c r="U109" s="85" t="n">
        <x:v>73</x:v>
      </x:c>
      <x:c r="V109" s="85" t="n">
        <x:v>76</x:v>
      </x:c>
      <x:c r="W109" s="85" t="n">
        <x:v>77</x:v>
      </x:c>
      <x:c r="X109" s="85" t="n">
        <x:v>68</x:v>
      </x:c>
      <x:c r="Y109" s="85" t="n">
        <x:v>68</x:v>
      </x:c>
      <x:c r="Z109" s="85" t="n">
        <x:v>74</x:v>
      </x:c>
      <x:c r="AA109" s="85" t="n">
        <x:v>69</x:v>
      </x:c>
      <x:c r="AB109" s="85" t="n">
        <x:v>74</x:v>
      </x:c>
      <x:c r="AC109" s="91" t="str">
        <x:v>既存時代区分「近代」（WorldTeam名簿外）</x:v>
      </x:c>
      <x:c r="AD109" s="91" t="str">
        <x:v>https://en.wikipedia.org/wiki/Special:Search?search=Sebastian%20Langeveld%20cyclist</x:v>
      </x:c>
      <x:c r="AE109" s="91" t="str">
        <x:v>能力・適性・Credit整合済</x:v>
      </x:c>
      <x:c r="AF109" s="91" t="str">
        <x:v>https://en.wikipedia.org/wiki/Special:Search?search=Sebastian%20Langeveld%20cyclist</x:v>
      </x:c>
    </x:row>
    <x:row r="110" ht="26" customHeight="1">
      <x:c r="A110" s="82" t="n">
        <x:v>106</x:v>
      </x:c>
      <x:c r="B110" s="82" t="str">
        <x:v>Zdenek Stybar</x:v>
      </x:c>
      <x:c r="C110" s="143" t="str"/>
      <x:c r="D110" s="82" t="str">
        <x:v>チェコ</x:v>
      </x:c>
      <x:c r="E110" s="82" t="str">
        <x:v>引退</x:v>
      </x:c>
      <x:c r="F110" s="82" t="str"/>
      <x:c r="G110" s="82" t="str">
        <x:v>引退確認済</x:v>
      </x:c>
      <x:c r="H110" s="82" t="str">
        <x:v>クラシック型</x:v>
      </x:c>
      <x:c r="I110" s="82" t="str">
        <x:v>パンチャー</x:v>
      </x:c>
      <x:c r="J110" s="85" t="n">
        <x:v>62</x:v>
      </x:c>
      <x:c r="K110" s="85" t="n">
        <x:v>92</x:v>
      </x:c>
      <x:c r="L110" s="91" t="str">
        <x:v>ロードキャプテン / 石畳護衛 / 横風要員</x:v>
      </x:c>
      <x:c r="M110" s="88" t="n">
        <x:v>4000</x:v>
      </x:c>
      <x:c r="N110" s="85" t="n">
        <x:v>73</x:v>
      </x:c>
      <x:c r="O110" s="85" t="n">
        <x:v>72</x:v>
      </x:c>
      <x:c r="P110" s="85" t="n">
        <x:v>73</x:v>
      </x:c>
      <x:c r="Q110" s="85" t="n">
        <x:v>71</x:v>
      </x:c>
      <x:c r="R110" s="85" t="n">
        <x:v>67</x:v>
      </x:c>
      <x:c r="S110" s="85" t="n">
        <x:v>70</x:v>
      </x:c>
      <x:c r="T110" s="85" t="n">
        <x:v>72</x:v>
      </x:c>
      <x:c r="U110" s="85" t="n">
        <x:v>72</x:v>
      </x:c>
      <x:c r="V110" s="85" t="n">
        <x:v>75</x:v>
      </x:c>
      <x:c r="W110" s="85" t="n">
        <x:v>79</x:v>
      </x:c>
      <x:c r="X110" s="85" t="n">
        <x:v>68</x:v>
      </x:c>
      <x:c r="Y110" s="85" t="n">
        <x:v>68</x:v>
      </x:c>
      <x:c r="Z110" s="85" t="n">
        <x:v>72</x:v>
      </x:c>
      <x:c r="AA110" s="85" t="n">
        <x:v>68</x:v>
      </x:c>
      <x:c r="AB110" s="85" t="n">
        <x:v>73</x:v>
      </x:c>
      <x:c r="AC110" s="91" t="str">
        <x:v>既存時代区分「近代」（WorldTeam名簿外）</x:v>
      </x:c>
      <x:c r="AD110" s="91" t="str">
        <x:v>https://en.wikipedia.org/wiki/Special:Search?search=Zdenek%20Stybar%20cyclist</x:v>
      </x:c>
      <x:c r="AE110" s="91" t="str">
        <x:v>能力・適性・Credit整合済</x:v>
      </x:c>
      <x:c r="AF110" s="91" t="str">
        <x:v>https://en.wikipedia.org/wiki/Special:Search?search=Zdenek%20Stybar%20cyclist</x:v>
      </x:c>
    </x:row>
    <x:row r="111" ht="26" customHeight="1">
      <x:c r="A111" s="82" t="n">
        <x:v>107</x:v>
      </x:c>
      <x:c r="B111" s="82" t="str">
        <x:v>Stijn Vandenbergh</x:v>
      </x:c>
      <x:c r="C111" s="143" t="str"/>
      <x:c r="D111" s="82" t="str">
        <x:v>ベルギー</x:v>
      </x:c>
      <x:c r="E111" s="82" t="str">
        <x:v>引退</x:v>
      </x:c>
      <x:c r="F111" s="82" t="str"/>
      <x:c r="G111" s="82" t="str">
        <x:v>引退確認済</x:v>
      </x:c>
      <x:c r="H111" s="82" t="str">
        <x:v>クラシック型</x:v>
      </x:c>
      <x:c r="I111" s="82" t="str">
        <x:v>パンチャー</x:v>
      </x:c>
      <x:c r="J111" s="85" t="n">
        <x:v>62</x:v>
      </x:c>
      <x:c r="K111" s="85" t="n">
        <x:v>92</x:v>
      </x:c>
      <x:c r="L111" s="91" t="str">
        <x:v>ロードキャプテン / 石畳護衛 / 横風分断</x:v>
      </x:c>
      <x:c r="M111" s="88" t="n">
        <x:v>3600</x:v>
      </x:c>
      <x:c r="N111" s="85" t="n">
        <x:v>72</x:v>
      </x:c>
      <x:c r="O111" s="85" t="n">
        <x:v>71</x:v>
      </x:c>
      <x:c r="P111" s="85" t="n">
        <x:v>73</x:v>
      </x:c>
      <x:c r="Q111" s="85" t="n">
        <x:v>69</x:v>
      </x:c>
      <x:c r="R111" s="85" t="n">
        <x:v>67</x:v>
      </x:c>
      <x:c r="S111" s="85" t="n">
        <x:v>67</x:v>
      </x:c>
      <x:c r="T111" s="85" t="n">
        <x:v>71</x:v>
      </x:c>
      <x:c r="U111" s="85" t="n">
        <x:v>71</x:v>
      </x:c>
      <x:c r="V111" s="85" t="n">
        <x:v>73</x:v>
      </x:c>
      <x:c r="W111" s="85" t="n">
        <x:v>73</x:v>
      </x:c>
      <x:c r="X111" s="85" t="n">
        <x:v>67</x:v>
      </x:c>
      <x:c r="Y111" s="85" t="n">
        <x:v>66</x:v>
      </x:c>
      <x:c r="Z111" s="85" t="n">
        <x:v>71</x:v>
      </x:c>
      <x:c r="AA111" s="85" t="n">
        <x:v>68</x:v>
      </x:c>
      <x:c r="AB111" s="85" t="n">
        <x:v>73</x:v>
      </x:c>
      <x:c r="AC111" s="91" t="str">
        <x:v>既存時代区分「近代」（WorldTeam名簿外）</x:v>
      </x:c>
      <x:c r="AD111" s="91" t="str">
        <x:v>https://en.wikipedia.org/wiki/Special:Search?search=Stijn%20Vandenbergh%20cyclist</x:v>
      </x:c>
      <x:c r="AE111" s="91" t="str">
        <x:v>能力・適性・Credit整合済</x:v>
      </x:c>
      <x:c r="AF111" s="91" t="str">
        <x:v>https://en.wikipedia.org/wiki/Special:Search?search=Stijn%20Vandenbergh%20cyclist</x:v>
      </x:c>
    </x:row>
    <x:row r="112" ht="26" customHeight="1">
      <x:c r="A112" s="82" t="n">
        <x:v>108</x:v>
      </x:c>
      <x:c r="B112" s="82" t="str">
        <x:v>Kanstantsin Siutsou</x:v>
      </x:c>
      <x:c r="C112" s="143" t="str"/>
      <x:c r="D112" s="82" t="str">
        <x:v>ベラルーシ</x:v>
      </x:c>
      <x:c r="E112" s="82" t="str">
        <x:v>引退</x:v>
      </x:c>
      <x:c r="F112" s="82" t="str"/>
      <x:c r="G112" s="82" t="str">
        <x:v>引退確認済</x:v>
      </x:c>
      <x:c r="H112" s="82" t="str">
        <x:v>TT・ルーラー型</x:v>
      </x:c>
      <x:c r="I112" s="82" t="str">
        <x:v>総合型</x:v>
      </x:c>
      <x:c r="J112" s="85" t="n">
        <x:v>61</x:v>
      </x:c>
      <x:c r="K112" s="85" t="n">
        <x:v>94</x:v>
      </x:c>
      <x:c r="L112" s="91" t="str">
        <x:v>ロードキャプテン / 平坦アシスト / 平坦ペースメーカー / TT牽引 / 集団コントローラー</x:v>
      </x:c>
      <x:c r="M112" s="88" t="n">
        <x:v>3600</x:v>
      </x:c>
      <x:c r="N112" s="85" t="n">
        <x:v>64</x:v>
      </x:c>
      <x:c r="O112" s="85" t="n">
        <x:v>63</x:v>
      </x:c>
      <x:c r="P112" s="85" t="n">
        <x:v>66</x:v>
      </x:c>
      <x:c r="Q112" s="85" t="n">
        <x:v>77</x:v>
      </x:c>
      <x:c r="R112" s="85" t="n">
        <x:v>70</x:v>
      </x:c>
      <x:c r="S112" s="85" t="n">
        <x:v>72</x:v>
      </x:c>
      <x:c r="T112" s="85" t="n">
        <x:v>70</x:v>
      </x:c>
      <x:c r="U112" s="85" t="n">
        <x:v>70</x:v>
      </x:c>
      <x:c r="V112" s="85" t="n">
        <x:v>67</x:v>
      </x:c>
      <x:c r="W112" s="85" t="n">
        <x:v>50</x:v>
      </x:c>
      <x:c r="X112" s="85" t="n">
        <x:v>68</x:v>
      </x:c>
      <x:c r="Y112" s="85" t="n">
        <x:v>68</x:v>
      </x:c>
      <x:c r="Z112" s="85" t="n">
        <x:v>79</x:v>
      </x:c>
      <x:c r="AA112" s="85" t="n">
        <x:v>64</x:v>
      </x:c>
      <x:c r="AB112" s="85" t="n">
        <x:v>65</x:v>
      </x:c>
      <x:c r="AC112" s="91" t="str">
        <x:v>既存時代区分「近代」（WorldTeam名簿外）</x:v>
      </x:c>
      <x:c r="AD112" s="91" t="str">
        <x:v>https://en.wikipedia.org/wiki/Special:Search?search=Kanstantsin%20Siutsou%20cyclist</x:v>
      </x:c>
      <x:c r="AE112" s="91" t="str">
        <x:v>能力・適性・Credit整合済</x:v>
      </x:c>
      <x:c r="AF112" s="91" t="str">
        <x:v>https://en.wikipedia.org/wiki/Special:Search?search=Kanstantsin%20Siutsou%20cyclist</x:v>
      </x:c>
    </x:row>
    <x:row r="113" ht="26" customHeight="1">
      <x:c r="A113" s="82" t="n">
        <x:v>109</x:v>
      </x:c>
      <x:c r="B113" s="82" t="str">
        <x:v>Haimar Zubeldia</x:v>
      </x:c>
      <x:c r="C113" s="143" t="str"/>
      <x:c r="D113" s="82" t="str">
        <x:v>スペイン</x:v>
      </x:c>
      <x:c r="E113" s="82" t="str">
        <x:v>引退</x:v>
      </x:c>
      <x:c r="F113" s="82" t="str"/>
      <x:c r="G113" s="82" t="str">
        <x:v>引退確認済</x:v>
      </x:c>
      <x:c r="H113" s="82" t="str">
        <x:v>クライマー</x:v>
      </x:c>
      <x:c r="I113" s="82" t="str">
        <x:v>総合型</x:v>
      </x:c>
      <x:c r="J113" s="85" t="n">
        <x:v>61</x:v>
      </x:c>
      <x:c r="K113" s="85" t="n">
        <x:v>89</x:v>
      </x:c>
      <x:c r="L113" s="91" t="str">
        <x:v>山岳賞ハンター / 山岳アシスト / 山岳ペースメーカー / 集団コントローラー</x:v>
      </x:c>
      <x:c r="M113" s="88" t="n">
        <x:v>3450</x:v>
      </x:c>
      <x:c r="N113" s="85" t="n">
        <x:v>56</x:v>
      </x:c>
      <x:c r="O113" s="85" t="n">
        <x:v>66</x:v>
      </x:c>
      <x:c r="P113" s="85" t="n">
        <x:v>68</x:v>
      </x:c>
      <x:c r="Q113" s="85" t="n">
        <x:v>62</x:v>
      </x:c>
      <x:c r="R113" s="85" t="n">
        <x:v>75</x:v>
      </x:c>
      <x:c r="S113" s="85" t="n">
        <x:v>71</x:v>
      </x:c>
      <x:c r="T113" s="85" t="n">
        <x:v>68</x:v>
      </x:c>
      <x:c r="U113" s="85" t="n">
        <x:v>62</x:v>
      </x:c>
      <x:c r="V113" s="85" t="n">
        <x:v>63</x:v>
      </x:c>
      <x:c r="W113" s="85" t="n">
        <x:v>50</x:v>
      </x:c>
      <x:c r="X113" s="85" t="n">
        <x:v>75</x:v>
      </x:c>
      <x:c r="Y113" s="85" t="n">
        <x:v>75</x:v>
      </x:c>
      <x:c r="Z113" s="85" t="n">
        <x:v>70</x:v>
      </x:c>
      <x:c r="AA113" s="85" t="n">
        <x:v>67</x:v>
      </x:c>
      <x:c r="AB113" s="85" t="n">
        <x:v>69</x:v>
      </x:c>
      <x:c r="AC113" s="91" t="str">
        <x:v>既存時代区分「近代」（WorldTeam名簿外）</x:v>
      </x:c>
      <x:c r="AD113" s="91" t="str">
        <x:v>https://en.wikipedia.org/wiki/Special:Search?search=Haimar%20Zubeldia%20cyclist</x:v>
      </x:c>
      <x:c r="AE113" s="91" t="str">
        <x:v>能力・適性・Credit整合済</x:v>
      </x:c>
      <x:c r="AF113" s="91" t="str">
        <x:v>https://en.wikipedia.org/wiki/Special:Search?search=Haimar%20Zubeldia%20cyclist</x:v>
      </x:c>
    </x:row>
    <x:row r="114" ht="26" customHeight="1">
      <x:c r="A114" s="82" t="n">
        <x:v>110</x:v>
      </x:c>
      <x:c r="B114" s="82" t="str">
        <x:v>Sergio Henao</x:v>
      </x:c>
      <x:c r="C114" s="143" t="str"/>
      <x:c r="D114" s="82" t="str">
        <x:v>コロンビア</x:v>
      </x:c>
      <x:c r="E114" s="82" t="str">
        <x:v>引退</x:v>
      </x:c>
      <x:c r="F114" s="82" t="str"/>
      <x:c r="G114" s="82" t="str">
        <x:v>引退確認済</x:v>
      </x:c>
      <x:c r="H114" s="82" t="str">
        <x:v>クライマー</x:v>
      </x:c>
      <x:c r="I114" s="82" t="str">
        <x:v>総合型</x:v>
      </x:c>
      <x:c r="J114" s="85" t="n">
        <x:v>61</x:v>
      </x:c>
      <x:c r="K114" s="85" t="n">
        <x:v>89</x:v>
      </x:c>
      <x:c r="L114" s="91" t="str">
        <x:v>山岳賞ハンター / 山岳アシスト / 山岳ペースメーカー / 集団コントローラー</x:v>
      </x:c>
      <x:c r="M114" s="88" t="n">
        <x:v>3350</x:v>
      </x:c>
      <x:c r="N114" s="85" t="n">
        <x:v>56</x:v>
      </x:c>
      <x:c r="O114" s="85" t="n">
        <x:v>65</x:v>
      </x:c>
      <x:c r="P114" s="85" t="n">
        <x:v>67</x:v>
      </x:c>
      <x:c r="Q114" s="85" t="n">
        <x:v>62</x:v>
      </x:c>
      <x:c r="R114" s="85" t="n">
        <x:v>75</x:v>
      </x:c>
      <x:c r="S114" s="85" t="n">
        <x:v>70</x:v>
      </x:c>
      <x:c r="T114" s="85" t="n">
        <x:v>67</x:v>
      </x:c>
      <x:c r="U114" s="85" t="n">
        <x:v>61</x:v>
      </x:c>
      <x:c r="V114" s="85" t="n">
        <x:v>62</x:v>
      </x:c>
      <x:c r="W114" s="85" t="n">
        <x:v>50</x:v>
      </x:c>
      <x:c r="X114" s="85" t="n">
        <x:v>75</x:v>
      </x:c>
      <x:c r="Y114" s="85" t="n">
        <x:v>75</x:v>
      </x:c>
      <x:c r="Z114" s="85" t="n">
        <x:v>70</x:v>
      </x:c>
      <x:c r="AA114" s="85" t="n">
        <x:v>66</x:v>
      </x:c>
      <x:c r="AB114" s="85" t="n">
        <x:v>68</x:v>
      </x:c>
      <x:c r="AC114" s="91" t="str">
        <x:v>既存時代区分「近代」（WorldTeam名簿外）</x:v>
      </x:c>
      <x:c r="AD114" s="91" t="str">
        <x:v>https://en.wikipedia.org/wiki/Special:Search?search=Sergio%20Henao%20cyclist</x:v>
      </x:c>
      <x:c r="AE114" s="91" t="str">
        <x:v>能力・適性・Credit整合済</x:v>
      </x:c>
      <x:c r="AF114" s="91" t="str">
        <x:v>https://en.wikipedia.org/wiki/Special:Search?search=Sergio%20Henao%20cyclist</x:v>
      </x:c>
    </x:row>
    <x:row r="115" ht="26" customHeight="1">
      <x:c r="A115" s="82" t="n">
        <x:v>111</x:v>
      </x:c>
      <x:c r="B115" s="82" t="str">
        <x:v>Maarten Wynants</x:v>
      </x:c>
      <x:c r="C115" s="143" t="str"/>
      <x:c r="D115" s="82" t="str">
        <x:v>ベルギー</x:v>
      </x:c>
      <x:c r="E115" s="82" t="str">
        <x:v>引退</x:v>
      </x:c>
      <x:c r="F115" s="82" t="str"/>
      <x:c r="G115" s="82" t="str">
        <x:v>引退確認済</x:v>
      </x:c>
      <x:c r="H115" s="82" t="str">
        <x:v>クラシック型</x:v>
      </x:c>
      <x:c r="I115" s="82" t="str">
        <x:v>パンチャー</x:v>
      </x:c>
      <x:c r="J115" s="85" t="n">
        <x:v>61</x:v>
      </x:c>
      <x:c r="K115" s="85" t="n">
        <x:v>91</x:v>
      </x:c>
      <x:c r="L115" s="91" t="str">
        <x:v>ロードキャプテン / 石畳護衛 / 横風分断</x:v>
      </x:c>
      <x:c r="M115" s="88" t="n">
        <x:v>3250</x:v>
      </x:c>
      <x:c r="N115" s="85" t="n">
        <x:v>71</x:v>
      </x:c>
      <x:c r="O115" s="85" t="n">
        <x:v>70</x:v>
      </x:c>
      <x:c r="P115" s="85" t="n">
        <x:v>72</x:v>
      </x:c>
      <x:c r="Q115" s="85" t="n">
        <x:v>69</x:v>
      </x:c>
      <x:c r="R115" s="85" t="n">
        <x:v>67</x:v>
      </x:c>
      <x:c r="S115" s="85" t="n">
        <x:v>66</x:v>
      </x:c>
      <x:c r="T115" s="85" t="n">
        <x:v>71</x:v>
      </x:c>
      <x:c r="U115" s="85" t="n">
        <x:v>71</x:v>
      </x:c>
      <x:c r="V115" s="85" t="n">
        <x:v>73</x:v>
      </x:c>
      <x:c r="W115" s="85" t="n">
        <x:v>69</x:v>
      </x:c>
      <x:c r="X115" s="85" t="n">
        <x:v>66</x:v>
      </x:c>
      <x:c r="Y115" s="85" t="n">
        <x:v>65</x:v>
      </x:c>
      <x:c r="Z115" s="85" t="n">
        <x:v>71</x:v>
      </x:c>
      <x:c r="AA115" s="85" t="n">
        <x:v>68</x:v>
      </x:c>
      <x:c r="AB115" s="85" t="n">
        <x:v>73</x:v>
      </x:c>
      <x:c r="AC115" s="91" t="str">
        <x:v>既存時代区分「近代」（WorldTeam名簿外）</x:v>
      </x:c>
      <x:c r="AD115" s="91" t="str">
        <x:v>https://en.wikipedia.org/wiki/Special:Search?search=Maarten%20Wynants%20cyclist</x:v>
      </x:c>
      <x:c r="AE115" s="91" t="str">
        <x:v>能力・適性・Credit整合済</x:v>
      </x:c>
      <x:c r="AF115" s="91" t="str">
        <x:v>https://en.wikipedia.org/wiki/Special:Search?search=Maarten%20Wynants%20cyclist</x:v>
      </x:c>
    </x:row>
    <x:row r="116" ht="26" customHeight="1">
      <x:c r="A116" s="82" t="n">
        <x:v>112</x:v>
      </x:c>
      <x:c r="B116" s="82" t="str">
        <x:v>Leif Hoste</x:v>
      </x:c>
      <x:c r="C116" s="143" t="str"/>
      <x:c r="D116" s="82" t="str">
        <x:v>ベルギー</x:v>
      </x:c>
      <x:c r="E116" s="82" t="str">
        <x:v>引退</x:v>
      </x:c>
      <x:c r="F116" s="82" t="str"/>
      <x:c r="G116" s="82" t="str">
        <x:v>引退確認済</x:v>
      </x:c>
      <x:c r="H116" s="82" t="str">
        <x:v>クラシック型</x:v>
      </x:c>
      <x:c r="I116" s="82" t="str">
        <x:v>パンチャー</x:v>
      </x:c>
      <x:c r="J116" s="85" t="n">
        <x:v>61</x:v>
      </x:c>
      <x:c r="K116" s="85" t="n">
        <x:v>93</x:v>
      </x:c>
      <x:c r="L116" s="91" t="str">
        <x:v>ロードキャプテン / 石畳護衛 / 下り牽引</x:v>
      </x:c>
      <x:c r="M116" s="88" t="n">
        <x:v>2950</x:v>
      </x:c>
      <x:c r="N116" s="85" t="n">
        <x:v>72</x:v>
      </x:c>
      <x:c r="O116" s="85" t="n">
        <x:v>71</x:v>
      </x:c>
      <x:c r="P116" s="85" t="n">
        <x:v>73</x:v>
      </x:c>
      <x:c r="Q116" s="85" t="n">
        <x:v>70</x:v>
      </x:c>
      <x:c r="R116" s="85" t="n">
        <x:v>67</x:v>
      </x:c>
      <x:c r="S116" s="85" t="n">
        <x:v>67</x:v>
      </x:c>
      <x:c r="T116" s="85" t="n">
        <x:v>71</x:v>
      </x:c>
      <x:c r="U116" s="85" t="n">
        <x:v>71</x:v>
      </x:c>
      <x:c r="V116" s="85" t="n">
        <x:v>74</x:v>
      </x:c>
      <x:c r="W116" s="85" t="n">
        <x:v>50</x:v>
      </x:c>
      <x:c r="X116" s="85" t="n">
        <x:v>67</x:v>
      </x:c>
      <x:c r="Y116" s="85" t="n">
        <x:v>66</x:v>
      </x:c>
      <x:c r="Z116" s="85" t="n">
        <x:v>72</x:v>
      </x:c>
      <x:c r="AA116" s="85" t="n">
        <x:v>68</x:v>
      </x:c>
      <x:c r="AB116" s="85" t="n">
        <x:v>73</x:v>
      </x:c>
      <x:c r="AC116" s="91" t="str">
        <x:v>既存時代区分「近代」（WorldTeam名簿外）</x:v>
      </x:c>
      <x:c r="AD116" s="91" t="str">
        <x:v>https://en.wikipedia.org/wiki/Special:Search?search=Leif%20Hoste%20cyclist</x:v>
      </x:c>
      <x:c r="AE116" s="91" t="str">
        <x:v>能力・適性・Credit整合済</x:v>
      </x:c>
      <x:c r="AF116" s="91" t="str">
        <x:v>https://en.wikipedia.org/wiki/Special:Search?search=Leif%20Hoste%20cyclist</x:v>
      </x:c>
    </x:row>
    <x:row r="117" ht="26" customHeight="1">
      <x:c r="A117" s="82" t="n">
        <x:v>113</x:v>
      </x:c>
      <x:c r="B117" s="82" t="str">
        <x:v>Roman Kreuziger</x:v>
      </x:c>
      <x:c r="C117" s="143" t="str"/>
      <x:c r="D117" s="82" t="str">
        <x:v>チェコ</x:v>
      </x:c>
      <x:c r="E117" s="82" t="str">
        <x:v>引退</x:v>
      </x:c>
      <x:c r="F117" s="82" t="str"/>
      <x:c r="G117" s="82" t="str">
        <x:v>引退確認済</x:v>
      </x:c>
      <x:c r="H117" s="82" t="str">
        <x:v>クライマー</x:v>
      </x:c>
      <x:c r="I117" s="82" t="str">
        <x:v>総合型</x:v>
      </x:c>
      <x:c r="J117" s="85" t="n">
        <x:v>60</x:v>
      </x:c>
      <x:c r="K117" s="85" t="n">
        <x:v>90</x:v>
      </x:c>
      <x:c r="L117" s="91" t="str">
        <x:v>山岳賞ハンター / 山岳アシスト / 山岳ペースメーカー / 集団コントローラー</x:v>
      </x:c>
      <x:c r="M117" s="88" t="n">
        <x:v>3400</x:v>
      </x:c>
      <x:c r="N117" s="85" t="n">
        <x:v>56</x:v>
      </x:c>
      <x:c r="O117" s="85" t="n">
        <x:v>66</x:v>
      </x:c>
      <x:c r="P117" s="85" t="n">
        <x:v>68</x:v>
      </x:c>
      <x:c r="Q117" s="85" t="n">
        <x:v>63</x:v>
      </x:c>
      <x:c r="R117" s="85" t="n">
        <x:v>75</x:v>
      </x:c>
      <x:c r="S117" s="85" t="n">
        <x:v>71</x:v>
      </x:c>
      <x:c r="T117" s="85" t="n">
        <x:v>68</x:v>
      </x:c>
      <x:c r="U117" s="85" t="n">
        <x:v>63</x:v>
      </x:c>
      <x:c r="V117" s="85" t="n">
        <x:v>63</x:v>
      </x:c>
      <x:c r="W117" s="85" t="n">
        <x:v>50</x:v>
      </x:c>
      <x:c r="X117" s="85" t="n">
        <x:v>75</x:v>
      </x:c>
      <x:c r="Y117" s="85" t="n">
        <x:v>75</x:v>
      </x:c>
      <x:c r="Z117" s="85" t="n">
        <x:v>70</x:v>
      </x:c>
      <x:c r="AA117" s="85" t="n">
        <x:v>67</x:v>
      </x:c>
      <x:c r="AB117" s="85" t="n">
        <x:v>70</x:v>
      </x:c>
      <x:c r="AC117" s="91" t="str">
        <x:v>既存時代区分「近代」（WorldTeam名簿外）</x:v>
      </x:c>
      <x:c r="AD117" s="91" t="str">
        <x:v>https://en.wikipedia.org/wiki/Special:Search?search=Roman%20Kreuziger%20cyclist</x:v>
      </x:c>
      <x:c r="AE117" s="91" t="str">
        <x:v>能力・適性・Credit整合済</x:v>
      </x:c>
      <x:c r="AF117" s="91" t="str">
        <x:v>https://en.wikipedia.org/wiki/Special:Search?search=Roman%20Kreuziger%20cyclist</x:v>
      </x:c>
    </x:row>
    <x:row r="118" ht="26" customHeight="1">
      <x:c r="A118" s="82" t="n">
        <x:v>114</x:v>
      </x:c>
      <x:c r="B118" s="82" t="str">
        <x:v>Daniel Navarro</x:v>
      </x:c>
      <x:c r="C118" s="143" t="str"/>
      <x:c r="D118" s="82" t="str">
        <x:v>スペイン</x:v>
      </x:c>
      <x:c r="E118" s="82" t="str">
        <x:v>引退</x:v>
      </x:c>
      <x:c r="F118" s="82" t="str"/>
      <x:c r="G118" s="82" t="str">
        <x:v>引退確認済</x:v>
      </x:c>
      <x:c r="H118" s="82" t="str">
        <x:v>クライマー</x:v>
      </x:c>
      <x:c r="I118" s="82" t="str">
        <x:v>総合型</x:v>
      </x:c>
      <x:c r="J118" s="85" t="n">
        <x:v>60</x:v>
      </x:c>
      <x:c r="K118" s="85" t="n">
        <x:v>90</x:v>
      </x:c>
      <x:c r="L118" s="91" t="str">
        <x:v>山岳賞ハンター / 山岳アシスト / 山岳ペースメーカー / 集団コントローラー</x:v>
      </x:c>
      <x:c r="M118" s="88" t="n">
        <x:v>3350</x:v>
      </x:c>
      <x:c r="N118" s="85" t="n">
        <x:v>56</x:v>
      </x:c>
      <x:c r="O118" s="85" t="n">
        <x:v>65</x:v>
      </x:c>
      <x:c r="P118" s="85" t="n">
        <x:v>68</x:v>
      </x:c>
      <x:c r="Q118" s="85" t="n">
        <x:v>62</x:v>
      </x:c>
      <x:c r="R118" s="85" t="n">
        <x:v>75</x:v>
      </x:c>
      <x:c r="S118" s="85" t="n">
        <x:v>71</x:v>
      </x:c>
      <x:c r="T118" s="85" t="n">
        <x:v>67</x:v>
      </x:c>
      <x:c r="U118" s="85" t="n">
        <x:v>61</x:v>
      </x:c>
      <x:c r="V118" s="85" t="n">
        <x:v>63</x:v>
      </x:c>
      <x:c r="W118" s="85" t="n">
        <x:v>50</x:v>
      </x:c>
      <x:c r="X118" s="85" t="n">
        <x:v>75</x:v>
      </x:c>
      <x:c r="Y118" s="85" t="n">
        <x:v>75</x:v>
      </x:c>
      <x:c r="Z118" s="85" t="n">
        <x:v>70</x:v>
      </x:c>
      <x:c r="AA118" s="85" t="n">
        <x:v>67</x:v>
      </x:c>
      <x:c r="AB118" s="85" t="n">
        <x:v>70</x:v>
      </x:c>
      <x:c r="AC118" s="91" t="str">
        <x:v>既存時代区分「近代」（WorldTeam名簿外）</x:v>
      </x:c>
      <x:c r="AD118" s="91" t="str">
        <x:v>https://en.wikipedia.org/wiki/Special:Search?search=Daniel%20Navarro%20cyclist</x:v>
      </x:c>
      <x:c r="AE118" s="91" t="str">
        <x:v>能力・適性・Credit整合済</x:v>
      </x:c>
      <x:c r="AF118" s="91" t="str">
        <x:v>https://en.wikipedia.org/wiki/Special:Search?search=Daniel%20Navarro%20cyclist</x:v>
      </x:c>
    </x:row>
    <x:row r="119" ht="26" customHeight="1">
      <x:c r="A119" s="82" t="n">
        <x:v>115</x:v>
      </x:c>
      <x:c r="B119" s="82" t="str">
        <x:v>Chad Haga</x:v>
      </x:c>
      <x:c r="C119" s="143" t="str"/>
      <x:c r="D119" s="82" t="str">
        <x:v>アメリカ</x:v>
      </x:c>
      <x:c r="E119" s="82" t="str">
        <x:v>引退</x:v>
      </x:c>
      <x:c r="F119" s="82" t="str"/>
      <x:c r="G119" s="82" t="str">
        <x:v>引退確認済</x:v>
      </x:c>
      <x:c r="H119" s="82" t="str">
        <x:v>TT・ルーラー型</x:v>
      </x:c>
      <x:c r="I119" s="82" t="str">
        <x:v>総合型</x:v>
      </x:c>
      <x:c r="J119" s="85" t="n">
        <x:v>60</x:v>
      </x:c>
      <x:c r="K119" s="85" t="n">
        <x:v>92</x:v>
      </x:c>
      <x:c r="L119" s="91" t="str">
        <x:v>ロードキャプテン / 平坦ペースメーカー / TT牽引 / 集団コントローラー</x:v>
      </x:c>
      <x:c r="M119" s="88" t="n">
        <x:v>3200</x:v>
      </x:c>
      <x:c r="N119" s="85" t="n">
        <x:v>64</x:v>
      </x:c>
      <x:c r="O119" s="85" t="n">
        <x:v>61</x:v>
      </x:c>
      <x:c r="P119" s="85" t="n">
        <x:v>64</x:v>
      </x:c>
      <x:c r="Q119" s="85" t="n">
        <x:v>76</x:v>
      </x:c>
      <x:c r="R119" s="85" t="n">
        <x:v>70</x:v>
      </x:c>
      <x:c r="S119" s="85" t="n">
        <x:v>71</x:v>
      </x:c>
      <x:c r="T119" s="85" t="n">
        <x:v>69</x:v>
      </x:c>
      <x:c r="U119" s="85" t="n">
        <x:v>69</x:v>
      </x:c>
      <x:c r="V119" s="85" t="n">
        <x:v>65</x:v>
      </x:c>
      <x:c r="W119" s="85" t="n">
        <x:v>50</x:v>
      </x:c>
      <x:c r="X119" s="85" t="n">
        <x:v>67</x:v>
      </x:c>
      <x:c r="Y119" s="85" t="n">
        <x:v>67</x:v>
      </x:c>
      <x:c r="Z119" s="85" t="n">
        <x:v>74</x:v>
      </x:c>
      <x:c r="AA119" s="85" t="n">
        <x:v>62</x:v>
      </x:c>
      <x:c r="AB119" s="85" t="n">
        <x:v>64</x:v>
      </x:c>
      <x:c r="AC119" s="91" t="str">
        <x:v>既存時代区分「近代」（WorldTeam名簿外）</x:v>
      </x:c>
      <x:c r="AD119" s="91" t="str">
        <x:v>https://en.wikipedia.org/wiki/Special:Search?search=Chad%20Haga%20cyclist</x:v>
      </x:c>
      <x:c r="AE119" s="91" t="str">
        <x:v>能力・適性・Credit整合済</x:v>
      </x:c>
      <x:c r="AF119" s="91" t="str">
        <x:v>https://en.wikipedia.org/wiki/Special:Search?search=Chad%20Haga%20cyclist</x:v>
      </x:c>
    </x:row>
    <x:row r="120" ht="26" customHeight="1">
      <x:c r="A120" s="82" t="n">
        <x:v>116</x:v>
      </x:c>
      <x:c r="B120" s="82" t="str">
        <x:v>Lars Boom</x:v>
      </x:c>
      <x:c r="C120" s="143" t="str"/>
      <x:c r="D120" s="82" t="str">
        <x:v>オランダ</x:v>
      </x:c>
      <x:c r="E120" s="82" t="str">
        <x:v>引退</x:v>
      </x:c>
      <x:c r="F120" s="82" t="str"/>
      <x:c r="G120" s="82" t="str">
        <x:v>引退確認済</x:v>
      </x:c>
      <x:c r="H120" s="82" t="str">
        <x:v>クラシック型</x:v>
      </x:c>
      <x:c r="I120" s="82" t="str">
        <x:v>パンチャー</x:v>
      </x:c>
      <x:c r="J120" s="85" t="n">
        <x:v>59</x:v>
      </x:c>
      <x:c r="K120" s="85" t="n">
        <x:v>95</x:v>
      </x:c>
      <x:c r="L120" s="91" t="str">
        <x:v>ロードキャプテン / 石畳護衛 / 横風要員 / 横風分断</x:v>
      </x:c>
      <x:c r="M120" s="88" t="n">
        <x:v>3650</x:v>
      </x:c>
      <x:c r="N120" s="85" t="n">
        <x:v>72</x:v>
      </x:c>
      <x:c r="O120" s="85" t="n">
        <x:v>71</x:v>
      </x:c>
      <x:c r="P120" s="85" t="n">
        <x:v>73</x:v>
      </x:c>
      <x:c r="Q120" s="85" t="n">
        <x:v>70</x:v>
      </x:c>
      <x:c r="R120" s="85" t="n">
        <x:v>67</x:v>
      </x:c>
      <x:c r="S120" s="85" t="n">
        <x:v>69</x:v>
      </x:c>
      <x:c r="T120" s="85" t="n">
        <x:v>71</x:v>
      </x:c>
      <x:c r="U120" s="85" t="n">
        <x:v>71</x:v>
      </x:c>
      <x:c r="V120" s="85" t="n">
        <x:v>74</x:v>
      </x:c>
      <x:c r="W120" s="85" t="n">
        <x:v>78</x:v>
      </x:c>
      <x:c r="X120" s="85" t="n">
        <x:v>67</x:v>
      </x:c>
      <x:c r="Y120" s="85" t="n">
        <x:v>67</x:v>
      </x:c>
      <x:c r="Z120" s="85" t="n">
        <x:v>73</x:v>
      </x:c>
      <x:c r="AA120" s="85" t="n">
        <x:v>68</x:v>
      </x:c>
      <x:c r="AB120" s="85" t="n">
        <x:v>73</x:v>
      </x:c>
      <x:c r="AC120" s="91" t="str">
        <x:v>既存時代区分「近代」（WorldTeam名簿外）</x:v>
      </x:c>
      <x:c r="AD120" s="91" t="str">
        <x:v>https://en.wikipedia.org/wiki/Special:Search?search=Lars%20Boom%20cyclist</x:v>
      </x:c>
      <x:c r="AE120" s="91" t="str">
        <x:v>能力・適性・Credit整合済</x:v>
      </x:c>
      <x:c r="AF120" s="91" t="str">
        <x:v>https://en.wikipedia.org/wiki/Special:Search?search=Lars%20Boom%20cyclist</x:v>
      </x:c>
    </x:row>
    <x:row r="121" ht="26" customHeight="1">
      <x:c r="A121" s="82" t="n">
        <x:v>117</x:v>
      </x:c>
      <x:c r="B121" s="82" t="str">
        <x:v>Domenico Pozzovivo</x:v>
      </x:c>
      <x:c r="C121" s="143" t="str"/>
      <x:c r="D121" s="82" t="str">
        <x:v>イタリア</x:v>
      </x:c>
      <x:c r="E121" s="82" t="str">
        <x:v>引退</x:v>
      </x:c>
      <x:c r="F121" s="82" t="str"/>
      <x:c r="G121" s="82" t="str">
        <x:v>引退確認済</x:v>
      </x:c>
      <x:c r="H121" s="82" t="str">
        <x:v>クライマー</x:v>
      </x:c>
      <x:c r="I121" s="82" t="str">
        <x:v>総合型</x:v>
      </x:c>
      <x:c r="J121" s="85" t="n">
        <x:v>59</x:v>
      </x:c>
      <x:c r="K121" s="85" t="n">
        <x:v>91</x:v>
      </x:c>
      <x:c r="L121" s="91" t="str">
        <x:v>山岳賞ハンター / 山岳アシスト / 山岳番手 / 集団コントローラー</x:v>
      </x:c>
      <x:c r="M121" s="88" t="n">
        <x:v>3300</x:v>
      </x:c>
      <x:c r="N121" s="85" t="n">
        <x:v>56</x:v>
      </x:c>
      <x:c r="O121" s="85" t="n">
        <x:v>66</x:v>
      </x:c>
      <x:c r="P121" s="85" t="n">
        <x:v>68</x:v>
      </x:c>
      <x:c r="Q121" s="85" t="n">
        <x:v>63</x:v>
      </x:c>
      <x:c r="R121" s="85" t="n">
        <x:v>75</x:v>
      </x:c>
      <x:c r="S121" s="85" t="n">
        <x:v>71</x:v>
      </x:c>
      <x:c r="T121" s="85" t="n">
        <x:v>68</x:v>
      </x:c>
      <x:c r="U121" s="85" t="n">
        <x:v>63</x:v>
      </x:c>
      <x:c r="V121" s="85" t="n">
        <x:v>64</x:v>
      </x:c>
      <x:c r="W121" s="85" t="n">
        <x:v>50</x:v>
      </x:c>
      <x:c r="X121" s="85" t="n">
        <x:v>76</x:v>
      </x:c>
      <x:c r="Y121" s="85" t="n">
        <x:v>75</x:v>
      </x:c>
      <x:c r="Z121" s="85" t="n">
        <x:v>70</x:v>
      </x:c>
      <x:c r="AA121" s="85" t="n">
        <x:v>67</x:v>
      </x:c>
      <x:c r="AB121" s="85" t="n">
        <x:v>70</x:v>
      </x:c>
      <x:c r="AC121" s="91" t="str">
        <x:v>既存時代区分「近代」（WorldTeam名簿外）</x:v>
      </x:c>
      <x:c r="AD121" s="91" t="str">
        <x:v>https://en.wikipedia.org/wiki/Special:Search?search=Domenico%20Pozzovivo%20cyclist</x:v>
      </x:c>
      <x:c r="AE121" s="91" t="str">
        <x:v>能力・適性・Credit整合済</x:v>
      </x:c>
      <x:c r="AF121" s="91" t="str">
        <x:v>https://en.wikipedia.org/wiki/Special:Search?search=Domenico%20Pozzovivo%20cyclist</x:v>
      </x:c>
    </x:row>
    <x:row r="122" ht="26" customHeight="1">
      <x:c r="A122" s="82" t="n">
        <x:v>118</x:v>
      </x:c>
      <x:c r="B122" s="82" t="str">
        <x:v>Jose Luis Rubiera</x:v>
      </x:c>
      <x:c r="C122" s="143" t="str"/>
      <x:c r="D122" s="82" t="str">
        <x:v>スペイン</x:v>
      </x:c>
      <x:c r="E122" s="82" t="str">
        <x:v>引退</x:v>
      </x:c>
      <x:c r="F122" s="82" t="str"/>
      <x:c r="G122" s="82" t="str">
        <x:v>引退確認済</x:v>
      </x:c>
      <x:c r="H122" s="82" t="str">
        <x:v>クライマー</x:v>
      </x:c>
      <x:c r="I122" s="82" t="str">
        <x:v>総合型</x:v>
      </x:c>
      <x:c r="J122" s="85" t="n">
        <x:v>59</x:v>
      </x:c>
      <x:c r="K122" s="85" t="n">
        <x:v>91</x:v>
      </x:c>
      <x:c r="L122" s="91" t="str">
        <x:v>山岳賞ハンター / 山岳アシスト / 山岳番手 / 集団コントローラー</x:v>
      </x:c>
      <x:c r="M122" s="88" t="n">
        <x:v>3250</x:v>
      </x:c>
      <x:c r="N122" s="85" t="n">
        <x:v>56</x:v>
      </x:c>
      <x:c r="O122" s="85" t="n">
        <x:v>66</x:v>
      </x:c>
      <x:c r="P122" s="85" t="n">
        <x:v>68</x:v>
      </x:c>
      <x:c r="Q122" s="85" t="n">
        <x:v>62</x:v>
      </x:c>
      <x:c r="R122" s="85" t="n">
        <x:v>75</x:v>
      </x:c>
      <x:c r="S122" s="85" t="n">
        <x:v>71</x:v>
      </x:c>
      <x:c r="T122" s="85" t="n">
        <x:v>67</x:v>
      </x:c>
      <x:c r="U122" s="85" t="n">
        <x:v>63</x:v>
      </x:c>
      <x:c r="V122" s="85" t="n">
        <x:v>63</x:v>
      </x:c>
      <x:c r="W122" s="85" t="n">
        <x:v>50</x:v>
      </x:c>
      <x:c r="X122" s="85" t="n">
        <x:v>75</x:v>
      </x:c>
      <x:c r="Y122" s="85" t="n">
        <x:v>75</x:v>
      </x:c>
      <x:c r="Z122" s="85" t="n">
        <x:v>70</x:v>
      </x:c>
      <x:c r="AA122" s="85" t="n">
        <x:v>67</x:v>
      </x:c>
      <x:c r="AB122" s="85" t="n">
        <x:v>70</x:v>
      </x:c>
      <x:c r="AC122" s="91" t="str">
        <x:v>既存時代区分「近代」（WorldTeam名簿外）</x:v>
      </x:c>
      <x:c r="AD122" s="91" t="str">
        <x:v>https://en.wikipedia.org/wiki/Special:Search?search=Jose%20Luis%20Rubiera%20cyclist</x:v>
      </x:c>
      <x:c r="AE122" s="91" t="str">
        <x:v>能力・適性・Credit整合済</x:v>
      </x:c>
      <x:c r="AF122" s="91" t="str">
        <x:v>https://en.wikipedia.org/wiki/Special:Search?search=Jose%20Luis%20Rubiera%20cyclist</x:v>
      </x:c>
    </x:row>
    <x:row r="123" ht="26" customHeight="1">
      <x:c r="A123" s="82" t="n">
        <x:v>119</x:v>
      </x:c>
      <x:c r="B123" s="82" t="str">
        <x:v>Fabio Sabatini</x:v>
      </x:c>
      <x:c r="C123" s="143" t="str"/>
      <x:c r="D123" s="82" t="str">
        <x:v>イタリア</x:v>
      </x:c>
      <x:c r="E123" s="82" t="str">
        <x:v>引退</x:v>
      </x:c>
      <x:c r="F123" s="82" t="str"/>
      <x:c r="G123" s="82" t="str">
        <x:v>引退確認済</x:v>
      </x:c>
      <x:c r="H123" s="82" t="str">
        <x:v>スプリンター</x:v>
      </x:c>
      <x:c r="I123" s="82" t="str">
        <x:v>TT・ルーラー型</x:v>
      </x:c>
      <x:c r="J123" s="85" t="n">
        <x:v>59</x:v>
      </x:c>
      <x:c r="K123" s="85" t="n">
        <x:v>94</x:v>
      </x:c>
      <x:c r="L123" s="91" t="str">
        <x:v>リードアウト / 最終発射台 / スプリントトレイン</x:v>
      </x:c>
      <x:c r="M123" s="88" t="n">
        <x:v>3000</x:v>
      </x:c>
      <x:c r="N123" s="85" t="n">
        <x:v>78</x:v>
      </x:c>
      <x:c r="O123" s="85" t="n">
        <x:v>74</x:v>
      </x:c>
      <x:c r="P123" s="85" t="n">
        <x:v>65</x:v>
      </x:c>
      <x:c r="Q123" s="85" t="n">
        <x:v>67</x:v>
      </x:c>
      <x:c r="R123" s="85" t="n">
        <x:v>58</x:v>
      </x:c>
      <x:c r="S123" s="85" t="n">
        <x:v>61</x:v>
      </x:c>
      <x:c r="T123" s="85" t="n">
        <x:v>61</x:v>
      </x:c>
      <x:c r="U123" s="85" t="n">
        <x:v>64</x:v>
      </x:c>
      <x:c r="V123" s="85" t="n">
        <x:v>65</x:v>
      </x:c>
      <x:c r="W123" s="85" t="n">
        <x:v>50</x:v>
      </x:c>
      <x:c r="X123" s="85" t="n">
        <x:v>61</x:v>
      </x:c>
      <x:c r="Y123" s="85" t="n">
        <x:v>61</x:v>
      </x:c>
      <x:c r="Z123" s="85" t="n">
        <x:v>67</x:v>
      </x:c>
      <x:c r="AA123" s="85" t="n">
        <x:v>70</x:v>
      </x:c>
      <x:c r="AB123" s="85" t="n">
        <x:v>62</x:v>
      </x:c>
      <x:c r="AC123" s="91" t="str">
        <x:v>既存時代区分「近代」（WorldTeam名簿外）</x:v>
      </x:c>
      <x:c r="AD123" s="91" t="str">
        <x:v>https://en.wikipedia.org/wiki/Special:Search?search=Fabio%20Sabatini%20cyclist</x:v>
      </x:c>
      <x:c r="AE123" s="91" t="str">
        <x:v>能力・適性・Credit整合済</x:v>
      </x:c>
      <x:c r="AF123" s="91" t="str">
        <x:v>https://en.wikipedia.org/wiki/Special:Search?search=Fabio%20Sabatini%20cyclist</x:v>
      </x:c>
    </x:row>
    <x:row r="124" ht="26" customHeight="1">
      <x:c r="A124" s="82" t="n">
        <x:v>120</x:v>
      </x:c>
      <x:c r="B124" s="82" t="str">
        <x:v>Andrey Amador</x:v>
      </x:c>
      <x:c r="C124" s="143" t="str"/>
      <x:c r="D124" s="82" t="str">
        <x:v>コスタリカ</x:v>
      </x:c>
      <x:c r="E124" s="82" t="str">
        <x:v>引退</x:v>
      </x:c>
      <x:c r="F124" s="82" t="str"/>
      <x:c r="G124" s="82" t="str">
        <x:v>引退確認済</x:v>
      </x:c>
      <x:c r="H124" s="82" t="str">
        <x:v>クライマー</x:v>
      </x:c>
      <x:c r="I124" s="82" t="str">
        <x:v>総合型</x:v>
      </x:c>
      <x:c r="J124" s="85" t="n">
        <x:v>58</x:v>
      </x:c>
      <x:c r="K124" s="85" t="n">
        <x:v>92</x:v>
      </x:c>
      <x:c r="L124" s="91" t="str">
        <x:v>山岳賞ハンター / 山岳アシスト / 山岳番手 / 集団コントローラー</x:v>
      </x:c>
      <x:c r="M124" s="88" t="n">
        <x:v>3100</x:v>
      </x:c>
      <x:c r="N124" s="85" t="n">
        <x:v>56</x:v>
      </x:c>
      <x:c r="O124" s="85" t="n">
        <x:v>65</x:v>
      </x:c>
      <x:c r="P124" s="85" t="n">
        <x:v>67</x:v>
      </x:c>
      <x:c r="Q124" s="85" t="n">
        <x:v>61</x:v>
      </x:c>
      <x:c r="R124" s="85" t="n">
        <x:v>74</x:v>
      </x:c>
      <x:c r="S124" s="85" t="n">
        <x:v>70</x:v>
      </x:c>
      <x:c r="T124" s="85" t="n">
        <x:v>66</x:v>
      </x:c>
      <x:c r="U124" s="85" t="n">
        <x:v>61</x:v>
      </x:c>
      <x:c r="V124" s="85" t="n">
        <x:v>62</x:v>
      </x:c>
      <x:c r="W124" s="85" t="n">
        <x:v>50</x:v>
      </x:c>
      <x:c r="X124" s="85" t="n">
        <x:v>74</x:v>
      </x:c>
      <x:c r="Y124" s="85" t="n">
        <x:v>75</x:v>
      </x:c>
      <x:c r="Z124" s="85" t="n">
        <x:v>69</x:v>
      </x:c>
      <x:c r="AA124" s="85" t="n">
        <x:v>66</x:v>
      </x:c>
      <x:c r="AB124" s="85" t="n">
        <x:v>68</x:v>
      </x:c>
      <x:c r="AC124" s="91" t="str">
        <x:v>既存時代区分「近代」（WorldTeam名簿外）</x:v>
      </x:c>
      <x:c r="AD124" s="91" t="str">
        <x:v>https://en.wikipedia.org/wiki/Special:Search?search=Andrey%20Amador%20cyclist</x:v>
      </x:c>
      <x:c r="AE124" s="91" t="str">
        <x:v>能力・適性・Credit整合済</x:v>
      </x:c>
      <x:c r="AF124" s="91" t="str">
        <x:v>https://en.wikipedia.org/wiki/Special:Search?search=Andrey%20Amador%20cyclist</x:v>
      </x:c>
    </x:row>
    <x:row r="125" ht="26" customHeight="1">
      <x:c r="A125" s="82" t="n">
        <x:v>121</x:v>
      </x:c>
      <x:c r="B125" s="82" t="str">
        <x:v>Pierre Rolland</x:v>
      </x:c>
      <x:c r="C125" s="143" t="str"/>
      <x:c r="D125" s="82" t="str">
        <x:v>フランス</x:v>
      </x:c>
      <x:c r="E125" s="82" t="str">
        <x:v>引退</x:v>
      </x:c>
      <x:c r="F125" s="82" t="str"/>
      <x:c r="G125" s="82" t="str">
        <x:v>引退確認済</x:v>
      </x:c>
      <x:c r="H125" s="82" t="str">
        <x:v>クライマー</x:v>
      </x:c>
      <x:c r="I125" s="82" t="str">
        <x:v>総合型</x:v>
      </x:c>
      <x:c r="J125" s="85" t="n">
        <x:v>58</x:v>
      </x:c>
      <x:c r="K125" s="85" t="n">
        <x:v>92</x:v>
      </x:c>
      <x:c r="L125" s="91" t="str">
        <x:v>山岳賞ハンター / 山岳アシスト / 集団コントローラー</x:v>
      </x:c>
      <x:c r="M125" s="88" t="n">
        <x:v>3050</x:v>
      </x:c>
      <x:c r="N125" s="85" t="n">
        <x:v>56</x:v>
      </x:c>
      <x:c r="O125" s="85" t="n">
        <x:v>65</x:v>
      </x:c>
      <x:c r="P125" s="85" t="n">
        <x:v>67</x:v>
      </x:c>
      <x:c r="Q125" s="85" t="n">
        <x:v>63</x:v>
      </x:c>
      <x:c r="R125" s="85" t="n">
        <x:v>74</x:v>
      </x:c>
      <x:c r="S125" s="85" t="n">
        <x:v>69</x:v>
      </x:c>
      <x:c r="T125" s="85" t="n">
        <x:v>66</x:v>
      </x:c>
      <x:c r="U125" s="85" t="n">
        <x:v>60</x:v>
      </x:c>
      <x:c r="V125" s="85" t="n">
        <x:v>61</x:v>
      </x:c>
      <x:c r="W125" s="85" t="n">
        <x:v>50</x:v>
      </x:c>
      <x:c r="X125" s="85" t="n">
        <x:v>74</x:v>
      </x:c>
      <x:c r="Y125" s="85" t="n">
        <x:v>74</x:v>
      </x:c>
      <x:c r="Z125" s="85" t="n">
        <x:v>69</x:v>
      </x:c>
      <x:c r="AA125" s="85" t="n">
        <x:v>65</x:v>
      </x:c>
      <x:c r="AB125" s="85" t="n">
        <x:v>69</x:v>
      </x:c>
      <x:c r="AC125" s="91" t="str">
        <x:v>既存時代区分「近代」（WorldTeam名簿外）</x:v>
      </x:c>
      <x:c r="AD125" s="91" t="str">
        <x:v>https://en.wikipedia.org/wiki/Special:Search?search=Pierre%20Rolland%20cyclist</x:v>
      </x:c>
      <x:c r="AE125" s="91" t="str">
        <x:v>能力・適性・Credit整合済</x:v>
      </x:c>
      <x:c r="AF125" s="91" t="str">
        <x:v>https://en.wikipedia.org/wiki/Special:Search?search=Pierre%20Rolland%20cyclist</x:v>
      </x:c>
    </x:row>
    <x:row r="126" ht="26" customHeight="1">
      <x:c r="A126" s="82" t="n">
        <x:v>122</x:v>
      </x:c>
      <x:c r="B126" s="82" t="str">
        <x:v>Maximiliano Richeze</x:v>
      </x:c>
      <x:c r="C126" s="143" t="str"/>
      <x:c r="D126" s="82" t="str">
        <x:v>アルゼンチン</x:v>
      </x:c>
      <x:c r="E126" s="82" t="str">
        <x:v>引退</x:v>
      </x:c>
      <x:c r="F126" s="82" t="str"/>
      <x:c r="G126" s="82" t="str">
        <x:v>引退確認済</x:v>
      </x:c>
      <x:c r="H126" s="82" t="str">
        <x:v>スプリンター</x:v>
      </x:c>
      <x:c r="I126" s="82" t="str">
        <x:v>TT・ルーラー型</x:v>
      </x:c>
      <x:c r="J126" s="85" t="n">
        <x:v>58</x:v>
      </x:c>
      <x:c r="K126" s="85" t="n">
        <x:v>95</x:v>
      </x:c>
      <x:c r="L126" s="91" t="str">
        <x:v>リードアウト / 最終発射台 / スプリントトレイン</x:v>
      </x:c>
      <x:c r="M126" s="88" t="n">
        <x:v>2950</x:v>
      </x:c>
      <x:c r="N126" s="85" t="n">
        <x:v>78</x:v>
      </x:c>
      <x:c r="O126" s="85" t="n">
        <x:v>74</x:v>
      </x:c>
      <x:c r="P126" s="85" t="n">
        <x:v>65</x:v>
      </x:c>
      <x:c r="Q126" s="85" t="n">
        <x:v>68</x:v>
      </x:c>
      <x:c r="R126" s="85" t="n">
        <x:v>58</x:v>
      </x:c>
      <x:c r="S126" s="85" t="n">
        <x:v>62</x:v>
      </x:c>
      <x:c r="T126" s="85" t="n">
        <x:v>62</x:v>
      </x:c>
      <x:c r="U126" s="85" t="n">
        <x:v>64</x:v>
      </x:c>
      <x:c r="V126" s="85" t="n">
        <x:v>66</x:v>
      </x:c>
      <x:c r="W126" s="85" t="n">
        <x:v>50</x:v>
      </x:c>
      <x:c r="X126" s="85" t="n">
        <x:v>62</x:v>
      </x:c>
      <x:c r="Y126" s="85" t="n">
        <x:v>62</x:v>
      </x:c>
      <x:c r="Z126" s="85" t="n">
        <x:v>67</x:v>
      </x:c>
      <x:c r="AA126" s="85" t="n">
        <x:v>70</x:v>
      </x:c>
      <x:c r="AB126" s="85" t="n">
        <x:v>63</x:v>
      </x:c>
      <x:c r="AC126" s="91" t="str">
        <x:v>既存時代区分「近代」（WorldTeam名簿外）</x:v>
      </x:c>
      <x:c r="AD126" s="91" t="str">
        <x:v>https://en.wikipedia.org/wiki/Special:Search?search=Maximiliano%20Richeze%20cyclist</x:v>
      </x:c>
      <x:c r="AE126" s="91" t="str">
        <x:v>能力・適性・Credit整合済</x:v>
      </x:c>
      <x:c r="AF126" s="91" t="str">
        <x:v>https://en.wikipedia.org/wiki/Special:Search?search=Maximiliano%20Richeze%20cyclist</x:v>
      </x:c>
    </x:row>
    <x:row r="127" ht="26" customHeight="1">
      <x:c r="A127" s="82" t="n">
        <x:v>123</x:v>
      </x:c>
      <x:c r="B127" s="82" t="str">
        <x:v>Robert Gesink</x:v>
      </x:c>
      <x:c r="C127" s="143" t="str"/>
      <x:c r="D127" s="82" t="str">
        <x:v>オランダ</x:v>
      </x:c>
      <x:c r="E127" s="82" t="str">
        <x:v>引退</x:v>
      </x:c>
      <x:c r="F127" s="82" t="str"/>
      <x:c r="G127" s="82" t="str">
        <x:v>引退確認済</x:v>
      </x:c>
      <x:c r="H127" s="82" t="str">
        <x:v>クライマー</x:v>
      </x:c>
      <x:c r="I127" s="82" t="str">
        <x:v>総合型</x:v>
      </x:c>
      <x:c r="J127" s="85" t="n">
        <x:v>58</x:v>
      </x:c>
      <x:c r="K127" s="85" t="n">
        <x:v>90</x:v>
      </x:c>
      <x:c r="L127" s="91" t="str">
        <x:v>山岳賞ハンター / 山岳アシスト / 山岳ペースメーカー / 集団コントローラー</x:v>
      </x:c>
      <x:c r="M127" s="88" t="n">
        <x:v>2950</x:v>
      </x:c>
      <x:c r="N127" s="85" t="n">
        <x:v>56</x:v>
      </x:c>
      <x:c r="O127" s="85" t="n">
        <x:v>64</x:v>
      </x:c>
      <x:c r="P127" s="85" t="n">
        <x:v>66</x:v>
      </x:c>
      <x:c r="Q127" s="85" t="n">
        <x:v>58</x:v>
      </x:c>
      <x:c r="R127" s="85" t="n">
        <x:v>74</x:v>
      </x:c>
      <x:c r="S127" s="85" t="n">
        <x:v>69</x:v>
      </x:c>
      <x:c r="T127" s="85" t="n">
        <x:v>65</x:v>
      </x:c>
      <x:c r="U127" s="85" t="n">
        <x:v>58</x:v>
      </x:c>
      <x:c r="V127" s="85" t="n">
        <x:v>60</x:v>
      </x:c>
      <x:c r="W127" s="85" t="n">
        <x:v>50</x:v>
      </x:c>
      <x:c r="X127" s="85" t="n">
        <x:v>73</x:v>
      </x:c>
      <x:c r="Y127" s="85" t="n">
        <x:v>74</x:v>
      </x:c>
      <x:c r="Z127" s="85" t="n">
        <x:v>68</x:v>
      </x:c>
      <x:c r="AA127" s="85" t="n">
        <x:v>65</x:v>
      </x:c>
      <x:c r="AB127" s="85" t="n">
        <x:v>67</x:v>
      </x:c>
      <x:c r="AC127" s="91" t="str">
        <x:v>既存時代区分「近代」（WorldTeam名簿外）</x:v>
      </x:c>
      <x:c r="AD127" s="91" t="str">
        <x:v>https://en.wikipedia.org/wiki/Special:Search?search=Robert%20Gesink%20cyclist</x:v>
      </x:c>
      <x:c r="AE127" s="91" t="str">
        <x:v>能力・適性・Credit整合済</x:v>
      </x:c>
      <x:c r="AF127" s="91" t="str">
        <x:v>https://en.wikipedia.org/wiki/Special:Search?search=Robert%20Gesink%20cyclist</x:v>
      </x:c>
    </x:row>
    <x:row r="128" ht="26" customHeight="1">
      <x:c r="A128" s="82" t="n">
        <x:v>124</x:v>
      </x:c>
      <x:c r="B128" s="82" t="str">
        <x:v>Mikel Nieve</x:v>
      </x:c>
      <x:c r="C128" s="143" t="str"/>
      <x:c r="D128" s="82" t="str">
        <x:v>スペイン</x:v>
      </x:c>
      <x:c r="E128" s="82" t="str">
        <x:v>引退</x:v>
      </x:c>
      <x:c r="F128" s="82" t="str"/>
      <x:c r="G128" s="82" t="str">
        <x:v>引退確認済</x:v>
      </x:c>
      <x:c r="H128" s="82" t="str">
        <x:v>クライマー</x:v>
      </x:c>
      <x:c r="I128" s="82" t="str">
        <x:v>総合型</x:v>
      </x:c>
      <x:c r="J128" s="85" t="n">
        <x:v>57</x:v>
      </x:c>
      <x:c r="K128" s="85" t="n">
        <x:v>93</x:v>
      </x:c>
      <x:c r="L128" s="91" t="str">
        <x:v>山岳賞ハンター / 山岳アシスト / 山岳番手 / 集団コントローラー / サテライトライダー</x:v>
      </x:c>
      <x:c r="M128" s="88" t="n">
        <x:v>3250</x:v>
      </x:c>
      <x:c r="N128" s="85" t="n">
        <x:v>56</x:v>
      </x:c>
      <x:c r="O128" s="85" t="n">
        <x:v>65</x:v>
      </x:c>
      <x:c r="P128" s="85" t="n">
        <x:v>67</x:v>
      </x:c>
      <x:c r="Q128" s="85" t="n">
        <x:v>61</x:v>
      </x:c>
      <x:c r="R128" s="85" t="n">
        <x:v>76</x:v>
      </x:c>
      <x:c r="S128" s="85" t="n">
        <x:v>72</x:v>
      </x:c>
      <x:c r="T128" s="85" t="n">
        <x:v>68</x:v>
      </x:c>
      <x:c r="U128" s="85" t="n">
        <x:v>62</x:v>
      </x:c>
      <x:c r="V128" s="85" t="n">
        <x:v>62</x:v>
      </x:c>
      <x:c r="W128" s="85" t="n">
        <x:v>50</x:v>
      </x:c>
      <x:c r="X128" s="85" t="n">
        <x:v>75</x:v>
      </x:c>
      <x:c r="Y128" s="85" t="n">
        <x:v>76</x:v>
      </x:c>
      <x:c r="Z128" s="85" t="n">
        <x:v>71</x:v>
      </x:c>
      <x:c r="AA128" s="85" t="n">
        <x:v>66</x:v>
      </x:c>
      <x:c r="AB128" s="85" t="n">
        <x:v>69</x:v>
      </x:c>
      <x:c r="AC128" s="91" t="str">
        <x:v>既存時代区分「近代」（WorldTeam名簿外）</x:v>
      </x:c>
      <x:c r="AD128" s="91" t="str">
        <x:v>https://en.wikipedia.org/wiki/Special:Search?search=Mikel%20Nieve%20cyclist</x:v>
      </x:c>
      <x:c r="AE128" s="91" t="str">
        <x:v>能力・適性・Credit整合済</x:v>
      </x:c>
      <x:c r="AF128" s="91" t="str">
        <x:v>https://en.wikipedia.org/wiki/Special:Search?search=Mikel%20Nieve%20cyclist</x:v>
      </x:c>
    </x:row>
    <x:row r="129" ht="26" customHeight="1">
      <x:c r="A129" s="82" t="n">
        <x:v>125</x:v>
      </x:c>
      <x:c r="B129" s="82" t="str">
        <x:v>Eros Poli</x:v>
      </x:c>
      <x:c r="C129" s="143" t="str"/>
      <x:c r="D129" s="82" t="str">
        <x:v>イタリア</x:v>
      </x:c>
      <x:c r="E129" s="82" t="str">
        <x:v>引退</x:v>
      </x:c>
      <x:c r="F129" s="82" t="str"/>
      <x:c r="G129" s="82" t="str">
        <x:v>引退確認済</x:v>
      </x:c>
      <x:c r="H129" s="82" t="str">
        <x:v>TT・ルーラー型</x:v>
      </x:c>
      <x:c r="I129" s="82" t="str">
        <x:v>クラシック型</x:v>
      </x:c>
      <x:c r="J129" s="85" t="n">
        <x:v>57</x:v>
      </x:c>
      <x:c r="K129" s="85" t="n">
        <x:v>92</x:v>
      </x:c>
      <x:c r="L129" s="91" t="str">
        <x:v>平坦アシスト / TT牽引 / 集団コントローラー</x:v>
      </x:c>
      <x:c r="M129" s="88" t="n">
        <x:v>3150</x:v>
      </x:c>
      <x:c r="N129" s="85" t="n">
        <x:v>68</x:v>
      </x:c>
      <x:c r="O129" s="85" t="n">
        <x:v>64</x:v>
      </x:c>
      <x:c r="P129" s="85" t="n">
        <x:v>65</x:v>
      </x:c>
      <x:c r="Q129" s="85" t="n">
        <x:v>78</x:v>
      </x:c>
      <x:c r="R129" s="85" t="n">
        <x:v>68</x:v>
      </x:c>
      <x:c r="S129" s="85" t="n">
        <x:v>72</x:v>
      </x:c>
      <x:c r="T129" s="85" t="n">
        <x:v>70</x:v>
      </x:c>
      <x:c r="U129" s="85" t="n">
        <x:v>71</x:v>
      </x:c>
      <x:c r="V129" s="85" t="n">
        <x:v>67</x:v>
      </x:c>
      <x:c r="W129" s="85" t="n">
        <x:v>50</x:v>
      </x:c>
      <x:c r="X129" s="85" t="n">
        <x:v>66</x:v>
      </x:c>
      <x:c r="Y129" s="85" t="n">
        <x:v>67</x:v>
      </x:c>
      <x:c r="Z129" s="85" t="n">
        <x:v>77</x:v>
      </x:c>
      <x:c r="AA129" s="85" t="n">
        <x:v>64</x:v>
      </x:c>
      <x:c r="AB129" s="85" t="n">
        <x:v>66</x:v>
      </x:c>
      <x:c r="AC129" s="91" t="str">
        <x:v>既存時代区分「近代」（WorldTeam名簿外）</x:v>
      </x:c>
      <x:c r="AD129" s="91" t="str">
        <x:v>https://en.wikipedia.org/wiki/Special:Search?search=Eros%20Poli%20cyclist</x:v>
      </x:c>
      <x:c r="AE129" s="91" t="str">
        <x:v>能力・適性・Credit整合済</x:v>
      </x:c>
      <x:c r="AF129" s="91" t="str">
        <x:v>https://en.wikipedia.org/wiki/Special:Search?search=Eros%20Poli%20cyclist</x:v>
      </x:c>
    </x:row>
    <x:row r="130" ht="26" customHeight="1">
      <x:c r="A130" s="82" t="n">
        <x:v>126</x:v>
      </x:c>
      <x:c r="B130" s="82" t="str">
        <x:v>Igor Anton</x:v>
      </x:c>
      <x:c r="C130" s="143" t="str"/>
      <x:c r="D130" s="82" t="str">
        <x:v>スペイン</x:v>
      </x:c>
      <x:c r="E130" s="82" t="str">
        <x:v>引退</x:v>
      </x:c>
      <x:c r="F130" s="82" t="str"/>
      <x:c r="G130" s="82" t="str">
        <x:v>引退確認済</x:v>
      </x:c>
      <x:c r="H130" s="82" t="str">
        <x:v>クライマー</x:v>
      </x:c>
      <x:c r="I130" s="82" t="str">
        <x:v>総合型</x:v>
      </x:c>
      <x:c r="J130" s="85" t="n">
        <x:v>57</x:v>
      </x:c>
      <x:c r="K130" s="85" t="n">
        <x:v>93</x:v>
      </x:c>
      <x:c r="L130" s="91" t="str">
        <x:v>山岳賞ハンター / 山岳アシスト / 山岳ペースメーカー / 集団コントローラー</x:v>
      </x:c>
      <x:c r="M130" s="88" t="n">
        <x:v>3050</x:v>
      </x:c>
      <x:c r="N130" s="85" t="n">
        <x:v>56</x:v>
      </x:c>
      <x:c r="O130" s="85" t="n">
        <x:v>65</x:v>
      </x:c>
      <x:c r="P130" s="85" t="n">
        <x:v>67</x:v>
      </x:c>
      <x:c r="Q130" s="85" t="n">
        <x:v>61</x:v>
      </x:c>
      <x:c r="R130" s="85" t="n">
        <x:v>74</x:v>
      </x:c>
      <x:c r="S130" s="85" t="n">
        <x:v>69</x:v>
      </x:c>
      <x:c r="T130" s="85" t="n">
        <x:v>66</x:v>
      </x:c>
      <x:c r="U130" s="85" t="n">
        <x:v>62</x:v>
      </x:c>
      <x:c r="V130" s="85" t="n">
        <x:v>61</x:v>
      </x:c>
      <x:c r="W130" s="85" t="n">
        <x:v>50</x:v>
      </x:c>
      <x:c r="X130" s="85" t="n">
        <x:v>74</x:v>
      </x:c>
      <x:c r="Y130" s="85" t="n">
        <x:v>75</x:v>
      </x:c>
      <x:c r="Z130" s="85" t="n">
        <x:v>70</x:v>
      </x:c>
      <x:c r="AA130" s="85" t="n">
        <x:v>66</x:v>
      </x:c>
      <x:c r="AB130" s="85" t="n">
        <x:v>68</x:v>
      </x:c>
      <x:c r="AC130" s="91" t="str">
        <x:v>既存時代区分「近代」（WorldTeam名簿外）</x:v>
      </x:c>
      <x:c r="AD130" s="91" t="str">
        <x:v>https://en.wikipedia.org/wiki/Special:Search?search=Igor%20Anton%20cyclist</x:v>
      </x:c>
      <x:c r="AE130" s="91" t="str">
        <x:v>能力・適性・Credit整合済</x:v>
      </x:c>
      <x:c r="AF130" s="91" t="str">
        <x:v>https://en.wikipedia.org/wiki/Special:Search?search=Igor%20Anton%20cyclist</x:v>
      </x:c>
    </x:row>
    <x:row r="131" ht="26" customHeight="1">
      <x:c r="A131" s="82" t="n">
        <x:v>127</x:v>
      </x:c>
      <x:c r="B131" s="82" t="str">
        <x:v>Maarten Tjallingii</x:v>
      </x:c>
      <x:c r="C131" s="143" t="str"/>
      <x:c r="D131" s="82" t="str">
        <x:v>オランダ</x:v>
      </x:c>
      <x:c r="E131" s="82" t="str">
        <x:v>引退</x:v>
      </x:c>
      <x:c r="F131" s="82" t="str"/>
      <x:c r="G131" s="82" t="str">
        <x:v>引退確認済</x:v>
      </x:c>
      <x:c r="H131" s="82" t="str">
        <x:v>TT・ルーラー型</x:v>
      </x:c>
      <x:c r="I131" s="82" t="str">
        <x:v>クラシック型</x:v>
      </x:c>
      <x:c r="J131" s="85" t="n">
        <x:v>57</x:v>
      </x:c>
      <x:c r="K131" s="85" t="n">
        <x:v>92</x:v>
      </x:c>
      <x:c r="L131" s="91" t="str">
        <x:v>TT牽引 / 集団コントローラー / 横風分断</x:v>
      </x:c>
      <x:c r="M131" s="88" t="n">
        <x:v>3000</x:v>
      </x:c>
      <x:c r="N131" s="85" t="n">
        <x:v>68</x:v>
      </x:c>
      <x:c r="O131" s="85" t="n">
        <x:v>64</x:v>
      </x:c>
      <x:c r="P131" s="85" t="n">
        <x:v>64</x:v>
      </x:c>
      <x:c r="Q131" s="85" t="n">
        <x:v>77</x:v>
      </x:c>
      <x:c r="R131" s="85" t="n">
        <x:v>68</x:v>
      </x:c>
      <x:c r="S131" s="85" t="n">
        <x:v>70</x:v>
      </x:c>
      <x:c r="T131" s="85" t="n">
        <x:v>69</x:v>
      </x:c>
      <x:c r="U131" s="85" t="n">
        <x:v>70</x:v>
      </x:c>
      <x:c r="V131" s="85" t="n">
        <x:v>66</x:v>
      </x:c>
      <x:c r="W131" s="85" t="n">
        <x:v>64</x:v>
      </x:c>
      <x:c r="X131" s="85" t="n">
        <x:v>65</x:v>
      </x:c>
      <x:c r="Y131" s="85" t="n">
        <x:v>65</x:v>
      </x:c>
      <x:c r="Z131" s="85" t="n">
        <x:v>74</x:v>
      </x:c>
      <x:c r="AA131" s="85" t="n">
        <x:v>64</x:v>
      </x:c>
      <x:c r="AB131" s="85" t="n">
        <x:v>65</x:v>
      </x:c>
      <x:c r="AC131" s="91" t="str">
        <x:v>既存時代区分「近代」（WorldTeam名簿外）</x:v>
      </x:c>
      <x:c r="AD131" s="91" t="str">
        <x:v>https://en.wikipedia.org/wiki/Special:Search?search=Maarten%20Tjallingii%20cyclist</x:v>
      </x:c>
      <x:c r="AE131" s="91" t="str">
        <x:v>能力・適性・Credit整合済</x:v>
      </x:c>
      <x:c r="AF131" s="91" t="str">
        <x:v>https://en.wikipedia.org/wiki/Special:Search?search=Maarten%20Tjallingii%20cyclist</x:v>
      </x:c>
    </x:row>
    <x:row r="132" ht="26" customHeight="1">
      <x:c r="A132" s="82" t="n">
        <x:v>128</x:v>
      </x:c>
      <x:c r="B132" s="82" t="str">
        <x:v>Tanel Kangert</x:v>
      </x:c>
      <x:c r="C132" s="143" t="str"/>
      <x:c r="D132" s="82" t="str">
        <x:v>エストニア</x:v>
      </x:c>
      <x:c r="E132" s="82" t="str">
        <x:v>引退</x:v>
      </x:c>
      <x:c r="F132" s="82" t="str"/>
      <x:c r="G132" s="82" t="str">
        <x:v>引退確認済</x:v>
      </x:c>
      <x:c r="H132" s="82" t="str">
        <x:v>クライマー</x:v>
      </x:c>
      <x:c r="I132" s="82" t="str">
        <x:v>総合型</x:v>
      </x:c>
      <x:c r="J132" s="85" t="n">
        <x:v>57</x:v>
      </x:c>
      <x:c r="K132" s="85" t="n">
        <x:v>93</x:v>
      </x:c>
      <x:c r="L132" s="91" t="str">
        <x:v>山岳賞ハンター / 山岳アシスト / 集団コントローラー</x:v>
      </x:c>
      <x:c r="M132" s="88" t="n">
        <x:v>3000</x:v>
      </x:c>
      <x:c r="N132" s="85" t="n">
        <x:v>56</x:v>
      </x:c>
      <x:c r="O132" s="85" t="n">
        <x:v>65</x:v>
      </x:c>
      <x:c r="P132" s="85" t="n">
        <x:v>67</x:v>
      </x:c>
      <x:c r="Q132" s="85" t="n">
        <x:v>60</x:v>
      </x:c>
      <x:c r="R132" s="85" t="n">
        <x:v>74</x:v>
      </x:c>
      <x:c r="S132" s="85" t="n">
        <x:v>69</x:v>
      </x:c>
      <x:c r="T132" s="85" t="n">
        <x:v>66</x:v>
      </x:c>
      <x:c r="U132" s="85" t="n">
        <x:v>62</x:v>
      </x:c>
      <x:c r="V132" s="85" t="n">
        <x:v>61</x:v>
      </x:c>
      <x:c r="W132" s="85" t="n">
        <x:v>50</x:v>
      </x:c>
      <x:c r="X132" s="85" t="n">
        <x:v>74</x:v>
      </x:c>
      <x:c r="Y132" s="85" t="n">
        <x:v>74</x:v>
      </x:c>
      <x:c r="Z132" s="85" t="n">
        <x:v>70</x:v>
      </x:c>
      <x:c r="AA132" s="85" t="n">
        <x:v>65</x:v>
      </x:c>
      <x:c r="AB132" s="85" t="n">
        <x:v>67</x:v>
      </x:c>
      <x:c r="AC132" s="91" t="str">
        <x:v>既存時代区分「近代」（WorldTeam名簿外）</x:v>
      </x:c>
      <x:c r="AD132" s="91" t="str">
        <x:v>https://en.wikipedia.org/wiki/Special:Search?search=Tanel%20Kangert%20cyclist</x:v>
      </x:c>
      <x:c r="AE132" s="91" t="str">
        <x:v>能力・適性・Credit整合済</x:v>
      </x:c>
      <x:c r="AF132" s="91" t="str">
        <x:v>https://en.wikipedia.org/wiki/Special:Search?search=Tanel%20Kangert%20cyclist</x:v>
      </x:c>
    </x:row>
    <x:row r="133" ht="26" customHeight="1">
      <x:c r="A133" s="82" t="n">
        <x:v>129</x:v>
      </x:c>
      <x:c r="B133" s="82" t="str">
        <x:v>Iljo Keisse</x:v>
      </x:c>
      <x:c r="C133" s="143" t="str"/>
      <x:c r="D133" s="82" t="str">
        <x:v>ベルギー</x:v>
      </x:c>
      <x:c r="E133" s="82" t="str">
        <x:v>引退</x:v>
      </x:c>
      <x:c r="F133" s="82" t="str"/>
      <x:c r="G133" s="82" t="str">
        <x:v>引退確認済</x:v>
      </x:c>
      <x:c r="H133" s="82" t="str">
        <x:v>スプリンター</x:v>
      </x:c>
      <x:c r="I133" s="82" t="str">
        <x:v>TT・ルーラー型</x:v>
      </x:c>
      <x:c r="J133" s="85" t="n">
        <x:v>57</x:v>
      </x:c>
      <x:c r="K133" s="85" t="n">
        <x:v>96</x:v>
      </x:c>
      <x:c r="L133" s="91" t="str">
        <x:v>リードアウト / 最終発射台 / スプリントトレイン</x:v>
      </x:c>
      <x:c r="M133" s="88" t="n">
        <x:v>2950</x:v>
      </x:c>
      <x:c r="N133" s="85" t="n">
        <x:v>78</x:v>
      </x:c>
      <x:c r="O133" s="85" t="n">
        <x:v>74</x:v>
      </x:c>
      <x:c r="P133" s="85" t="n">
        <x:v>65</x:v>
      </x:c>
      <x:c r="Q133" s="85" t="n">
        <x:v>68</x:v>
      </x:c>
      <x:c r="R133" s="85" t="n">
        <x:v>58</x:v>
      </x:c>
      <x:c r="S133" s="85" t="n">
        <x:v>62</x:v>
      </x:c>
      <x:c r="T133" s="85" t="n">
        <x:v>62</x:v>
      </x:c>
      <x:c r="U133" s="85" t="n">
        <x:v>65</x:v>
      </x:c>
      <x:c r="V133" s="85" t="n">
        <x:v>66</x:v>
      </x:c>
      <x:c r="W133" s="85" t="n">
        <x:v>69</x:v>
      </x:c>
      <x:c r="X133" s="85" t="n">
        <x:v>62</x:v>
      </x:c>
      <x:c r="Y133" s="85" t="n">
        <x:v>62</x:v>
      </x:c>
      <x:c r="Z133" s="85" t="n">
        <x:v>67</x:v>
      </x:c>
      <x:c r="AA133" s="85" t="n">
        <x:v>70</x:v>
      </x:c>
      <x:c r="AB133" s="85" t="n">
        <x:v>63</x:v>
      </x:c>
      <x:c r="AC133" s="91" t="str">
        <x:v>既存時代区分「近代」（WorldTeam名簿外）</x:v>
      </x:c>
      <x:c r="AD133" s="91" t="str">
        <x:v>https://en.wikipedia.org/wiki/Special:Search?search=Iljo%20Keisse%20cyclist</x:v>
      </x:c>
      <x:c r="AE133" s="91" t="str">
        <x:v>能力・適性・Credit整合済</x:v>
      </x:c>
      <x:c r="AF133" s="91" t="str">
        <x:v>https://en.wikipedia.org/wiki/Special:Search?search=Iljo%20Keisse%20cyclist</x:v>
      </x:c>
    </x:row>
    <x:row r="134" ht="26" customHeight="1">
      <x:c r="A134" s="82" t="n">
        <x:v>130</x:v>
      </x:c>
      <x:c r="B134" s="82" t="str">
        <x:v>Alex Dowsett</x:v>
      </x:c>
      <x:c r="C134" s="143" t="str"/>
      <x:c r="D134" s="82" t="str">
        <x:v>イギリス</x:v>
      </x:c>
      <x:c r="E134" s="82" t="str">
        <x:v>引退</x:v>
      </x:c>
      <x:c r="F134" s="82" t="str"/>
      <x:c r="G134" s="82" t="str">
        <x:v>引退確認済</x:v>
      </x:c>
      <x:c r="H134" s="82" t="str">
        <x:v>TT・ルーラー型</x:v>
      </x:c>
      <x:c r="I134" s="82" t="str">
        <x:v>総合型</x:v>
      </x:c>
      <x:c r="J134" s="85" t="n">
        <x:v>57</x:v>
      </x:c>
      <x:c r="K134" s="85" t="n">
        <x:v>93</x:v>
      </x:c>
      <x:c r="L134" s="91" t="str">
        <x:v>ロードキャプテン / TT牽引 / 集団コントローラー</x:v>
      </x:c>
      <x:c r="M134" s="88" t="n">
        <x:v>2900</x:v>
      </x:c>
      <x:c r="N134" s="85" t="n">
        <x:v>64</x:v>
      </x:c>
      <x:c r="O134" s="85" t="n">
        <x:v>60</x:v>
      </x:c>
      <x:c r="P134" s="85" t="n">
        <x:v>62</x:v>
      </x:c>
      <x:c r="Q134" s="85" t="n">
        <x:v>75</x:v>
      </x:c>
      <x:c r="R134" s="85" t="n">
        <x:v>70</x:v>
      </x:c>
      <x:c r="S134" s="85" t="n">
        <x:v>70</x:v>
      </x:c>
      <x:c r="T134" s="85" t="n">
        <x:v>67</x:v>
      </x:c>
      <x:c r="U134" s="85" t="n">
        <x:v>67</x:v>
      </x:c>
      <x:c r="V134" s="85" t="n">
        <x:v>64</x:v>
      </x:c>
      <x:c r="W134" s="85" t="n">
        <x:v>50</x:v>
      </x:c>
      <x:c r="X134" s="85" t="n">
        <x:v>65</x:v>
      </x:c>
      <x:c r="Y134" s="85" t="n">
        <x:v>66</x:v>
      </x:c>
      <x:c r="Z134" s="85" t="n">
        <x:v>75</x:v>
      </x:c>
      <x:c r="AA134" s="85" t="n">
        <x:v>61</x:v>
      </x:c>
      <x:c r="AB134" s="85" t="n">
        <x:v>63</x:v>
      </x:c>
      <x:c r="AC134" s="91" t="str">
        <x:v>既存時代区分「近代」（WorldTeam名簿外）</x:v>
      </x:c>
      <x:c r="AD134" s="91" t="str">
        <x:v>https://en.wikipedia.org/wiki/Special:Search?search=Alex%20Dowsett%20cyclist</x:v>
      </x:c>
      <x:c r="AE134" s="91" t="str">
        <x:v>能力・適性・Credit整合済</x:v>
      </x:c>
      <x:c r="AF134" s="91" t="str">
        <x:v>https://en.wikipedia.org/wiki/Special:Search?search=Alex%20Dowsett%20cyclist</x:v>
      </x:c>
    </x:row>
    <x:row r="135" ht="26" customHeight="1">
      <x:c r="A135" s="82" t="n">
        <x:v>131</x:v>
      </x:c>
      <x:c r="B135" s="82" t="str">
        <x:v>Roy Curvers</x:v>
      </x:c>
      <x:c r="C135" s="143" t="str"/>
      <x:c r="D135" s="82" t="str">
        <x:v>オランダ</x:v>
      </x:c>
      <x:c r="E135" s="82" t="str">
        <x:v>引退</x:v>
      </x:c>
      <x:c r="F135" s="82" t="str"/>
      <x:c r="G135" s="82" t="str">
        <x:v>引退確認済</x:v>
      </x:c>
      <x:c r="H135" s="82" t="str">
        <x:v>スプリンター</x:v>
      </x:c>
      <x:c r="I135" s="82" t="str">
        <x:v>TT・ルーラー型</x:v>
      </x:c>
      <x:c r="J135" s="85" t="n">
        <x:v>57</x:v>
      </x:c>
      <x:c r="K135" s="85" t="n">
        <x:v>96</x:v>
      </x:c>
      <x:c r="L135" s="91" t="str">
        <x:v>リードアウト / 最終発射台 / スプリントトレイン</x:v>
      </x:c>
      <x:c r="M135" s="88" t="n">
        <x:v>2900</x:v>
      </x:c>
      <x:c r="N135" s="85" t="n">
        <x:v>77</x:v>
      </x:c>
      <x:c r="O135" s="85" t="n">
        <x:v>73</x:v>
      </x:c>
      <x:c r="P135" s="85" t="n">
        <x:v>64</x:v>
      </x:c>
      <x:c r="Q135" s="85" t="n">
        <x:v>66</x:v>
      </x:c>
      <x:c r="R135" s="85" t="n">
        <x:v>58</x:v>
      </x:c>
      <x:c r="S135" s="85" t="n">
        <x:v>61</x:v>
      </x:c>
      <x:c r="T135" s="85" t="n">
        <x:v>61</x:v>
      </x:c>
      <x:c r="U135" s="85" t="n">
        <x:v>64</x:v>
      </x:c>
      <x:c r="V135" s="85" t="n">
        <x:v>64</x:v>
      </x:c>
      <x:c r="W135" s="85" t="n">
        <x:v>64</x:v>
      </x:c>
      <x:c r="X135" s="85" t="n">
        <x:v>61</x:v>
      </x:c>
      <x:c r="Y135" s="85" t="n">
        <x:v>61</x:v>
      </x:c>
      <x:c r="Z135" s="85" t="n">
        <x:v>67</x:v>
      </x:c>
      <x:c r="AA135" s="85" t="n">
        <x:v>70</x:v>
      </x:c>
      <x:c r="AB135" s="85" t="n">
        <x:v>61</x:v>
      </x:c>
      <x:c r="AC135" s="91" t="str">
        <x:v>既存時代区分「近代」（WorldTeam名簿外）</x:v>
      </x:c>
      <x:c r="AD135" s="91" t="str">
        <x:v>https://en.wikipedia.org/wiki/Special:Search?search=Roy%20Curvers%20cyclist</x:v>
      </x:c>
      <x:c r="AE135" s="91" t="str">
        <x:v>能力・適性・Credit整合済</x:v>
      </x:c>
      <x:c r="AF135" s="91" t="str">
        <x:v>https://en.wikipedia.org/wiki/Special:Search?search=Roy%20Curvers%20cyclist</x:v>
      </x:c>
    </x:row>
    <x:row r="136" ht="26" customHeight="1">
      <x:c r="A136" s="82" t="n">
        <x:v>132</x:v>
      </x:c>
      <x:c r="B136" s="82" t="str">
        <x:v>Rein Taaramae</x:v>
      </x:c>
      <x:c r="C136" s="143" t="str"/>
      <x:c r="D136" s="82" t="str">
        <x:v>エストニア</x:v>
      </x:c>
      <x:c r="E136" s="82" t="str">
        <x:v>引退</x:v>
      </x:c>
      <x:c r="F136" s="82" t="str"/>
      <x:c r="G136" s="82" t="str">
        <x:v>引退確認済</x:v>
      </x:c>
      <x:c r="H136" s="82" t="str">
        <x:v>クライマー</x:v>
      </x:c>
      <x:c r="I136" s="82" t="str">
        <x:v>総合型</x:v>
      </x:c>
      <x:c r="J136" s="85" t="n">
        <x:v>57</x:v>
      </x:c>
      <x:c r="K136" s="85" t="n">
        <x:v>91</x:v>
      </x:c>
      <x:c r="L136" s="91" t="str">
        <x:v>山岳賞ハンター / 山岳アシスト / 山岳ペースメーカー / 集団コントローラー</x:v>
      </x:c>
      <x:c r="M136" s="88" t="n">
        <x:v>2900</x:v>
      </x:c>
      <x:c r="N136" s="85" t="n">
        <x:v>56</x:v>
      </x:c>
      <x:c r="O136" s="85" t="n">
        <x:v>64</x:v>
      </x:c>
      <x:c r="P136" s="85" t="n">
        <x:v>66</x:v>
      </x:c>
      <x:c r="Q136" s="85" t="n">
        <x:v>57</x:v>
      </x:c>
      <x:c r="R136" s="85" t="n">
        <x:v>74</x:v>
      </x:c>
      <x:c r="S136" s="85" t="n">
        <x:v>69</x:v>
      </x:c>
      <x:c r="T136" s="85" t="n">
        <x:v>65</x:v>
      </x:c>
      <x:c r="U136" s="85" t="n">
        <x:v>57</x:v>
      </x:c>
      <x:c r="V136" s="85" t="n">
        <x:v>57</x:v>
      </x:c>
      <x:c r="W136" s="85" t="n">
        <x:v>50</x:v>
      </x:c>
      <x:c r="X136" s="85" t="n">
        <x:v>73</x:v>
      </x:c>
      <x:c r="Y136" s="85" t="n">
        <x:v>74</x:v>
      </x:c>
      <x:c r="Z136" s="85" t="n">
        <x:v>68</x:v>
      </x:c>
      <x:c r="AA136" s="85" t="n">
        <x:v>65</x:v>
      </x:c>
      <x:c r="AB136" s="85" t="n">
        <x:v>67</x:v>
      </x:c>
      <x:c r="AC136" s="91" t="str">
        <x:v>既存時代区分「近代」（WorldTeam名簿外）</x:v>
      </x:c>
      <x:c r="AD136" s="91" t="str">
        <x:v>https://en.wikipedia.org/wiki/Special:Search?search=Rein%20Taaramae%20cyclist</x:v>
      </x:c>
      <x:c r="AE136" s="91" t="str">
        <x:v>能力・適性・Credit整合済</x:v>
      </x:c>
      <x:c r="AF136" s="91" t="str">
        <x:v>https://en.wikipedia.org/wiki/Special:Search?search=Rein%20Taaramae%20cyclist</x:v>
      </x:c>
    </x:row>
    <x:row r="137" ht="26" customHeight="1">
      <x:c r="A137" s="82" t="n">
        <x:v>133</x:v>
      </x:c>
      <x:c r="B137" s="82" t="str">
        <x:v>Gert Steegmans</x:v>
      </x:c>
      <x:c r="C137" s="143" t="str"/>
      <x:c r="D137" s="82" t="str">
        <x:v>ベルギー</x:v>
      </x:c>
      <x:c r="E137" s="82" t="str">
        <x:v>引退</x:v>
      </x:c>
      <x:c r="F137" s="82" t="str"/>
      <x:c r="G137" s="82" t="str">
        <x:v>引退確認済</x:v>
      </x:c>
      <x:c r="H137" s="82" t="str">
        <x:v>スプリンター</x:v>
      </x:c>
      <x:c r="I137" s="82" t="str">
        <x:v>TT・ルーラー型</x:v>
      </x:c>
      <x:c r="J137" s="85" t="n">
        <x:v>57</x:v>
      </x:c>
      <x:c r="K137" s="85" t="n">
        <x:v>96</x:v>
      </x:c>
      <x:c r="L137" s="91" t="str">
        <x:v>リードアウト / 最終発射台 / スプリントトレイン</x:v>
      </x:c>
      <x:c r="M137" s="88" t="n">
        <x:v>2800</x:v>
      </x:c>
      <x:c r="N137" s="85" t="n">
        <x:v>76</x:v>
      </x:c>
      <x:c r="O137" s="85" t="n">
        <x:v>73</x:v>
      </x:c>
      <x:c r="P137" s="85" t="n">
        <x:v>63</x:v>
      </x:c>
      <x:c r="Q137" s="85" t="n">
        <x:v>66</x:v>
      </x:c>
      <x:c r="R137" s="85" t="n">
        <x:v>58</x:v>
      </x:c>
      <x:c r="S137" s="85" t="n">
        <x:v>57</x:v>
      </x:c>
      <x:c r="T137" s="85" t="n">
        <x:v>57</x:v>
      </x:c>
      <x:c r="U137" s="85" t="n">
        <x:v>63</x:v>
      </x:c>
      <x:c r="V137" s="85" t="n">
        <x:v>58</x:v>
      </x:c>
      <x:c r="W137" s="85" t="n">
        <x:v>50</x:v>
      </x:c>
      <x:c r="X137" s="85" t="n">
        <x:v>57</x:v>
      </x:c>
      <x:c r="Y137" s="85" t="n">
        <x:v>57</x:v>
      </x:c>
      <x:c r="Z137" s="85" t="n">
        <x:v>66</x:v>
      </x:c>
      <x:c r="AA137" s="85" t="n">
        <x:v>69</x:v>
      </x:c>
      <x:c r="AB137" s="85" t="n">
        <x:v>57</x:v>
      </x:c>
      <x:c r="AC137" s="91" t="str">
        <x:v>既存時代区分「近代」（WorldTeam名簿外）</x:v>
      </x:c>
      <x:c r="AD137" s="91" t="str">
        <x:v>https://en.wikipedia.org/wiki/Special:Search?search=Gert%20Steegmans%20cyclist</x:v>
      </x:c>
      <x:c r="AE137" s="91" t="str">
        <x:v>能力・適性・Credit整合済</x:v>
      </x:c>
      <x:c r="AF137" s="91" t="str">
        <x:v>https://en.wikipedia.org/wiki/Special:Search?search=Gert%20Steegmans%20cyclist</x:v>
      </x:c>
    </x:row>
    <x:row r="138" ht="26" customHeight="1">
      <x:c r="A138" s="82" t="n">
        <x:v>134</x:v>
      </x:c>
      <x:c r="B138" s="82" t="str">
        <x:v>Vasil Kiryienka</x:v>
      </x:c>
      <x:c r="C138" s="143" t="str">
        <x:v>鉄壁のクロノ職人</x:v>
      </x:c>
      <x:c r="D138" s="82" t="str">
        <x:v>ベラルーシ</x:v>
      </x:c>
      <x:c r="E138" s="82" t="str">
        <x:v>引退</x:v>
      </x:c>
      <x:c r="F138" s="82" t="str"/>
      <x:c r="G138" s="82" t="str">
        <x:v>引退確認済</x:v>
      </x:c>
      <x:c r="H138" s="82" t="str">
        <x:v>TT・ルーラー型</x:v>
      </x:c>
      <x:c r="I138" s="82" t="str">
        <x:v>総合型</x:v>
      </x:c>
      <x:c r="J138" s="85" t="n">
        <x:v>56</x:v>
      </x:c>
      <x:c r="K138" s="85" t="n">
        <x:v>96</x:v>
      </x:c>
      <x:c r="L138" s="91" t="str">
        <x:v>ロードキャプテン / TTスペシャリスト / 平坦アシスト / 集団コントローラー / ブレイクアウェイキラー / トラブル復帰牽引</x:v>
      </x:c>
      <x:c r="M138" s="88" t="n">
        <x:v>4850</x:v>
      </x:c>
      <x:c r="N138" s="85" t="n">
        <x:v>64</x:v>
      </x:c>
      <x:c r="O138" s="85" t="n">
        <x:v>61</x:v>
      </x:c>
      <x:c r="P138" s="85" t="n">
        <x:v>63</x:v>
      </x:c>
      <x:c r="Q138" s="85" t="n">
        <x:v>78</x:v>
      </x:c>
      <x:c r="R138" s="85" t="n">
        <x:v>70</x:v>
      </x:c>
      <x:c r="S138" s="85" t="n">
        <x:v>72</x:v>
      </x:c>
      <x:c r="T138" s="85" t="n">
        <x:v>70</x:v>
      </x:c>
      <x:c r="U138" s="85" t="n">
        <x:v>71</x:v>
      </x:c>
      <x:c r="V138" s="85" t="n">
        <x:v>65</x:v>
      </x:c>
      <x:c r="W138" s="85" t="n">
        <x:v>50</x:v>
      </x:c>
      <x:c r="X138" s="85" t="n">
        <x:v>67</x:v>
      </x:c>
      <x:c r="Y138" s="85" t="n">
        <x:v>67</x:v>
      </x:c>
      <x:c r="Z138" s="85" t="n">
        <x:v>80</x:v>
      </x:c>
      <x:c r="AA138" s="85" t="n">
        <x:v>62</x:v>
      </x:c>
      <x:c r="AB138" s="85" t="n">
        <x:v>64</x:v>
      </x:c>
      <x:c r="AC138" s="91" t="str">
        <x:v>既存時代区分「近代」（WorldTeam名簿外）</x:v>
      </x:c>
      <x:c r="AD138" s="91" t="str">
        <x:v>https://en.wikipedia.org/wiki/Special:Search?search=Vasil%20Kiryienka%20cyclist</x:v>
      </x:c>
      <x:c r="AE138" s="91" t="str">
        <x:v>能力・適性・Credit整合済</x:v>
      </x:c>
      <x:c r="AF138" s="91" t="str">
        <x:v>https://en.wikipedia.org/wiki/Special:Search?search=Vasil%20Kiryienka%20cyclist</x:v>
      </x:c>
    </x:row>
    <x:row r="139" ht="26" customHeight="1">
      <x:c r="A139" s="82" t="n">
        <x:v>135</x:v>
      </x:c>
      <x:c r="B139" s="82" t="str">
        <x:v>Matthew Goss</x:v>
      </x:c>
      <x:c r="C139" s="143" t="str"/>
      <x:c r="D139" s="82" t="str">
        <x:v>オーストラリア</x:v>
      </x:c>
      <x:c r="E139" s="82" t="str">
        <x:v>引退</x:v>
      </x:c>
      <x:c r="F139" s="82" t="str"/>
      <x:c r="G139" s="82" t="str">
        <x:v>引退確認済</x:v>
      </x:c>
      <x:c r="H139" s="82" t="str">
        <x:v>スプリンター</x:v>
      </x:c>
      <x:c r="I139" s="82" t="str">
        <x:v>TT・ルーラー型</x:v>
      </x:c>
      <x:c r="J139" s="85" t="n">
        <x:v>56</x:v>
      </x:c>
      <x:c r="K139" s="85" t="n">
        <x:v>95</x:v>
      </x:c>
      <x:c r="L139" s="91" t="str">
        <x:v>リードアウト / 最終発射台 / スプリントトレイン</x:v>
      </x:c>
      <x:c r="M139" s="88" t="n">
        <x:v>3100</x:v>
      </x:c>
      <x:c r="N139" s="85" t="n">
        <x:v>77</x:v>
      </x:c>
      <x:c r="O139" s="85" t="n">
        <x:v>73</x:v>
      </x:c>
      <x:c r="P139" s="85" t="n">
        <x:v>61</x:v>
      </x:c>
      <x:c r="Q139" s="85" t="n">
        <x:v>66</x:v>
      </x:c>
      <x:c r="R139" s="85" t="n">
        <x:v>57</x:v>
      </x:c>
      <x:c r="S139" s="85" t="n">
        <x:v>62</x:v>
      </x:c>
      <x:c r="T139" s="85" t="n">
        <x:v>62</x:v>
      </x:c>
      <x:c r="U139" s="85" t="n">
        <x:v>64</x:v>
      </x:c>
      <x:c r="V139" s="85" t="n">
        <x:v>65</x:v>
      </x:c>
      <x:c r="W139" s="85" t="n">
        <x:v>50</x:v>
      </x:c>
      <x:c r="X139" s="85" t="n">
        <x:v>61</x:v>
      </x:c>
      <x:c r="Y139" s="85" t="n">
        <x:v>61</x:v>
      </x:c>
      <x:c r="Z139" s="85" t="n">
        <x:v>65</x:v>
      </x:c>
      <x:c r="AA139" s="85" t="n">
        <x:v>69</x:v>
      </x:c>
      <x:c r="AB139" s="85" t="n">
        <x:v>62</x:v>
      </x:c>
      <x:c r="AC139" s="91" t="str">
        <x:v>既存時代区分「近代」（WorldTeam名簿外）</x:v>
      </x:c>
      <x:c r="AD139" s="91" t="str">
        <x:v>https://en.wikipedia.org/wiki/Special:Search?search=Matthew%20Goss%20cyclist</x:v>
      </x:c>
      <x:c r="AE139" s="91" t="str">
        <x:v>能力・適性・Credit整合済</x:v>
      </x:c>
      <x:c r="AF139" s="91" t="str">
        <x:v>https://en.wikipedia.org/wiki/Special:Search?search=Matthew%20Goss%20cyclist</x:v>
      </x:c>
    </x:row>
    <x:row r="140" ht="26" customHeight="1">
      <x:c r="A140" s="82" t="n">
        <x:v>136</x:v>
      </x:c>
      <x:c r="B140" s="82" t="str">
        <x:v>Jos van Emden</x:v>
      </x:c>
      <x:c r="C140" s="143" t="str"/>
      <x:c r="D140" s="82" t="str">
        <x:v>オランダ</x:v>
      </x:c>
      <x:c r="E140" s="82" t="str">
        <x:v>引退</x:v>
      </x:c>
      <x:c r="F140" s="82" t="str"/>
      <x:c r="G140" s="82" t="str">
        <x:v>引退確認済</x:v>
      </x:c>
      <x:c r="H140" s="82" t="str">
        <x:v>TT・ルーラー型</x:v>
      </x:c>
      <x:c r="I140" s="82" t="str">
        <x:v>クラシック型</x:v>
      </x:c>
      <x:c r="J140" s="85" t="n">
        <x:v>56</x:v>
      </x:c>
      <x:c r="K140" s="85" t="n">
        <x:v>93</x:v>
      </x:c>
      <x:c r="L140" s="91" t="str">
        <x:v>平坦アシスト / TT牽引 / 集団コントローラー / トラブル復帰牽引 / 横風分断</x:v>
      </x:c>
      <x:c r="M140" s="88" t="n">
        <x:v>3050</x:v>
      </x:c>
      <x:c r="N140" s="85" t="n">
        <x:v>68</x:v>
      </x:c>
      <x:c r="O140" s="85" t="n">
        <x:v>64</x:v>
      </x:c>
      <x:c r="P140" s="85" t="n">
        <x:v>65</x:v>
      </x:c>
      <x:c r="Q140" s="85" t="n">
        <x:v>77</x:v>
      </x:c>
      <x:c r="R140" s="85" t="n">
        <x:v>68</x:v>
      </x:c>
      <x:c r="S140" s="85" t="n">
        <x:v>70</x:v>
      </x:c>
      <x:c r="T140" s="85" t="n">
        <x:v>69</x:v>
      </x:c>
      <x:c r="U140" s="85" t="n">
        <x:v>70</x:v>
      </x:c>
      <x:c r="V140" s="85" t="n">
        <x:v>67</x:v>
      </x:c>
      <x:c r="W140" s="85" t="n">
        <x:v>73</x:v>
      </x:c>
      <x:c r="X140" s="85" t="n">
        <x:v>66</x:v>
      </x:c>
      <x:c r="Y140" s="85" t="n">
        <x:v>66</x:v>
      </x:c>
      <x:c r="Z140" s="85" t="n">
        <x:v>77</x:v>
      </x:c>
      <x:c r="AA140" s="85" t="n">
        <x:v>64</x:v>
      </x:c>
      <x:c r="AB140" s="85" t="n">
        <x:v>65</x:v>
      </x:c>
      <x:c r="AC140" s="91" t="str">
        <x:v>既存時代区分「近代」（WorldTeam名簿外）</x:v>
      </x:c>
      <x:c r="AD140" s="91" t="str">
        <x:v>https://en.wikipedia.org/wiki/Special:Search?search=Jos%20van%20Emden%20cyclist</x:v>
      </x:c>
      <x:c r="AE140" s="91" t="str">
        <x:v>能力・適性・Credit整合済</x:v>
      </x:c>
      <x:c r="AF140" s="91" t="str">
        <x:v>https://en.wikipedia.org/wiki/Special:Search?search=Jos%20van%20Emden%20cyclist</x:v>
      </x:c>
    </x:row>
    <x:row r="141" ht="26" customHeight="1">
      <x:c r="A141" s="82" t="n">
        <x:v>137</x:v>
      </x:c>
      <x:c r="B141" s="82" t="str">
        <x:v>Michael Morkov</x:v>
      </x:c>
      <x:c r="C141" s="143" t="str"/>
      <x:c r="D141" s="82" t="str">
        <x:v>デンマーク</x:v>
      </x:c>
      <x:c r="E141" s="82" t="str">
        <x:v>引退</x:v>
      </x:c>
      <x:c r="F141" s="82" t="str"/>
      <x:c r="G141" s="82" t="str">
        <x:v>引退確認済</x:v>
      </x:c>
      <x:c r="H141" s="82" t="str">
        <x:v>スプリンター</x:v>
      </x:c>
      <x:c r="I141" s="82" t="str">
        <x:v>TT・ルーラー型</x:v>
      </x:c>
      <x:c r="J141" s="85" t="n">
        <x:v>56</x:v>
      </x:c>
      <x:c r="K141" s="85" t="n">
        <x:v>97</x:v>
      </x:c>
      <x:c r="L141" s="91" t="str">
        <x:v>リードアウト / 最終発射台 / スプリントトレイン / 集団コントローラー</x:v>
      </x:c>
      <x:c r="M141" s="88" t="n">
        <x:v>2950</x:v>
      </x:c>
      <x:c r="N141" s="85" t="n">
        <x:v>78</x:v>
      </x:c>
      <x:c r="O141" s="85" t="n">
        <x:v>74</x:v>
      </x:c>
      <x:c r="P141" s="85" t="n">
        <x:v>65</x:v>
      </x:c>
      <x:c r="Q141" s="85" t="n">
        <x:v>68</x:v>
      </x:c>
      <x:c r="R141" s="85" t="n">
        <x:v>58</x:v>
      </x:c>
      <x:c r="S141" s="85" t="n">
        <x:v>62</x:v>
      </x:c>
      <x:c r="T141" s="85" t="n">
        <x:v>62</x:v>
      </x:c>
      <x:c r="U141" s="85" t="n">
        <x:v>65</x:v>
      </x:c>
      <x:c r="V141" s="85" t="n">
        <x:v>66</x:v>
      </x:c>
      <x:c r="W141" s="85" t="n">
        <x:v>69</x:v>
      </x:c>
      <x:c r="X141" s="85" t="n">
        <x:v>63</x:v>
      </x:c>
      <x:c r="Y141" s="85" t="n">
        <x:v>63</x:v>
      </x:c>
      <x:c r="Z141" s="85" t="n">
        <x:v>67</x:v>
      </x:c>
      <x:c r="AA141" s="85" t="n">
        <x:v>70</x:v>
      </x:c>
      <x:c r="AB141" s="85" t="n">
        <x:v>64</x:v>
      </x:c>
      <x:c r="AC141" s="91" t="str">
        <x:v>既存時代区分「近代」（WorldTeam名簿外）</x:v>
      </x:c>
      <x:c r="AD141" s="91" t="str">
        <x:v>https://en.wikipedia.org/wiki/Special:Search?search=Michael%20Morkov%20cyclist</x:v>
      </x:c>
      <x:c r="AE141" s="91" t="str">
        <x:v>能力・適性・Credit整合済</x:v>
      </x:c>
      <x:c r="AF141" s="91" t="str">
        <x:v>https://en.wikipedia.org/wiki/Special:Search?search=Michael%20Morkov%20cyclist</x:v>
      </x:c>
    </x:row>
    <x:row r="142" ht="26" customHeight="1">
      <x:c r="A142" s="82" t="n">
        <x:v>138</x:v>
      </x:c>
      <x:c r="B142" s="82" t="str">
        <x:v>Jan Barta</x:v>
      </x:c>
      <x:c r="C142" s="143" t="str"/>
      <x:c r="D142" s="82" t="str">
        <x:v>チェコ</x:v>
      </x:c>
      <x:c r="E142" s="82" t="str">
        <x:v>引退</x:v>
      </x:c>
      <x:c r="F142" s="82" t="str"/>
      <x:c r="G142" s="82" t="str">
        <x:v>引退確認済</x:v>
      </x:c>
      <x:c r="H142" s="82" t="str">
        <x:v>TT・ルーラー型</x:v>
      </x:c>
      <x:c r="I142" s="82" t="str">
        <x:v>総合型</x:v>
      </x:c>
      <x:c r="J142" s="85" t="n">
        <x:v>56</x:v>
      </x:c>
      <x:c r="K142" s="85" t="n">
        <x:v>94</x:v>
      </x:c>
      <x:c r="L142" s="91" t="str">
        <x:v>ロードキャプテン / 平坦アシスト / TT牽引 / 集団コントローラー</x:v>
      </x:c>
      <x:c r="M142" s="88" t="n">
        <x:v>2900</x:v>
      </x:c>
      <x:c r="N142" s="85" t="n">
        <x:v>64</x:v>
      </x:c>
      <x:c r="O142" s="85" t="n">
        <x:v>61</x:v>
      </x:c>
      <x:c r="P142" s="85" t="n">
        <x:v>62</x:v>
      </x:c>
      <x:c r="Q142" s="85" t="n">
        <x:v>75</x:v>
      </x:c>
      <x:c r="R142" s="85" t="n">
        <x:v>70</x:v>
      </x:c>
      <x:c r="S142" s="85" t="n">
        <x:v>70</x:v>
      </x:c>
      <x:c r="T142" s="85" t="n">
        <x:v>68</x:v>
      </x:c>
      <x:c r="U142" s="85" t="n">
        <x:v>68</x:v>
      </x:c>
      <x:c r="V142" s="85" t="n">
        <x:v>64</x:v>
      </x:c>
      <x:c r="W142" s="85" t="n">
        <x:v>64</x:v>
      </x:c>
      <x:c r="X142" s="85" t="n">
        <x:v>67</x:v>
      </x:c>
      <x:c r="Y142" s="85" t="n">
        <x:v>66</x:v>
      </x:c>
      <x:c r="Z142" s="85" t="n">
        <x:v>75</x:v>
      </x:c>
      <x:c r="AA142" s="85" t="n">
        <x:v>61</x:v>
      </x:c>
      <x:c r="AB142" s="85" t="n">
        <x:v>63</x:v>
      </x:c>
      <x:c r="AC142" s="91" t="str">
        <x:v>既存時代区分「近代」（WorldTeam名簿外）</x:v>
      </x:c>
      <x:c r="AD142" s="91" t="str">
        <x:v>https://en.wikipedia.org/wiki/Special:Search?search=Jan%20Barta%20cyclist</x:v>
      </x:c>
      <x:c r="AE142" s="91" t="str">
        <x:v>能力・適性・Credit整合済</x:v>
      </x:c>
      <x:c r="AF142" s="91" t="str">
        <x:v>https://en.wikipedia.org/wiki/Special:Search?search=Jan%20Barta%20cyclist</x:v>
      </x:c>
    </x:row>
    <x:row r="143" ht="26" customHeight="1">
      <x:c r="A143" s="82" t="n">
        <x:v>139</x:v>
      </x:c>
      <x:c r="B143" s="82" t="str">
        <x:v>Viatcheslav Ekimov</x:v>
      </x:c>
      <x:c r="C143" s="143" t="str"/>
      <x:c r="D143" s="82" t="str">
        <x:v>ロシア</x:v>
      </x:c>
      <x:c r="E143" s="82" t="str">
        <x:v>引退</x:v>
      </x:c>
      <x:c r="F143" s="82" t="str"/>
      <x:c r="G143" s="82" t="str">
        <x:v>引退確認済</x:v>
      </x:c>
      <x:c r="H143" s="82" t="str">
        <x:v>TT・ルーラー型</x:v>
      </x:c>
      <x:c r="I143" s="82" t="str">
        <x:v>クラシック型</x:v>
      </x:c>
      <x:c r="J143" s="85" t="n">
        <x:v>56</x:v>
      </x:c>
      <x:c r="K143" s="85" t="n">
        <x:v>93</x:v>
      </x:c>
      <x:c r="L143" s="91" t="str">
        <x:v>平坦アシスト / TT牽引 / 集団コントローラー / トラブル復帰牽引</x:v>
      </x:c>
      <x:c r="M143" s="88" t="n">
        <x:v>2900</x:v>
      </x:c>
      <x:c r="N143" s="85" t="n">
        <x:v>67</x:v>
      </x:c>
      <x:c r="O143" s="85" t="n">
        <x:v>63</x:v>
      </x:c>
      <x:c r="P143" s="85" t="n">
        <x:v>63</x:v>
      </x:c>
      <x:c r="Q143" s="85" t="n">
        <x:v>76</x:v>
      </x:c>
      <x:c r="R143" s="85" t="n">
        <x:v>68</x:v>
      </x:c>
      <x:c r="S143" s="85" t="n">
        <x:v>68</x:v>
      </x:c>
      <x:c r="T143" s="85" t="n">
        <x:v>69</x:v>
      </x:c>
      <x:c r="U143" s="85" t="n">
        <x:v>69</x:v>
      </x:c>
      <x:c r="V143" s="85" t="n">
        <x:v>66</x:v>
      </x:c>
      <x:c r="W143" s="85" t="n">
        <x:v>50</x:v>
      </x:c>
      <x:c r="X143" s="85" t="n">
        <x:v>64</x:v>
      </x:c>
      <x:c r="Y143" s="85" t="n">
        <x:v>64</x:v>
      </x:c>
      <x:c r="Z143" s="85" t="n">
        <x:v>76</x:v>
      </x:c>
      <x:c r="AA143" s="85" t="n">
        <x:v>63</x:v>
      </x:c>
      <x:c r="AB143" s="85" t="n">
        <x:v>64</x:v>
      </x:c>
      <x:c r="AC143" s="91" t="str">
        <x:v>既存時代区分「近代」（WorldTeam名簿外）</x:v>
      </x:c>
      <x:c r="AD143" s="91" t="str">
        <x:v>https://en.wikipedia.org/wiki/Special:Search?search=Viatcheslav%20Ekimov%20cyclist</x:v>
      </x:c>
      <x:c r="AE143" s="91" t="str">
        <x:v>能力・適性・Credit整合済</x:v>
      </x:c>
      <x:c r="AF143" s="91" t="str">
        <x:v>https://en.wikipedia.org/wiki/Special:Search?search=Viatcheslav%20Ekimov%20cyclist</x:v>
      </x:c>
    </x:row>
    <x:row r="144" ht="26" customHeight="1">
      <x:c r="A144" s="82" t="n">
        <x:v>140</x:v>
      </x:c>
      <x:c r="B144" s="82" t="str">
        <x:v>Ramon Sinkeldam</x:v>
      </x:c>
      <x:c r="C144" s="143" t="str"/>
      <x:c r="D144" s="82" t="str">
        <x:v>オランダ</x:v>
      </x:c>
      <x:c r="E144" s="82" t="str">
        <x:v>引退</x:v>
      </x:c>
      <x:c r="F144" s="82" t="str"/>
      <x:c r="G144" s="82" t="str">
        <x:v>引退確認済</x:v>
      </x:c>
      <x:c r="H144" s="82" t="str">
        <x:v>スプリンター</x:v>
      </x:c>
      <x:c r="I144" s="82" t="str">
        <x:v>TT・ルーラー型</x:v>
      </x:c>
      <x:c r="J144" s="85" t="n">
        <x:v>56</x:v>
      </x:c>
      <x:c r="K144" s="85" t="n">
        <x:v>97</x:v>
      </x:c>
      <x:c r="L144" s="91" t="str">
        <x:v>リードアウト / 最終発射台 / スプリントトレイン</x:v>
      </x:c>
      <x:c r="M144" s="88" t="n">
        <x:v>2900</x:v>
      </x:c>
      <x:c r="N144" s="85" t="n">
        <x:v>78</x:v>
      </x:c>
      <x:c r="O144" s="85" t="n">
        <x:v>73</x:v>
      </x:c>
      <x:c r="P144" s="85" t="n">
        <x:v>64</x:v>
      </x:c>
      <x:c r="Q144" s="85" t="n">
        <x:v>67</x:v>
      </x:c>
      <x:c r="R144" s="85" t="n">
        <x:v>58</x:v>
      </x:c>
      <x:c r="S144" s="85" t="n">
        <x:v>61</x:v>
      </x:c>
      <x:c r="T144" s="85" t="n">
        <x:v>61</x:v>
      </x:c>
      <x:c r="U144" s="85" t="n">
        <x:v>64</x:v>
      </x:c>
      <x:c r="V144" s="85" t="n">
        <x:v>65</x:v>
      </x:c>
      <x:c r="W144" s="85" t="n">
        <x:v>69</x:v>
      </x:c>
      <x:c r="X144" s="85" t="n">
        <x:v>62</x:v>
      </x:c>
      <x:c r="Y144" s="85" t="n">
        <x:v>62</x:v>
      </x:c>
      <x:c r="Z144" s="85" t="n">
        <x:v>67</x:v>
      </x:c>
      <x:c r="AA144" s="85" t="n">
        <x:v>70</x:v>
      </x:c>
      <x:c r="AB144" s="85" t="n">
        <x:v>62</x:v>
      </x:c>
      <x:c r="AC144" s="91" t="str">
        <x:v>既存時代区分「近代」（WorldTeam名簿外）</x:v>
      </x:c>
      <x:c r="AD144" s="91" t="str">
        <x:v>https://en.wikipedia.org/wiki/Special:Search?search=Ramon%20Sinkeldam%20cyclist</x:v>
      </x:c>
      <x:c r="AE144" s="91" t="str">
        <x:v>能力・適性・Credit整合済</x:v>
      </x:c>
      <x:c r="AF144" s="91" t="str">
        <x:v>https://en.wikipedia.org/wiki/Special:Search?search=Ramon%20Sinkeldam%20cyclist</x:v>
      </x:c>
    </x:row>
    <x:row r="145" ht="26" customHeight="1">
      <x:c r="A145" s="82" t="n">
        <x:v>141</x:v>
      </x:c>
      <x:c r="B145" s="82" t="str">
        <x:v>Jurgen Roelandts</x:v>
      </x:c>
      <x:c r="C145" s="143" t="str"/>
      <x:c r="D145" s="82" t="str">
        <x:v>ベルギー</x:v>
      </x:c>
      <x:c r="E145" s="82" t="str">
        <x:v>引退</x:v>
      </x:c>
      <x:c r="F145" s="82" t="str"/>
      <x:c r="G145" s="82" t="str">
        <x:v>引退確認済</x:v>
      </x:c>
      <x:c r="H145" s="82" t="str">
        <x:v>スプリンター</x:v>
      </x:c>
      <x:c r="I145" s="82" t="str">
        <x:v>TT・ルーラー型</x:v>
      </x:c>
      <x:c r="J145" s="85" t="n">
        <x:v>56</x:v>
      </x:c>
      <x:c r="K145" s="85" t="n">
        <x:v>97</x:v>
      </x:c>
      <x:c r="L145" s="91" t="str">
        <x:v>リードアウト / 最終発射台 / スプリントトレイン</x:v>
      </x:c>
      <x:c r="M145" s="88" t="n">
        <x:v>2850</x:v>
      </x:c>
      <x:c r="N145" s="85" t="n">
        <x:v>77</x:v>
      </x:c>
      <x:c r="O145" s="85" t="n">
        <x:v>73</x:v>
      </x:c>
      <x:c r="P145" s="85" t="n">
        <x:v>63</x:v>
      </x:c>
      <x:c r="Q145" s="85" t="n">
        <x:v>66</x:v>
      </x:c>
      <x:c r="R145" s="85" t="n">
        <x:v>58</x:v>
      </x:c>
      <x:c r="S145" s="85" t="n">
        <x:v>60</x:v>
      </x:c>
      <x:c r="T145" s="85" t="n">
        <x:v>60</x:v>
      </x:c>
      <x:c r="U145" s="85" t="n">
        <x:v>64</x:v>
      </x:c>
      <x:c r="V145" s="85" t="n">
        <x:v>63</x:v>
      </x:c>
      <x:c r="W145" s="85" t="n">
        <x:v>69</x:v>
      </x:c>
      <x:c r="X145" s="85" t="n">
        <x:v>60</x:v>
      </x:c>
      <x:c r="Y145" s="85" t="n">
        <x:v>60</x:v>
      </x:c>
      <x:c r="Z145" s="85" t="n">
        <x:v>66</x:v>
      </x:c>
      <x:c r="AA145" s="85" t="n">
        <x:v>70</x:v>
      </x:c>
      <x:c r="AB145" s="85" t="n">
        <x:v>60</x:v>
      </x:c>
      <x:c r="AC145" s="91" t="str">
        <x:v>既存時代区分「近代」（WorldTeam名簿外）</x:v>
      </x:c>
      <x:c r="AD145" s="91" t="str">
        <x:v>https://en.wikipedia.org/wiki/Special:Search?search=Jurgen%20Roelandts%20cyclist</x:v>
      </x:c>
      <x:c r="AE145" s="91" t="str">
        <x:v>能力・適性・Credit整合済</x:v>
      </x:c>
      <x:c r="AF145" s="91" t="str">
        <x:v>https://en.wikipedia.org/wiki/Special:Search?search=Jurgen%20Roelandts%20cyclist</x:v>
      </x:c>
    </x:row>
    <x:row r="146" ht="26" customHeight="1">
      <x:c r="A146" s="82" t="n">
        <x:v>142</x:v>
      </x:c>
      <x:c r="B146" s="82" t="str">
        <x:v>Greg Henderson</x:v>
      </x:c>
      <x:c r="C146" s="143" t="str"/>
      <x:c r="D146" s="82" t="str">
        <x:v>ニュージーランド</x:v>
      </x:c>
      <x:c r="E146" s="82" t="str">
        <x:v>引退</x:v>
      </x:c>
      <x:c r="F146" s="82" t="str"/>
      <x:c r="G146" s="82" t="str">
        <x:v>引退確認済</x:v>
      </x:c>
      <x:c r="H146" s="82" t="str">
        <x:v>スプリンター</x:v>
      </x:c>
      <x:c r="I146" s="82" t="str">
        <x:v>TT・ルーラー型</x:v>
      </x:c>
      <x:c r="J146" s="85" t="n">
        <x:v>56</x:v>
      </x:c>
      <x:c r="K146" s="85" t="n">
        <x:v>97</x:v>
      </x:c>
      <x:c r="L146" s="91" t="str">
        <x:v>リードアウト / 最終発射台 / スプリントトレイン</x:v>
      </x:c>
      <x:c r="M146" s="88" t="n">
        <x:v>2800</x:v>
      </x:c>
      <x:c r="N146" s="85" t="n">
        <x:v>77</x:v>
      </x:c>
      <x:c r="O146" s="85" t="n">
        <x:v>72</x:v>
      </x:c>
      <x:c r="P146" s="85" t="n">
        <x:v>62</x:v>
      </x:c>
      <x:c r="Q146" s="85" t="n">
        <x:v>66</x:v>
      </x:c>
      <x:c r="R146" s="85" t="n">
        <x:v>58</x:v>
      </x:c>
      <x:c r="S146" s="85" t="n">
        <x:v>58</x:v>
      </x:c>
      <x:c r="T146" s="85" t="n">
        <x:v>58</x:v>
      </x:c>
      <x:c r="U146" s="85" t="n">
        <x:v>63</x:v>
      </x:c>
      <x:c r="V146" s="85" t="n">
        <x:v>62</x:v>
      </x:c>
      <x:c r="W146" s="85" t="n">
        <x:v>50</x:v>
      </x:c>
      <x:c r="X146" s="85" t="n">
        <x:v>58</x:v>
      </x:c>
      <x:c r="Y146" s="85" t="n">
        <x:v>58</x:v>
      </x:c>
      <x:c r="Z146" s="85" t="n">
        <x:v>66</x:v>
      </x:c>
      <x:c r="AA146" s="85" t="n">
        <x:v>69</x:v>
      </x:c>
      <x:c r="AB146" s="85" t="n">
        <x:v>58</x:v>
      </x:c>
      <x:c r="AC146" s="91" t="str">
        <x:v>既存時代区分「近代」（WorldTeam名簿外）</x:v>
      </x:c>
      <x:c r="AD146" s="91" t="str">
        <x:v>https://en.wikipedia.org/wiki/Special:Search?search=Greg%20Henderson%20cyclist</x:v>
      </x:c>
      <x:c r="AE146" s="91" t="str">
        <x:v>能力・適性・Credit整合済</x:v>
      </x:c>
      <x:c r="AF146" s="91" t="str">
        <x:v>https://en.wikipedia.org/wiki/Special:Search?search=Greg%20Henderson%20cyclist</x:v>
      </x:c>
    </x:row>
    <x:row r="147" ht="26" customHeight="1">
      <x:c r="A147" s="82" t="n">
        <x:v>143</x:v>
      </x:c>
      <x:c r="B147" s="82" t="str">
        <x:v>Maciej Bodnar</x:v>
      </x:c>
      <x:c r="C147" s="143" t="str"/>
      <x:c r="D147" s="82" t="str">
        <x:v>ポーランド</x:v>
      </x:c>
      <x:c r="E147" s="82" t="str">
        <x:v>引退</x:v>
      </x:c>
      <x:c r="F147" s="82" t="str"/>
      <x:c r="G147" s="82" t="str">
        <x:v>引退確認済</x:v>
      </x:c>
      <x:c r="H147" s="82" t="str">
        <x:v>TT・ルーラー型</x:v>
      </x:c>
      <x:c r="I147" s="82" t="str">
        <x:v>クラシック型</x:v>
      </x:c>
      <x:c r="J147" s="85" t="n">
        <x:v>55</x:v>
      </x:c>
      <x:c r="K147" s="85" t="n">
        <x:v>94</x:v>
      </x:c>
      <x:c r="L147" s="91" t="str">
        <x:v>平坦アシスト / 平坦ペースメーカー / TT牽引 / 集団コントローラー / トラブル復帰牽引</x:v>
      </x:c>
      <x:c r="M147" s="88" t="n">
        <x:v>3050</x:v>
      </x:c>
      <x:c r="N147" s="85" t="n">
        <x:v>68</x:v>
      </x:c>
      <x:c r="O147" s="85" t="n">
        <x:v>64</x:v>
      </x:c>
      <x:c r="P147" s="85" t="n">
        <x:v>65</x:v>
      </x:c>
      <x:c r="Q147" s="85" t="n">
        <x:v>77</x:v>
      </x:c>
      <x:c r="R147" s="85" t="n">
        <x:v>68</x:v>
      </x:c>
      <x:c r="S147" s="85" t="n">
        <x:v>71</x:v>
      </x:c>
      <x:c r="T147" s="85" t="n">
        <x:v>70</x:v>
      </x:c>
      <x:c r="U147" s="85" t="n">
        <x:v>70</x:v>
      </x:c>
      <x:c r="V147" s="85" t="n">
        <x:v>67</x:v>
      </x:c>
      <x:c r="W147" s="85" t="n">
        <x:v>69</x:v>
      </x:c>
      <x:c r="X147" s="85" t="n">
        <x:v>66</x:v>
      </x:c>
      <x:c r="Y147" s="85" t="n">
        <x:v>66</x:v>
      </x:c>
      <x:c r="Z147" s="85" t="n">
        <x:v>79</x:v>
      </x:c>
      <x:c r="AA147" s="85" t="n">
        <x:v>64</x:v>
      </x:c>
      <x:c r="AB147" s="85" t="n">
        <x:v>65</x:v>
      </x:c>
      <x:c r="AC147" s="91" t="str">
        <x:v>既存時代区分「近代」（WorldTeam名簿外）</x:v>
      </x:c>
      <x:c r="AD147" s="91" t="str">
        <x:v>https://en.wikipedia.org/wiki/Special:Search?search=Maciej%20Bodnar%20cyclist</x:v>
      </x:c>
      <x:c r="AE147" s="91" t="str">
        <x:v>能力・適性・Credit整合済</x:v>
      </x:c>
      <x:c r="AF147" s="91" t="str">
        <x:v>https://en.wikipedia.org/wiki/Special:Search?search=Maciej%20Bodnar%20cyclist</x:v>
      </x:c>
    </x:row>
    <x:row r="148" ht="26" customHeight="1">
      <x:c r="A148" s="82" t="n">
        <x:v>144</x:v>
      </x:c>
      <x:c r="B148" s="82" t="str">
        <x:v>Dries Devenyns</x:v>
      </x:c>
      <x:c r="C148" s="143" t="str"/>
      <x:c r="D148" s="82" t="str">
        <x:v>ベルギー</x:v>
      </x:c>
      <x:c r="E148" s="82" t="str">
        <x:v>引退</x:v>
      </x:c>
      <x:c r="F148" s="82" t="str"/>
      <x:c r="G148" s="82" t="str">
        <x:v>引退確認済</x:v>
      </x:c>
      <x:c r="H148" s="82" t="str">
        <x:v>TT・ルーラー型</x:v>
      </x:c>
      <x:c r="I148" s="82" t="str">
        <x:v>クラシック型</x:v>
      </x:c>
      <x:c r="J148" s="85" t="n">
        <x:v>55</x:v>
      </x:c>
      <x:c r="K148" s="85" t="n">
        <x:v>94</x:v>
      </x:c>
      <x:c r="L148" s="91" t="str">
        <x:v>平坦アシスト / TT牽引 / 集団コントローラー / トラブル復帰牽引</x:v>
      </x:c>
      <x:c r="M148" s="88" t="n">
        <x:v>2850</x:v>
      </x:c>
      <x:c r="N148" s="85" t="n">
        <x:v>67</x:v>
      </x:c>
      <x:c r="O148" s="85" t="n">
        <x:v>62</x:v>
      </x:c>
      <x:c r="P148" s="85" t="n">
        <x:v>62</x:v>
      </x:c>
      <x:c r="Q148" s="85" t="n">
        <x:v>75</x:v>
      </x:c>
      <x:c r="R148" s="85" t="n">
        <x:v>68</x:v>
      </x:c>
      <x:c r="S148" s="85" t="n">
        <x:v>68</x:v>
      </x:c>
      <x:c r="T148" s="85" t="n">
        <x:v>68</x:v>
      </x:c>
      <x:c r="U148" s="85" t="n">
        <x:v>69</x:v>
      </x:c>
      <x:c r="V148" s="85" t="n">
        <x:v>66</x:v>
      </x:c>
      <x:c r="W148" s="85" t="n">
        <x:v>50</x:v>
      </x:c>
      <x:c r="X148" s="85" t="n">
        <x:v>63</x:v>
      </x:c>
      <x:c r="Y148" s="85" t="n">
        <x:v>63</x:v>
      </x:c>
      <x:c r="Z148" s="85" t="n">
        <x:v>76</x:v>
      </x:c>
      <x:c r="AA148" s="85" t="n">
        <x:v>63</x:v>
      </x:c>
      <x:c r="AB148" s="85" t="n">
        <x:v>65</x:v>
      </x:c>
      <x:c r="AC148" s="91" t="str">
        <x:v>既存時代区分「近代」（WorldTeam名簿外）</x:v>
      </x:c>
      <x:c r="AD148" s="91" t="str">
        <x:v>https://en.wikipedia.org/wiki/Special:Search?search=Dries%20Devenyns%20cyclist</x:v>
      </x:c>
      <x:c r="AE148" s="91" t="str">
        <x:v>能力・適性・Credit整合済</x:v>
      </x:c>
      <x:c r="AF148" s="91" t="str">
        <x:v>https://en.wikipedia.org/wiki/Special:Search?search=Dries%20Devenyns%20cyclist</x:v>
      </x:c>
    </x:row>
    <x:row r="149" ht="26" customHeight="1">
      <x:c r="A149" s="82" t="n">
        <x:v>145</x:v>
      </x:c>
      <x:c r="B149" s="82" t="str">
        <x:v>Brent Bookwalter</x:v>
      </x:c>
      <x:c r="C149" s="143" t="str"/>
      <x:c r="D149" s="82" t="str">
        <x:v>アメリカ</x:v>
      </x:c>
      <x:c r="E149" s="82" t="str">
        <x:v>引退</x:v>
      </x:c>
      <x:c r="F149" s="82" t="str"/>
      <x:c r="G149" s="82" t="str">
        <x:v>引退確認済</x:v>
      </x:c>
      <x:c r="H149" s="82" t="str">
        <x:v>TT・ルーラー型</x:v>
      </x:c>
      <x:c r="I149" s="82" t="str">
        <x:v>総合型</x:v>
      </x:c>
      <x:c r="J149" s="85" t="n">
        <x:v>55</x:v>
      </x:c>
      <x:c r="K149" s="85" t="n">
        <x:v>95</x:v>
      </x:c>
      <x:c r="L149" s="91" t="str">
        <x:v>ロードキャプテン / 平坦アシスト / 平坦ペースメーカー / TT牽引 / 集団コントローラー</x:v>
      </x:c>
      <x:c r="M149" s="88" t="n">
        <x:v>2850</x:v>
      </x:c>
      <x:c r="N149" s="85" t="n">
        <x:v>64</x:v>
      </x:c>
      <x:c r="O149" s="85" t="n">
        <x:v>57</x:v>
      </x:c>
      <x:c r="P149" s="85" t="n">
        <x:v>61</x:v>
      </x:c>
      <x:c r="Q149" s="85" t="n">
        <x:v>75</x:v>
      </x:c>
      <x:c r="R149" s="85" t="n">
        <x:v>70</x:v>
      </x:c>
      <x:c r="S149" s="85" t="n">
        <x:v>69</x:v>
      </x:c>
      <x:c r="T149" s="85" t="n">
        <x:v>66</x:v>
      </x:c>
      <x:c r="U149" s="85" t="n">
        <x:v>67</x:v>
      </x:c>
      <x:c r="V149" s="85" t="n">
        <x:v>64</x:v>
      </x:c>
      <x:c r="W149" s="85" t="n">
        <x:v>50</x:v>
      </x:c>
      <x:c r="X149" s="85" t="n">
        <x:v>65</x:v>
      </x:c>
      <x:c r="Y149" s="85" t="n">
        <x:v>65</x:v>
      </x:c>
      <x:c r="Z149" s="85" t="n">
        <x:v>75</x:v>
      </x:c>
      <x:c r="AA149" s="85" t="n">
        <x:v>58</x:v>
      </x:c>
      <x:c r="AB149" s="85" t="n">
        <x:v>61</x:v>
      </x:c>
      <x:c r="AC149" s="91" t="str">
        <x:v>既存時代区分「近代」（WorldTeam名簿外）</x:v>
      </x:c>
      <x:c r="AD149" s="91" t="str">
        <x:v>https://en.wikipedia.org/wiki/Special:Search?search=Brent%20Bookwalter%20cyclist</x:v>
      </x:c>
      <x:c r="AE149" s="91" t="str">
        <x:v>能力・適性・Credit整合済</x:v>
      </x:c>
      <x:c r="AF149" s="91" t="str">
        <x:v>https://en.wikipedia.org/wiki/Special:Search?search=Brent%20Bookwalter%20cyclist</x:v>
      </x:c>
    </x:row>
    <x:row r="150" ht="26" customHeight="1">
      <x:c r="A150" s="82" t="n">
        <x:v>146</x:v>
      </x:c>
      <x:c r="B150" s="82" t="str">
        <x:v>Stuart O'Grady</x:v>
      </x:c>
      <x:c r="C150" s="143" t="str">
        <x:v>豪州の石畳魂</x:v>
      </x:c>
      <x:c r="D150" s="82" t="str">
        <x:v>オーストラリア</x:v>
      </x:c>
      <x:c r="E150" s="82" t="str">
        <x:v>引退</x:v>
      </x:c>
      <x:c r="F150" s="82" t="str"/>
      <x:c r="G150" s="82" t="str">
        <x:v>引退確認済</x:v>
      </x:c>
      <x:c r="H150" s="82" t="str">
        <x:v>TT・ルーラー型</x:v>
      </x:c>
      <x:c r="I150" s="82" t="str">
        <x:v>クラシック型</x:v>
      </x:c>
      <x:c r="J150" s="85" t="n">
        <x:v>54</x:v>
      </x:c>
      <x:c r="K150" s="85" t="n">
        <x:v>95</x:v>
      </x:c>
      <x:c r="L150" s="91" t="str">
        <x:v>平坦アシスト / TT牽引 / 石畳護衛 / 横風要員 / トラブル復帰牽引 / 横風分断</x:v>
      </x:c>
      <x:c r="M150" s="88" t="n">
        <x:v>3600</x:v>
      </x:c>
      <x:c r="N150" s="85" t="n">
        <x:v>68</x:v>
      </x:c>
      <x:c r="O150" s="85" t="n">
        <x:v>63</x:v>
      </x:c>
      <x:c r="P150" s="85" t="n">
        <x:v>64</x:v>
      </x:c>
      <x:c r="Q150" s="85" t="n">
        <x:v>76</x:v>
      </x:c>
      <x:c r="R150" s="85" t="n">
        <x:v>68</x:v>
      </x:c>
      <x:c r="S150" s="85" t="n">
        <x:v>69</x:v>
      </x:c>
      <x:c r="T150" s="85" t="n">
        <x:v>69</x:v>
      </x:c>
      <x:c r="U150" s="85" t="n">
        <x:v>70</x:v>
      </x:c>
      <x:c r="V150" s="85" t="n">
        <x:v>66</x:v>
      </x:c>
      <x:c r="W150" s="85" t="n">
        <x:v>75</x:v>
      </x:c>
      <x:c r="X150" s="85" t="n">
        <x:v>64</x:v>
      </x:c>
      <x:c r="Y150" s="85" t="n">
        <x:v>64</x:v>
      </x:c>
      <x:c r="Z150" s="85" t="n">
        <x:v>77</x:v>
      </x:c>
      <x:c r="AA150" s="85" t="n">
        <x:v>63</x:v>
      </x:c>
      <x:c r="AB150" s="85" t="n">
        <x:v>65</x:v>
      </x:c>
      <x:c r="AC150" s="91" t="str">
        <x:v>既存時代区分「近代」（WorldTeam名簿外）</x:v>
      </x:c>
      <x:c r="AD150" s="91" t="str">
        <x:v>https://en.wikipedia.org/wiki/Special:Search?search=Stuart%20O'Grady%20cyclist</x:v>
      </x:c>
      <x:c r="AE150" s="91" t="str">
        <x:v>能力・適性・Credit整合済</x:v>
      </x:c>
      <x:c r="AF150" s="91" t="str">
        <x:v>https://en.wikipedia.org/wiki/Special:Search?search=Stuart%20O'Grady%20cyclist</x:v>
      </x:c>
    </x:row>
    <x:row r="151" ht="26" customHeight="1">
      <x:c r="A151" s="82" t="n">
        <x:v>147</x:v>
      </x:c>
      <x:c r="B151" s="82" t="str">
        <x:v>Tejay van Garderen</x:v>
      </x:c>
      <x:c r="C151" s="143" t="str"/>
      <x:c r="D151" s="82" t="str">
        <x:v>アメリカ</x:v>
      </x:c>
      <x:c r="E151" s="82" t="str">
        <x:v>引退</x:v>
      </x:c>
      <x:c r="F151" s="82" t="str"/>
      <x:c r="G151" s="82" t="str">
        <x:v>引退確認済</x:v>
      </x:c>
      <x:c r="H151" s="82" t="str">
        <x:v>TT・ルーラー型</x:v>
      </x:c>
      <x:c r="I151" s="82" t="str">
        <x:v>総合型</x:v>
      </x:c>
      <x:c r="J151" s="85" t="n">
        <x:v>54</x:v>
      </x:c>
      <x:c r="K151" s="85" t="n">
        <x:v>96</x:v>
      </x:c>
      <x:c r="L151" s="91" t="str">
        <x:v>ロードキャプテン / 平坦アシスト / 平坦ペースメーカー / TT牽引 / 集団コントローラー</x:v>
      </x:c>
      <x:c r="M151" s="88" t="n">
        <x:v>2850</x:v>
      </x:c>
      <x:c r="N151" s="85" t="n">
        <x:v>64</x:v>
      </x:c>
      <x:c r="O151" s="85" t="n">
        <x:v>58</x:v>
      </x:c>
      <x:c r="P151" s="85" t="n">
        <x:v>61</x:v>
      </x:c>
      <x:c r="Q151" s="85" t="n">
        <x:v>75</x:v>
      </x:c>
      <x:c r="R151" s="85" t="n">
        <x:v>70</x:v>
      </x:c>
      <x:c r="S151" s="85" t="n">
        <x:v>69</x:v>
      </x:c>
      <x:c r="T151" s="85" t="n">
        <x:v>68</x:v>
      </x:c>
      <x:c r="U151" s="85" t="n">
        <x:v>67</x:v>
      </x:c>
      <x:c r="V151" s="85" t="n">
        <x:v>64</x:v>
      </x:c>
      <x:c r="W151" s="85" t="n">
        <x:v>50</x:v>
      </x:c>
      <x:c r="X151" s="85" t="n">
        <x:v>65</x:v>
      </x:c>
      <x:c r="Y151" s="85" t="n">
        <x:v>65</x:v>
      </x:c>
      <x:c r="Z151" s="85" t="n">
        <x:v>75</x:v>
      </x:c>
      <x:c r="AA151" s="85" t="n">
        <x:v>60</x:v>
      </x:c>
      <x:c r="AB151" s="85" t="n">
        <x:v>62</x:v>
      </x:c>
      <x:c r="AC151" s="91" t="str">
        <x:v>既存時代区分「近代」（WorldTeam名簿外）</x:v>
      </x:c>
      <x:c r="AD151" s="91" t="str">
        <x:v>https://en.wikipedia.org/wiki/Special:Search?search=Tejay%20van%20Garderen%20cyclist</x:v>
      </x:c>
      <x:c r="AE151" s="91" t="str">
        <x:v>能力・適性・Credit整合済</x:v>
      </x:c>
      <x:c r="AF151" s="91" t="str">
        <x:v>https://en.wikipedia.org/wiki/Special:Search?search=Tejay%20van%20Garderen%20cyclist</x:v>
      </x:c>
    </x:row>
    <x:row r="152" ht="26" customHeight="1">
      <x:c r="A152" s="82" t="n">
        <x:v>148</x:v>
      </x:c>
      <x:c r="B152" s="82" t="str">
        <x:v>Daryl Impey</x:v>
      </x:c>
      <x:c r="C152" s="143" t="str"/>
      <x:c r="D152" s="82" t="str">
        <x:v>南アフリカ</x:v>
      </x:c>
      <x:c r="E152" s="82" t="str">
        <x:v>引退</x:v>
      </x:c>
      <x:c r="F152" s="82" t="str"/>
      <x:c r="G152" s="82" t="str">
        <x:v>引退確認済</x:v>
      </x:c>
      <x:c r="H152" s="82" t="str">
        <x:v>クラシック型</x:v>
      </x:c>
      <x:c r="I152" s="82" t="str">
        <x:v>TT・ルーラー型</x:v>
      </x:c>
      <x:c r="J152" s="85" t="n">
        <x:v>54</x:v>
      </x:c>
      <x:c r="K152" s="85" t="n">
        <x:v>96</x:v>
      </x:c>
      <x:c r="L152" s="91" t="str">
        <x:v>ロードキャプテン / 平坦アシスト / 石畳護衛 / 横風分断</x:v>
      </x:c>
      <x:c r="M152" s="88" t="n">
        <x:v>2800</x:v>
      </x:c>
      <x:c r="N152" s="85" t="n">
        <x:v>71</x:v>
      </x:c>
      <x:c r="O152" s="85" t="n">
        <x:v>69</x:v>
      </x:c>
      <x:c r="P152" s="85" t="n">
        <x:v>71</x:v>
      </x:c>
      <x:c r="Q152" s="85" t="n">
        <x:v>72</x:v>
      </x:c>
      <x:c r="R152" s="85" t="n">
        <x:v>66</x:v>
      </x:c>
      <x:c r="S152" s="85" t="n">
        <x:v>70</x:v>
      </x:c>
      <x:c r="T152" s="85" t="n">
        <x:v>72</x:v>
      </x:c>
      <x:c r="U152" s="85" t="n">
        <x:v>75</x:v>
      </x:c>
      <x:c r="V152" s="85" t="n">
        <x:v>76</x:v>
      </x:c>
      <x:c r="W152" s="85" t="n">
        <x:v>50</x:v>
      </x:c>
      <x:c r="X152" s="85" t="n">
        <x:v>67</x:v>
      </x:c>
      <x:c r="Y152" s="85" t="n">
        <x:v>67</x:v>
      </x:c>
      <x:c r="Z152" s="85" t="n">
        <x:v>74</x:v>
      </x:c>
      <x:c r="AA152" s="85" t="n">
        <x:v>68</x:v>
      </x:c>
      <x:c r="AB152" s="85" t="n">
        <x:v>72</x:v>
      </x:c>
      <x:c r="AC152" s="91" t="str">
        <x:v>既存時代区分「近代」（WorldTeam名簿外）</x:v>
      </x:c>
      <x:c r="AD152" s="91" t="str">
        <x:v>https://en.wikipedia.org/wiki/Special:Search?search=Daryl%20Impey%20cyclist</x:v>
      </x:c>
      <x:c r="AE152" s="91" t="str">
        <x:v>能力・適性・Credit整合済</x:v>
      </x:c>
      <x:c r="AF152" s="91" t="str">
        <x:v>https://en.wikipedia.org/wiki/Special:Search?search=Daryl%20Impey%20cyclist</x:v>
      </x:c>
    </x:row>
    <x:row r="153" ht="26" customHeight="1">
      <x:c r="A153" s="82" t="n">
        <x:v>149</x:v>
      </x:c>
      <x:c r="B153" s="82" t="str">
        <x:v>Ian Stannard</x:v>
      </x:c>
      <x:c r="C153" s="143" t="str"/>
      <x:c r="D153" s="82" t="str">
        <x:v>イギリス</x:v>
      </x:c>
      <x:c r="E153" s="82" t="str">
        <x:v>引退</x:v>
      </x:c>
      <x:c r="F153" s="82" t="str"/>
      <x:c r="G153" s="82" t="str">
        <x:v>引退確認済</x:v>
      </x:c>
      <x:c r="H153" s="82" t="str">
        <x:v>TT・ルーラー型</x:v>
      </x:c>
      <x:c r="I153" s="82" t="str">
        <x:v>クラシック型</x:v>
      </x:c>
      <x:c r="J153" s="85" t="n">
        <x:v>54</x:v>
      </x:c>
      <x:c r="K153" s="85" t="n">
        <x:v>93</x:v>
      </x:c>
      <x:c r="L153" s="91" t="str">
        <x:v>平坦アシスト / TT牽引 / 集団コントローラー / トラブル復帰牽引</x:v>
      </x:c>
      <x:c r="M153" s="88" t="n">
        <x:v>2800</x:v>
      </x:c>
      <x:c r="N153" s="85" t="n">
        <x:v>66</x:v>
      </x:c>
      <x:c r="O153" s="85" t="n">
        <x:v>62</x:v>
      </x:c>
      <x:c r="P153" s="85" t="n">
        <x:v>58</x:v>
      </x:c>
      <x:c r="Q153" s="85" t="n">
        <x:v>74</x:v>
      </x:c>
      <x:c r="R153" s="85" t="n">
        <x:v>67</x:v>
      </x:c>
      <x:c r="S153" s="85" t="n">
        <x:v>67</x:v>
      </x:c>
      <x:c r="T153" s="85" t="n">
        <x:v>67</x:v>
      </x:c>
      <x:c r="U153" s="85" t="n">
        <x:v>68</x:v>
      </x:c>
      <x:c r="V153" s="85" t="n">
        <x:v>65</x:v>
      </x:c>
      <x:c r="W153" s="85" t="n">
        <x:v>69</x:v>
      </x:c>
      <x:c r="X153" s="85" t="n">
        <x:v>63</x:v>
      </x:c>
      <x:c r="Y153" s="85" t="n">
        <x:v>63</x:v>
      </x:c>
      <x:c r="Z153" s="85" t="n">
        <x:v>75</x:v>
      </x:c>
      <x:c r="AA153" s="85" t="n">
        <x:v>62</x:v>
      </x:c>
      <x:c r="AB153" s="85" t="n">
        <x:v>64</x:v>
      </x:c>
      <x:c r="AC153" s="91" t="str">
        <x:v>既存時代区分「近代」（WorldTeam名簿外）</x:v>
      </x:c>
      <x:c r="AD153" s="91" t="str">
        <x:v>https://en.wikipedia.org/wiki/Special:Search?search=Ian%20Stannard%20cyclist</x:v>
      </x:c>
      <x:c r="AE153" s="91" t="str">
        <x:v>能力・適性・Credit整合済</x:v>
      </x:c>
      <x:c r="AF153" s="91" t="str">
        <x:v>https://en.wikipedia.org/wiki/Special:Search?search=Ian%20Stannard%20cyclist</x:v>
      </x:c>
    </x:row>
    <x:row r="154" ht="26" customHeight="1">
      <x:c r="A154" s="82" t="n">
        <x:v>150</x:v>
      </x:c>
      <x:c r="B154" s="82" t="str">
        <x:v>Jens Voigt</x:v>
      </x:c>
      <x:c r="C154" s="143" t="str"/>
      <x:c r="D154" s="82" t="str">
        <x:v>ドイツ</x:v>
      </x:c>
      <x:c r="E154" s="82" t="str">
        <x:v>引退</x:v>
      </x:c>
      <x:c r="F154" s="82" t="str"/>
      <x:c r="G154" s="82" t="str">
        <x:v>引退確認済</x:v>
      </x:c>
      <x:c r="H154" s="82" t="str">
        <x:v>TT・ルーラー型</x:v>
      </x:c>
      <x:c r="I154" s="82" t="str">
        <x:v>クラシック型</x:v>
      </x:c>
      <x:c r="J154" s="85" t="n">
        <x:v>53</x:v>
      </x:c>
      <x:c r="K154" s="85" t="n">
        <x:v>96</x:v>
      </x:c>
      <x:c r="L154" s="91" t="str">
        <x:v>平坦アシスト / TT牽引 / トラブル復帰牽引 / 超ロングスパート / 横風分断</x:v>
      </x:c>
      <x:c r="M154" s="88" t="n">
        <x:v>2900</x:v>
      </x:c>
      <x:c r="N154" s="85" t="n">
        <x:v>68</x:v>
      </x:c>
      <x:c r="O154" s="85" t="n">
        <x:v>63</x:v>
      </x:c>
      <x:c r="P154" s="85" t="n">
        <x:v>64</x:v>
      </x:c>
      <x:c r="Q154" s="85" t="n">
        <x:v>77</x:v>
      </x:c>
      <x:c r="R154" s="85" t="n">
        <x:v>68</x:v>
      </x:c>
      <x:c r="S154" s="85" t="n">
        <x:v>69</x:v>
      </x:c>
      <x:c r="T154" s="85" t="n">
        <x:v>69</x:v>
      </x:c>
      <x:c r="U154" s="85" t="n">
        <x:v>70</x:v>
      </x:c>
      <x:c r="V154" s="85" t="n">
        <x:v>66</x:v>
      </x:c>
      <x:c r="W154" s="85" t="n">
        <x:v>50</x:v>
      </x:c>
      <x:c r="X154" s="85" t="n">
        <x:v>65</x:v>
      </x:c>
      <x:c r="Y154" s="85" t="n">
        <x:v>65</x:v>
      </x:c>
      <x:c r="Z154" s="85" t="n">
        <x:v>81</x:v>
      </x:c>
      <x:c r="AA154" s="85" t="n">
        <x:v>63</x:v>
      </x:c>
      <x:c r="AB154" s="85" t="n">
        <x:v>65</x:v>
      </x:c>
      <x:c r="AC154" s="91" t="str">
        <x:v>既存時代区分「近代」（WorldTeam名簿外）</x:v>
      </x:c>
      <x:c r="AD154" s="91" t="str">
        <x:v>https://en.wikipedia.org/wiki/Special:Search?search=Jens%20Voigt%20cyclist</x:v>
      </x:c>
      <x:c r="AE154" s="91" t="str">
        <x:v>能力・適性・Credit整合済</x:v>
      </x:c>
      <x:c r="AF154" s="91" t="str">
        <x:v>https://en.wikipedia.org/wiki/Special:Search?search=Jens%20Voigt%20cyclist</x:v>
      </x:c>
    </x:row>
    <x:row r="155" ht="26" customHeight="1">
      <x:c r="A155" s="82" t="n">
        <x:v>151</x:v>
      </x:c>
      <x:c r="B155" s="82" t="str">
        <x:v>Lars Bak</x:v>
      </x:c>
      <x:c r="C155" s="143" t="str"/>
      <x:c r="D155" s="82" t="str">
        <x:v>デンマーク</x:v>
      </x:c>
      <x:c r="E155" s="82" t="str">
        <x:v>引退</x:v>
      </x:c>
      <x:c r="F155" s="82" t="str"/>
      <x:c r="G155" s="82" t="str">
        <x:v>引退確認済</x:v>
      </x:c>
      <x:c r="H155" s="82" t="str">
        <x:v>TT・ルーラー型</x:v>
      </x:c>
      <x:c r="I155" s="82" t="str">
        <x:v>クラシック型</x:v>
      </x:c>
      <x:c r="J155" s="85" t="n">
        <x:v>53</x:v>
      </x:c>
      <x:c r="K155" s="85" t="n">
        <x:v>96</x:v>
      </x:c>
      <x:c r="L155" s="91" t="str">
        <x:v>平坦アシスト / TT牽引 / トラブル復帰牽引</x:v>
      </x:c>
      <x:c r="M155" s="88" t="n">
        <x:v>2850</x:v>
      </x:c>
      <x:c r="N155" s="85" t="n">
        <x:v>67</x:v>
      </x:c>
      <x:c r="O155" s="85" t="n">
        <x:v>63</x:v>
      </x:c>
      <x:c r="P155" s="85" t="n">
        <x:v>63</x:v>
      </x:c>
      <x:c r="Q155" s="85" t="n">
        <x:v>76</x:v>
      </x:c>
      <x:c r="R155" s="85" t="n">
        <x:v>68</x:v>
      </x:c>
      <x:c r="S155" s="85" t="n">
        <x:v>68</x:v>
      </x:c>
      <x:c r="T155" s="85" t="n">
        <x:v>69</x:v>
      </x:c>
      <x:c r="U155" s="85" t="n">
        <x:v>69</x:v>
      </x:c>
      <x:c r="V155" s="85" t="n">
        <x:v>66</x:v>
      </x:c>
      <x:c r="W155" s="85" t="n">
        <x:v>64</x:v>
      </x:c>
      <x:c r="X155" s="85" t="n">
        <x:v>64</x:v>
      </x:c>
      <x:c r="Y155" s="85" t="n">
        <x:v>64</x:v>
      </x:c>
      <x:c r="Z155" s="85" t="n">
        <x:v>79</x:v>
      </x:c>
      <x:c r="AA155" s="85" t="n">
        <x:v>63</x:v>
      </x:c>
      <x:c r="AB155" s="85" t="n">
        <x:v>65</x:v>
      </x:c>
      <x:c r="AC155" s="91" t="str">
        <x:v>既存時代区分「近代」（WorldTeam名簿外）</x:v>
      </x:c>
      <x:c r="AD155" s="91" t="str">
        <x:v>https://en.wikipedia.org/wiki/Special:Search?search=Lars%20Bak%20cyclist</x:v>
      </x:c>
      <x:c r="AE155" s="91" t="str">
        <x:v>能力・適性・Credit整合済</x:v>
      </x:c>
      <x:c r="AF155" s="91" t="str">
        <x:v>https://en.wikipedia.org/wiki/Special:Search?search=Lars%20Bak%20cyclist</x:v>
      </x:c>
    </x:row>
    <x:row r="156" ht="26" customHeight="1">
      <x:c r="A156" s="82" t="n">
        <x:v>152</x:v>
      </x:c>
      <x:c r="B156" s="82" t="str">
        <x:v>Marcus Burghardt</x:v>
      </x:c>
      <x:c r="C156" s="143" t="str"/>
      <x:c r="D156" s="82" t="str">
        <x:v>ドイツ</x:v>
      </x:c>
      <x:c r="E156" s="82" t="str">
        <x:v>引退</x:v>
      </x:c>
      <x:c r="F156" s="82" t="str"/>
      <x:c r="G156" s="82" t="str">
        <x:v>引退確認済</x:v>
      </x:c>
      <x:c r="H156" s="82" t="str">
        <x:v>TT・ルーラー型</x:v>
      </x:c>
      <x:c r="I156" s="82" t="str">
        <x:v>クラシック型</x:v>
      </x:c>
      <x:c r="J156" s="85" t="n">
        <x:v>53</x:v>
      </x:c>
      <x:c r="K156" s="85" t="n">
        <x:v>94</x:v>
      </x:c>
      <x:c r="L156" s="91" t="str">
        <x:v>平坦アシスト / TT牽引 / 集団コントローラー / トラブル復帰牽引</x:v>
      </x:c>
      <x:c r="M156" s="88" t="n">
        <x:v>2800</x:v>
      </x:c>
      <x:c r="N156" s="85" t="n">
        <x:v>66</x:v>
      </x:c>
      <x:c r="O156" s="85" t="n">
        <x:v>62</x:v>
      </x:c>
      <x:c r="P156" s="85" t="n">
        <x:v>60</x:v>
      </x:c>
      <x:c r="Q156" s="85" t="n">
        <x:v>74</x:v>
      </x:c>
      <x:c r="R156" s="85" t="n">
        <x:v>67</x:v>
      </x:c>
      <x:c r="S156" s="85" t="n">
        <x:v>67</x:v>
      </x:c>
      <x:c r="T156" s="85" t="n">
        <x:v>68</x:v>
      </x:c>
      <x:c r="U156" s="85" t="n">
        <x:v>68</x:v>
      </x:c>
      <x:c r="V156" s="85" t="n">
        <x:v>65</x:v>
      </x:c>
      <x:c r="W156" s="85" t="n">
        <x:v>69</x:v>
      </x:c>
      <x:c r="X156" s="85" t="n">
        <x:v>63</x:v>
      </x:c>
      <x:c r="Y156" s="85" t="n">
        <x:v>63</x:v>
      </x:c>
      <x:c r="Z156" s="85" t="n">
        <x:v>76</x:v>
      </x:c>
      <x:c r="AA156" s="85" t="n">
        <x:v>62</x:v>
      </x:c>
      <x:c r="AB156" s="85" t="n">
        <x:v>64</x:v>
      </x:c>
      <x:c r="AC156" s="91" t="str">
        <x:v>既存時代区分「近代」（WorldTeam名簿外）</x:v>
      </x:c>
      <x:c r="AD156" s="91" t="str">
        <x:v>https://en.wikipedia.org/wiki/Special:Search?search=Marcus%20Burghardt%20cyclist</x:v>
      </x:c>
      <x:c r="AE156" s="91" t="str">
        <x:v>能力・適性・Credit整合済</x:v>
      </x:c>
      <x:c r="AF156" s="91" t="str">
        <x:v>https://en.wikipedia.org/wiki/Special:Search?search=Marcus%20Burghardt%20cyclist</x:v>
      </x:c>
    </x:row>
    <x:row r="157" ht="26" customHeight="1">
      <x:c r="A157" s="82" t="n">
        <x:v>153</x:v>
      </x:c>
      <x:c r="B157" s="82" t="str">
        <x:v>Alessandro Ballan</x:v>
      </x:c>
      <x:c r="C157" s="143" t="str">
        <x:v>虹を掴んだ石畳屋</x:v>
      </x:c>
      <x:c r="D157" s="82" t="str">
        <x:v>イタリア</x:v>
      </x:c>
      <x:c r="E157" s="82" t="str">
        <x:v>引退</x:v>
      </x:c>
      <x:c r="F157" s="82" t="str"/>
      <x:c r="G157" s="82" t="str">
        <x:v>引退確認済</x:v>
      </x:c>
      <x:c r="H157" s="82" t="str">
        <x:v>クラシック型</x:v>
      </x:c>
      <x:c r="I157" s="82" t="str">
        <x:v>TT・ルーラー型</x:v>
      </x:c>
      <x:c r="J157" s="85" t="n">
        <x:v>52</x:v>
      </x:c>
      <x:c r="K157" s="85" t="n">
        <x:v>95</x:v>
      </x:c>
      <x:c r="L157" s="91" t="str">
        <x:v>ロードキャプテン / 平坦アシスト / 石畳護衛 / 下り牽引 / ブレイクアウェイキラー / 逃げ屋 / ポジションキーパー</x:v>
      </x:c>
      <x:c r="M157" s="88" t="n">
        <x:v>4200</x:v>
      </x:c>
      <x:c r="N157" s="85" t="n">
        <x:v>71</x:v>
      </x:c>
      <x:c r="O157" s="85" t="n">
        <x:v>69</x:v>
      </x:c>
      <x:c r="P157" s="85" t="n">
        <x:v>71</x:v>
      </x:c>
      <x:c r="Q157" s="85" t="n">
        <x:v>71</x:v>
      </x:c>
      <x:c r="R157" s="85" t="n">
        <x:v>66</x:v>
      </x:c>
      <x:c r="S157" s="85" t="n">
        <x:v>72</x:v>
      </x:c>
      <x:c r="T157" s="85" t="n">
        <x:v>73</x:v>
      </x:c>
      <x:c r="U157" s="85" t="n">
        <x:v>76</x:v>
      </x:c>
      <x:c r="V157" s="85" t="n">
        <x:v>78</x:v>
      </x:c>
      <x:c r="W157" s="85" t="n">
        <x:v>76</x:v>
      </x:c>
      <x:c r="X157" s="85" t="n">
        <x:v>66</x:v>
      </x:c>
      <x:c r="Y157" s="85" t="n">
        <x:v>66</x:v>
      </x:c>
      <x:c r="Z157" s="85" t="n">
        <x:v>73</x:v>
      </x:c>
      <x:c r="AA157" s="85" t="n">
        <x:v>66</x:v>
      </x:c>
      <x:c r="AB157" s="85" t="n">
        <x:v>72</x:v>
      </x:c>
      <x:c r="AC157" s="91" t="str">
        <x:v>既存時代区分「近代」（WorldTeam名簿外）</x:v>
      </x:c>
      <x:c r="AD157" s="91" t="str">
        <x:v>https://en.wikipedia.org/wiki/Special:Search?search=Alessandro%20Ballan%20cyclist</x:v>
      </x:c>
      <x:c r="AE157" s="91" t="str">
        <x:v>能力・適性・Credit整合済</x:v>
      </x:c>
      <x:c r="AF157" s="91" t="str">
        <x:v>https://en.wikipedia.org/wiki/Special:Search?search=Alessandro%20Ballan%20cyclist</x:v>
      </x:c>
    </x:row>
    <x:row r="158" ht="26" customHeight="1">
      <x:c r="A158" s="82" t="n">
        <x:v>154</x:v>
      </x:c>
      <x:c r="B158" s="82" t="str">
        <x:v>Michael Rogers</x:v>
      </x:c>
      <x:c r="C158" s="143" t="str">
        <x:v>三冠のクロノマン</x:v>
      </x:c>
      <x:c r="D158" s="82" t="str">
        <x:v>オーストラリア</x:v>
      </x:c>
      <x:c r="E158" s="82" t="str">
        <x:v>引退</x:v>
      </x:c>
      <x:c r="F158" s="82" t="str"/>
      <x:c r="G158" s="82" t="str">
        <x:v>引退確認済</x:v>
      </x:c>
      <x:c r="H158" s="82" t="str">
        <x:v>クラシック型</x:v>
      </x:c>
      <x:c r="I158" s="82" t="str">
        <x:v>TT・ルーラー型</x:v>
      </x:c>
      <x:c r="J158" s="85" t="n">
        <x:v>52</x:v>
      </x:c>
      <x:c r="K158" s="85" t="n">
        <x:v>95</x:v>
      </x:c>
      <x:c r="L158" s="91" t="str">
        <x:v>ロードキャプテン / TTスペシャリスト / 平坦アシスト / 石畳護衛 / 下り牽引 / 横風要員 / 逃げ屋</x:v>
      </x:c>
      <x:c r="M158" s="88" t="n">
        <x:v>3700</x:v>
      </x:c>
      <x:c r="N158" s="85" t="n">
        <x:v>71</x:v>
      </x:c>
      <x:c r="O158" s="85" t="n">
        <x:v>69</x:v>
      </x:c>
      <x:c r="P158" s="85" t="n">
        <x:v>71</x:v>
      </x:c>
      <x:c r="Q158" s="85" t="n">
        <x:v>74</x:v>
      </x:c>
      <x:c r="R158" s="85" t="n">
        <x:v>66</x:v>
      </x:c>
      <x:c r="S158" s="85" t="n">
        <x:v>73</x:v>
      </x:c>
      <x:c r="T158" s="85" t="n">
        <x:v>73</x:v>
      </x:c>
      <x:c r="U158" s="85" t="n">
        <x:v>77</x:v>
      </x:c>
      <x:c r="V158" s="85" t="n">
        <x:v>74</x:v>
      </x:c>
      <x:c r="W158" s="85" t="n">
        <x:v>50</x:v>
      </x:c>
      <x:c r="X158" s="85" t="n">
        <x:v>67</x:v>
      </x:c>
      <x:c r="Y158" s="85" t="n">
        <x:v>67</x:v>
      </x:c>
      <x:c r="Z158" s="85" t="n">
        <x:v>73</x:v>
      </x:c>
      <x:c r="AA158" s="85" t="n">
        <x:v>67</x:v>
      </x:c>
      <x:c r="AB158" s="85" t="n">
        <x:v>72</x:v>
      </x:c>
      <x:c r="AC158" s="91" t="str">
        <x:v>既存時代区分「近代」（WorldTeam名簿外）</x:v>
      </x:c>
      <x:c r="AD158" s="91" t="str">
        <x:v>https://en.wikipedia.org/wiki/Special:Search?search=Michael%20Rogers%20cyclist</x:v>
      </x:c>
      <x:c r="AE158" s="91" t="str">
        <x:v>能力・適性・Credit整合済</x:v>
      </x:c>
      <x:c r="AF158" s="91" t="str">
        <x:v>https://en.wikipedia.org/wiki/Special:Search?search=Michael%20Rogers%20cyclist</x:v>
      </x:c>
    </x:row>
    <x:row r="159" ht="26" customHeight="1">
      <x:c r="A159" s="82" t="n">
        <x:v>155</x:v>
      </x:c>
      <x:c r="B159" s="82" t="str">
        <x:v>Manuel Quinziato</x:v>
      </x:c>
      <x:c r="C159" s="143" t="str"/>
      <x:c r="D159" s="82" t="str">
        <x:v>イタリア</x:v>
      </x:c>
      <x:c r="E159" s="82" t="str">
        <x:v>引退</x:v>
      </x:c>
      <x:c r="F159" s="82" t="str"/>
      <x:c r="G159" s="82" t="str">
        <x:v>引退確認済</x:v>
      </x:c>
      <x:c r="H159" s="82" t="str">
        <x:v>クラシック型</x:v>
      </x:c>
      <x:c r="I159" s="82" t="str">
        <x:v>TT・ルーラー型</x:v>
      </x:c>
      <x:c r="J159" s="85" t="n">
        <x:v>52</x:v>
      </x:c>
      <x:c r="K159" s="85" t="n">
        <x:v>98</x:v>
      </x:c>
      <x:c r="L159" s="91" t="str">
        <x:v>ロードキャプテン / 平坦アシスト / 石畳護衛 / 横風分断</x:v>
      </x:c>
      <x:c r="M159" s="88" t="n">
        <x:v>2900</x:v>
      </x:c>
      <x:c r="N159" s="85" t="n">
        <x:v>71</x:v>
      </x:c>
      <x:c r="O159" s="85" t="n">
        <x:v>69</x:v>
      </x:c>
      <x:c r="P159" s="85" t="n">
        <x:v>71</x:v>
      </x:c>
      <x:c r="Q159" s="85" t="n">
        <x:v>72</x:v>
      </x:c>
      <x:c r="R159" s="85" t="n">
        <x:v>66</x:v>
      </x:c>
      <x:c r="S159" s="85" t="n">
        <x:v>70</x:v>
      </x:c>
      <x:c r="T159" s="85" t="n">
        <x:v>72</x:v>
      </x:c>
      <x:c r="U159" s="85" t="n">
        <x:v>75</x:v>
      </x:c>
      <x:c r="V159" s="85" t="n">
        <x:v>75</x:v>
      </x:c>
      <x:c r="W159" s="85" t="n">
        <x:v>69</x:v>
      </x:c>
      <x:c r="X159" s="85" t="n">
        <x:v>67</x:v>
      </x:c>
      <x:c r="Y159" s="85" t="n">
        <x:v>67</x:v>
      </x:c>
      <x:c r="Z159" s="85" t="n">
        <x:v>76</x:v>
      </x:c>
      <x:c r="AA159" s="85" t="n">
        <x:v>67</x:v>
      </x:c>
      <x:c r="AB159" s="85" t="n">
        <x:v>72</x:v>
      </x:c>
      <x:c r="AC159" s="91" t="str">
        <x:v>既存時代区分「近代」（WorldTeam名簿外）</x:v>
      </x:c>
      <x:c r="AD159" s="91" t="str">
        <x:v>https://en.wikipedia.org/wiki/Special:Search?search=Manuel%20Quinziato%20cyclist</x:v>
      </x:c>
      <x:c r="AE159" s="91" t="str">
        <x:v>能力・適性・Credit整合済</x:v>
      </x:c>
      <x:c r="AF159" s="91" t="str">
        <x:v>https://en.wikipedia.org/wiki/Special:Search?search=Manuel%20Quinziato%20cyclist</x:v>
      </x:c>
    </x:row>
    <x:row r="160" ht="26" customHeight="1">
      <x:c r="A160" s="82" t="n">
        <x:v>156</x:v>
      </x:c>
      <x:c r="B160" s="82" t="str">
        <x:v>Bernhard Eisel</x:v>
      </x:c>
      <x:c r="C160" s="143" t="str"/>
      <x:c r="D160" s="82" t="str">
        <x:v>オーストリア</x:v>
      </x:c>
      <x:c r="E160" s="82" t="str">
        <x:v>引退</x:v>
      </x:c>
      <x:c r="F160" s="82" t="str"/>
      <x:c r="G160" s="82" t="str">
        <x:v>引退確認済</x:v>
      </x:c>
      <x:c r="H160" s="82" t="str">
        <x:v>クラシック型</x:v>
      </x:c>
      <x:c r="I160" s="82" t="str">
        <x:v>TT・ルーラー型</x:v>
      </x:c>
      <x:c r="J160" s="85" t="n">
        <x:v>52</x:v>
      </x:c>
      <x:c r="K160" s="85" t="n">
        <x:v>95</x:v>
      </x:c>
      <x:c r="L160" s="91" t="str">
        <x:v>ロードキャプテン / 石畳護衛</x:v>
      </x:c>
      <x:c r="M160" s="88" t="n">
        <x:v>2900</x:v>
      </x:c>
      <x:c r="N160" s="85" t="n">
        <x:v>70</x:v>
      </x:c>
      <x:c r="O160" s="85" t="n">
        <x:v>68</x:v>
      </x:c>
      <x:c r="P160" s="85" t="n">
        <x:v>70</x:v>
      </x:c>
      <x:c r="Q160" s="85" t="n">
        <x:v>69</x:v>
      </x:c>
      <x:c r="R160" s="85" t="n">
        <x:v>66</x:v>
      </x:c>
      <x:c r="S160" s="85" t="n">
        <x:v>68</x:v>
      </x:c>
      <x:c r="T160" s="85" t="n">
        <x:v>71</x:v>
      </x:c>
      <x:c r="U160" s="85" t="n">
        <x:v>74</x:v>
      </x:c>
      <x:c r="V160" s="85" t="n">
        <x:v>74</x:v>
      </x:c>
      <x:c r="W160" s="85" t="n">
        <x:v>73</x:v>
      </x:c>
      <x:c r="X160" s="85" t="n">
        <x:v>66</x:v>
      </x:c>
      <x:c r="Y160" s="85" t="n">
        <x:v>66</x:v>
      </x:c>
      <x:c r="Z160" s="85" t="n">
        <x:v>72</x:v>
      </x:c>
      <x:c r="AA160" s="85" t="n">
        <x:v>66</x:v>
      </x:c>
      <x:c r="AB160" s="85" t="n">
        <x:v>71</x:v>
      </x:c>
      <x:c r="AC160" s="91" t="str">
        <x:v>既存時代区分「近代」（WorldTeam名簿外）</x:v>
      </x:c>
      <x:c r="AD160" s="91" t="str">
        <x:v>https://en.wikipedia.org/wiki/Special:Search?search=Bernhard%20Eisel%20cyclist</x:v>
      </x:c>
      <x:c r="AE160" s="91" t="str">
        <x:v>能力・適性・Credit整合済</x:v>
      </x:c>
      <x:c r="AF160" s="91" t="str">
        <x:v>https://en.wikipedia.org/wiki/Special:Search?search=Bernhard%20Eisel%20cyclist</x:v>
      </x:c>
    </x:row>
    <x:row r="161" ht="26" customHeight="1">
      <x:c r="A161" s="82" t="n">
        <x:v>157</x:v>
      </x:c>
      <x:c r="B161" s="82" t="str">
        <x:v>Christian Vande Velde</x:v>
      </x:c>
      <x:c r="C161" s="143" t="str"/>
      <x:c r="D161" s="82" t="str">
        <x:v>アメリカ</x:v>
      </x:c>
      <x:c r="E161" s="82" t="str">
        <x:v>引退</x:v>
      </x:c>
      <x:c r="F161" s="82" t="str"/>
      <x:c r="G161" s="82" t="str">
        <x:v>引退確認済</x:v>
      </x:c>
      <x:c r="H161" s="82" t="str">
        <x:v>クラシック型</x:v>
      </x:c>
      <x:c r="I161" s="82" t="str">
        <x:v>TT・ルーラー型</x:v>
      </x:c>
      <x:c r="J161" s="85" t="n">
        <x:v>52</x:v>
      </x:c>
      <x:c r="K161" s="85" t="n">
        <x:v>95</x:v>
      </x:c>
      <x:c r="L161" s="91" t="str">
        <x:v>ロードキャプテン / 平坦アシスト / 石畳護衛 / 横風分断</x:v>
      </x:c>
      <x:c r="M161" s="88" t="n">
        <x:v>2800</x:v>
      </x:c>
      <x:c r="N161" s="85" t="n">
        <x:v>70</x:v>
      </x:c>
      <x:c r="O161" s="85" t="n">
        <x:v>68</x:v>
      </x:c>
      <x:c r="P161" s="85" t="n">
        <x:v>70</x:v>
      </x:c>
      <x:c r="Q161" s="85" t="n">
        <x:v>69</x:v>
      </x:c>
      <x:c r="R161" s="85" t="n">
        <x:v>65</x:v>
      </x:c>
      <x:c r="S161" s="85" t="n">
        <x:v>68</x:v>
      </x:c>
      <x:c r="T161" s="85" t="n">
        <x:v>70</x:v>
      </x:c>
      <x:c r="U161" s="85" t="n">
        <x:v>73</x:v>
      </x:c>
      <x:c r="V161" s="85" t="n">
        <x:v>73</x:v>
      </x:c>
      <x:c r="W161" s="85" t="n">
        <x:v>50</x:v>
      </x:c>
      <x:c r="X161" s="85" t="n">
        <x:v>65</x:v>
      </x:c>
      <x:c r="Y161" s="85" t="n">
        <x:v>65</x:v>
      </x:c>
      <x:c r="Z161" s="85" t="n">
        <x:v>72</x:v>
      </x:c>
      <x:c r="AA161" s="85" t="n">
        <x:v>65</x:v>
      </x:c>
      <x:c r="AB161" s="85" t="n">
        <x:v>71</x:v>
      </x:c>
      <x:c r="AC161" s="91" t="str">
        <x:v>既存時代区分「近代」（WorldTeam名簿外）</x:v>
      </x:c>
      <x:c r="AD161" s="91" t="str">
        <x:v>https://en.wikipedia.org/wiki/Special:Search?search=Christian%20Vande%20Velde%20cyclist</x:v>
      </x:c>
      <x:c r="AE161" s="91" t="str">
        <x:v>能力・適性・Credit整合済</x:v>
      </x:c>
      <x:c r="AF161" s="91" t="str">
        <x:v>https://en.wikipedia.org/wiki/Special:Search?search=Christian%20Vande%20Velde%20cyclist</x:v>
      </x:c>
    </x:row>
    <x:row r="162" ht="26" customHeight="1">
      <x:c r="A162" s="82" t="n">
        <x:v>158</x:v>
      </x:c>
      <x:c r="B162" s="82" t="str">
        <x:v>Bram Tankink</x:v>
      </x:c>
      <x:c r="C162" s="143" t="str"/>
      <x:c r="D162" s="82" t="str">
        <x:v>オランダ</x:v>
      </x:c>
      <x:c r="E162" s="82" t="str">
        <x:v>引退</x:v>
      </x:c>
      <x:c r="F162" s="82" t="str"/>
      <x:c r="G162" s="82" t="str">
        <x:v>引退確認済</x:v>
      </x:c>
      <x:c r="H162" s="82" t="str">
        <x:v>クラシック型</x:v>
      </x:c>
      <x:c r="I162" s="82" t="str">
        <x:v>TT・ルーラー型</x:v>
      </x:c>
      <x:c r="J162" s="85" t="n">
        <x:v>51</x:v>
      </x:c>
      <x:c r="K162" s="85" t="n">
        <x:v>96</x:v>
      </x:c>
      <x:c r="L162" s="91" t="str">
        <x:v>ロードキャプテン / 平坦アシスト / 石畳護衛 / 下り牽引</x:v>
      </x:c>
      <x:c r="M162" s="88" t="n">
        <x:v>2850</x:v>
      </x:c>
      <x:c r="N162" s="85" t="n">
        <x:v>70</x:v>
      </x:c>
      <x:c r="O162" s="85" t="n">
        <x:v>68</x:v>
      </x:c>
      <x:c r="P162" s="85" t="n">
        <x:v>70</x:v>
      </x:c>
      <x:c r="Q162" s="85" t="n">
        <x:v>69</x:v>
      </x:c>
      <x:c r="R162" s="85" t="n">
        <x:v>65</x:v>
      </x:c>
      <x:c r="S162" s="85" t="n">
        <x:v>68</x:v>
      </x:c>
      <x:c r="T162" s="85" t="n">
        <x:v>71</x:v>
      </x:c>
      <x:c r="U162" s="85" t="n">
        <x:v>73</x:v>
      </x:c>
      <x:c r="V162" s="85" t="n">
        <x:v>73</x:v>
      </x:c>
      <x:c r="W162" s="85" t="n">
        <x:v>69</x:v>
      </x:c>
      <x:c r="X162" s="85" t="n">
        <x:v>65</x:v>
      </x:c>
      <x:c r="Y162" s="85" t="n">
        <x:v>65</x:v>
      </x:c>
      <x:c r="Z162" s="85" t="n">
        <x:v>72</x:v>
      </x:c>
      <x:c r="AA162" s="85" t="n">
        <x:v>66</x:v>
      </x:c>
      <x:c r="AB162" s="85" t="n">
        <x:v>71</x:v>
      </x:c>
      <x:c r="AC162" s="91" t="str">
        <x:v>既存時代区分「近代」（WorldTeam名簿外）</x:v>
      </x:c>
      <x:c r="AD162" s="91" t="str">
        <x:v>https://en.wikipedia.org/wiki/Special:Search?search=Bram%20Tankink%20cyclist</x:v>
      </x:c>
      <x:c r="AE162" s="91" t="str">
        <x:v>能力・適性・Credit整合済</x:v>
      </x:c>
      <x:c r="AF162" s="91" t="str">
        <x:v>https://en.wikipedia.org/wiki/Special:Search?search=Bram%20Tankink%20cyclist</x:v>
      </x:c>
    </x:row>
    <x:row r="163" ht="26" customHeight="1">
      <x:c r="A163" s="82" t="n">
        <x:v>159</x:v>
      </x:c>
      <x:c r="B163" s="82" t="str">
        <x:v>Juan Antonio Flecha</x:v>
      </x:c>
      <x:c r="C163" s="143" t="str"/>
      <x:c r="D163" s="82" t="str">
        <x:v>スペイン</x:v>
      </x:c>
      <x:c r="E163" s="82" t="str">
        <x:v>引退</x:v>
      </x:c>
      <x:c r="F163" s="82" t="str"/>
      <x:c r="G163" s="82" t="str">
        <x:v>引退確認済</x:v>
      </x:c>
      <x:c r="H163" s="82" t="str">
        <x:v>クラシック型</x:v>
      </x:c>
      <x:c r="I163" s="82" t="str">
        <x:v>TT・ルーラー型</x:v>
      </x:c>
      <x:c r="J163" s="85" t="n">
        <x:v>51</x:v>
      </x:c>
      <x:c r="K163" s="85" t="n">
        <x:v>96</x:v>
      </x:c>
      <x:c r="L163" s="91" t="str">
        <x:v>ロードキャプテン / 平坦アシスト / 石畳護衛 / 下り牽引</x:v>
      </x:c>
      <x:c r="M163" s="88" t="n">
        <x:v>2800</x:v>
      </x:c>
      <x:c r="N163" s="85" t="n">
        <x:v>71</x:v>
      </x:c>
      <x:c r="O163" s="85" t="n">
        <x:v>69</x:v>
      </x:c>
      <x:c r="P163" s="85" t="n">
        <x:v>70</x:v>
      </x:c>
      <x:c r="Q163" s="85" t="n">
        <x:v>71</x:v>
      </x:c>
      <x:c r="R163" s="85" t="n">
        <x:v>66</x:v>
      </x:c>
      <x:c r="S163" s="85" t="n">
        <x:v>69</x:v>
      </x:c>
      <x:c r="T163" s="85" t="n">
        <x:v>71</x:v>
      </x:c>
      <x:c r="U163" s="85" t="n">
        <x:v>74</x:v>
      </x:c>
      <x:c r="V163" s="85" t="n">
        <x:v>74</x:v>
      </x:c>
      <x:c r="W163" s="85" t="n">
        <x:v>50</x:v>
      </x:c>
      <x:c r="X163" s="85" t="n">
        <x:v>66</x:v>
      </x:c>
      <x:c r="Y163" s="85" t="n">
        <x:v>67</x:v>
      </x:c>
      <x:c r="Z163" s="85" t="n">
        <x:v>73</x:v>
      </x:c>
      <x:c r="AA163" s="85" t="n">
        <x:v>67</x:v>
      </x:c>
      <x:c r="AB163" s="85" t="n">
        <x:v>72</x:v>
      </x:c>
      <x:c r="AC163" s="91" t="str">
        <x:v>既存時代区分「近代」（WorldTeam名簿外）</x:v>
      </x:c>
      <x:c r="AD163" s="91" t="str">
        <x:v>https://en.wikipedia.org/wiki/Special:Search?search=Juan%20Antonio%20Flecha%20cyclist</x:v>
      </x:c>
      <x:c r="AE163" s="91" t="str">
        <x:v>能力・適性・Credit整合済</x:v>
      </x:c>
      <x:c r="AF163" s="91" t="str">
        <x:v>https://en.wikipedia.org/wiki/Special:Search?search=Juan%20Antonio%20Flecha%20cyclist</x:v>
      </x:c>
    </x:row>
    <x:row r="164" ht="26" customHeight="1">
      <x:c r="A164" s="82" t="n">
        <x:v>160</x:v>
      </x:c>
      <x:c r="B164" s="82" t="str">
        <x:v>George Hincapie</x:v>
      </x:c>
      <x:c r="C164" s="143" t="str"/>
      <x:c r="D164" s="82" t="str">
        <x:v>アメリカ</x:v>
      </x:c>
      <x:c r="E164" s="82" t="str">
        <x:v>引退</x:v>
      </x:c>
      <x:c r="F164" s="82" t="str"/>
      <x:c r="G164" s="82" t="str">
        <x:v>引退確認済</x:v>
      </x:c>
      <x:c r="H164" s="82" t="str">
        <x:v>クラシック型</x:v>
      </x:c>
      <x:c r="I164" s="82" t="str">
        <x:v>TT・ルーラー型</x:v>
      </x:c>
      <x:c r="J164" s="85" t="n">
        <x:v>51</x:v>
      </x:c>
      <x:c r="K164" s="85" t="n">
        <x:v>96</x:v>
      </x:c>
      <x:c r="L164" s="91" t="str">
        <x:v>ロードキャプテン / 平坦アシスト / 石畳護衛</x:v>
      </x:c>
      <x:c r="M164" s="88" t="n">
        <x:v>2800</x:v>
      </x:c>
      <x:c r="N164" s="85" t="n">
        <x:v>71</x:v>
      </x:c>
      <x:c r="O164" s="85" t="n">
        <x:v>68</x:v>
      </x:c>
      <x:c r="P164" s="85" t="n">
        <x:v>70</x:v>
      </x:c>
      <x:c r="Q164" s="85" t="n">
        <x:v>70</x:v>
      </x:c>
      <x:c r="R164" s="85" t="n">
        <x:v>66</x:v>
      </x:c>
      <x:c r="S164" s="85" t="n">
        <x:v>68</x:v>
      </x:c>
      <x:c r="T164" s="85" t="n">
        <x:v>71</x:v>
      </x:c>
      <x:c r="U164" s="85" t="n">
        <x:v>74</x:v>
      </x:c>
      <x:c r="V164" s="85" t="n">
        <x:v>74</x:v>
      </x:c>
      <x:c r="W164" s="85" t="n">
        <x:v>50</x:v>
      </x:c>
      <x:c r="X164" s="85" t="n">
        <x:v>66</x:v>
      </x:c>
      <x:c r="Y164" s="85" t="n">
        <x:v>66</x:v>
      </x:c>
      <x:c r="Z164" s="85" t="n">
        <x:v>72</x:v>
      </x:c>
      <x:c r="AA164" s="85" t="n">
        <x:v>66</x:v>
      </x:c>
      <x:c r="AB164" s="85" t="n">
        <x:v>72</x:v>
      </x:c>
      <x:c r="AC164" s="91" t="str">
        <x:v>既存時代区分「近代」（WorldTeam名簿外）</x:v>
      </x:c>
      <x:c r="AD164" s="91" t="str">
        <x:v>https://en.wikipedia.org/wiki/Special:Search?search=George%20Hincapie%20cyclist</x:v>
      </x:c>
      <x:c r="AE164" s="91" t="str">
        <x:v>能力・適性・Credit整合済</x:v>
      </x:c>
      <x:c r="AF164" s="91" t="str">
        <x:v>https://en.wikipedia.org/wiki/Special:Search?search=George%20Hincapie%20cyclist</x:v>
      </x:c>
    </x:row>
    <x:row r="165" ht="26" customHeight="1">
      <x:c r="A165" s="82" t="n">
        <x:v>161</x:v>
      </x:c>
      <x:c r="B165" s="82" t="str">
        <x:v>Matteo Tosatto</x:v>
      </x:c>
      <x:c r="C165" s="143" t="str"/>
      <x:c r="D165" s="82" t="str">
        <x:v>イタリア</x:v>
      </x:c>
      <x:c r="E165" s="82" t="str">
        <x:v>引退</x:v>
      </x:c>
      <x:c r="F165" s="82" t="str"/>
      <x:c r="G165" s="82" t="str">
        <x:v>引退確認済</x:v>
      </x:c>
      <x:c r="H165" s="82" t="str">
        <x:v>TT・ルーラー型</x:v>
      </x:c>
      <x:c r="I165" s="82" t="str">
        <x:v>クラシック型</x:v>
      </x:c>
      <x:c r="J165" s="85" t="n">
        <x:v>51</x:v>
      </x:c>
      <x:c r="K165" s="85" t="n">
        <x:v>96</x:v>
      </x:c>
      <x:c r="L165" s="91" t="str">
        <x:v>平坦アシスト / 平坦ペースメーカー / TT牽引 / 集団コントローラー / トラブル復帰牽引</x:v>
      </x:c>
      <x:c r="M165" s="88" t="n">
        <x:v>2800</x:v>
      </x:c>
      <x:c r="N165" s="85" t="n">
        <x:v>66</x:v>
      </x:c>
      <x:c r="O165" s="85" t="n">
        <x:v>62</x:v>
      </x:c>
      <x:c r="P165" s="85" t="n">
        <x:v>57</x:v>
      </x:c>
      <x:c r="Q165" s="85" t="n">
        <x:v>74</x:v>
      </x:c>
      <x:c r="R165" s="85" t="n">
        <x:v>67</x:v>
      </x:c>
      <x:c r="S165" s="85" t="n">
        <x:v>66</x:v>
      </x:c>
      <x:c r="T165" s="85" t="n">
        <x:v>66</x:v>
      </x:c>
      <x:c r="U165" s="85" t="n">
        <x:v>67</x:v>
      </x:c>
      <x:c r="V165" s="85" t="n">
        <x:v>65</x:v>
      </x:c>
      <x:c r="W165" s="85" t="n">
        <x:v>64</x:v>
      </x:c>
      <x:c r="X165" s="85" t="n">
        <x:v>62</x:v>
      </x:c>
      <x:c r="Y165" s="85" t="n">
        <x:v>62</x:v>
      </x:c>
      <x:c r="Z165" s="85" t="n">
        <x:v>75</x:v>
      </x:c>
      <x:c r="AA165" s="85" t="n">
        <x:v>61</x:v>
      </x:c>
      <x:c r="AB165" s="85" t="n">
        <x:v>63</x:v>
      </x:c>
      <x:c r="AC165" s="91" t="str">
        <x:v>既存時代区分「近代」（WorldTeam名簿外）</x:v>
      </x:c>
      <x:c r="AD165" s="91" t="str">
        <x:v>https://en.wikipedia.org/wiki/Special:Search?search=Matteo%20Tosatto%20cyclist</x:v>
      </x:c>
      <x:c r="AE165" s="91" t="str">
        <x:v>能力・適性・Credit整合済</x:v>
      </x:c>
      <x:c r="AF165" s="91" t="str">
        <x:v>https://en.wikipedia.org/wiki/Special:Search?search=Matteo%20Tosatto%20cyclist</x:v>
      </x:c>
    </x:row>
    <x:row r="166" ht="26" customHeight="1">
      <x:c r="A166" s="82" t="n">
        <x:v>162</x:v>
      </x:c>
      <x:c r="B166" s="82" t="str">
        <x:v>Mathew Hayman</x:v>
      </x:c>
      <x:c r="C166" s="143" t="str">
        <x:v>石畳の伏兵</x:v>
      </x:c>
      <x:c r="D166" s="82" t="str">
        <x:v>オーストラリア</x:v>
      </x:c>
      <x:c r="E166" s="82" t="str">
        <x:v>引退</x:v>
      </x:c>
      <x:c r="F166" s="82" t="str"/>
      <x:c r="G166" s="82" t="str">
        <x:v>引退確認済</x:v>
      </x:c>
      <x:c r="H166" s="82" t="str">
        <x:v>クラシック型</x:v>
      </x:c>
      <x:c r="I166" s="82" t="str">
        <x:v>TT・ルーラー型</x:v>
      </x:c>
      <x:c r="J166" s="85" t="n">
        <x:v>50</x:v>
      </x:c>
      <x:c r="K166" s="85" t="n">
        <x:v>97</x:v>
      </x:c>
      <x:c r="L166" s="91" t="str">
        <x:v>ロードキャプテン / 平坦アシスト / 石畳護衛 / 横風要員 / 横風分断</x:v>
      </x:c>
      <x:c r="M166" s="88" t="n">
        <x:v>3550</x:v>
      </x:c>
      <x:c r="N166" s="85" t="n">
        <x:v>70</x:v>
      </x:c>
      <x:c r="O166" s="85" t="n">
        <x:v>68</x:v>
      </x:c>
      <x:c r="P166" s="85" t="n">
        <x:v>70</x:v>
      </x:c>
      <x:c r="Q166" s="85" t="n">
        <x:v>69</x:v>
      </x:c>
      <x:c r="R166" s="85" t="n">
        <x:v>66</x:v>
      </x:c>
      <x:c r="S166" s="85" t="n">
        <x:v>68</x:v>
      </x:c>
      <x:c r="T166" s="85" t="n">
        <x:v>71</x:v>
      </x:c>
      <x:c r="U166" s="85" t="n">
        <x:v>73</x:v>
      </x:c>
      <x:c r="V166" s="85" t="n">
        <x:v>73</x:v>
      </x:c>
      <x:c r="W166" s="85" t="n">
        <x:v>78</x:v>
      </x:c>
      <x:c r="X166" s="85" t="n">
        <x:v>65</x:v>
      </x:c>
      <x:c r="Y166" s="85" t="n">
        <x:v>65</x:v>
      </x:c>
      <x:c r="Z166" s="85" t="n">
        <x:v>72</x:v>
      </x:c>
      <x:c r="AA166" s="85" t="n">
        <x:v>66</x:v>
      </x:c>
      <x:c r="AB166" s="85" t="n">
        <x:v>71</x:v>
      </x:c>
      <x:c r="AC166" s="91" t="str">
        <x:v>既存時代区分「近代」（WorldTeam名簿外）</x:v>
      </x:c>
      <x:c r="AD166" s="91" t="str">
        <x:v>https://en.wikipedia.org/wiki/Special:Search?search=Mathew%20Hayman%20cyclist</x:v>
      </x:c>
      <x:c r="AE166" s="91" t="str">
        <x:v>能力・適性・Credit整合済</x:v>
      </x:c>
      <x:c r="AF166" s="91" t="str">
        <x:v>https://en.wikipedia.org/wiki/Special:Search?search=Mathew%20Hayman%20cyclist</x:v>
      </x:c>
    </x:row>
    <x:row r="167" ht="26" customHeight="1">
      <x:c r="A167" s="82" t="n">
        <x:v>163</x:v>
      </x:c>
      <x:c r="B167" s="82" t="str">
        <x:v>Luca Paolini</x:v>
      </x:c>
      <x:c r="C167" s="143" t="str"/>
      <x:c r="D167" s="82" t="str">
        <x:v>イタリア</x:v>
      </x:c>
      <x:c r="E167" s="82" t="str">
        <x:v>引退</x:v>
      </x:c>
      <x:c r="F167" s="82" t="str"/>
      <x:c r="G167" s="82" t="str">
        <x:v>引退確認済</x:v>
      </x:c>
      <x:c r="H167" s="82" t="str">
        <x:v>クラシック型</x:v>
      </x:c>
      <x:c r="I167" s="82" t="str">
        <x:v>TT・ルーラー型</x:v>
      </x:c>
      <x:c r="J167" s="85" t="n">
        <x:v>50</x:v>
      </x:c>
      <x:c r="K167" s="85" t="n">
        <x:v>97</x:v>
      </x:c>
      <x:c r="L167" s="91" t="str">
        <x:v>ロードキャプテン / 平坦アシスト / 石畳護衛 / ブレイクアウェイキラー / 横風分断 / ポジションキーパー</x:v>
      </x:c>
      <x:c r="M167" s="88" t="n">
        <x:v>3000</x:v>
      </x:c>
      <x:c r="N167" s="85" t="n">
        <x:v>71</x:v>
      </x:c>
      <x:c r="O167" s="85" t="n">
        <x:v>69</x:v>
      </x:c>
      <x:c r="P167" s="85" t="n">
        <x:v>70</x:v>
      </x:c>
      <x:c r="Q167" s="85" t="n">
        <x:v>71</x:v>
      </x:c>
      <x:c r="R167" s="85" t="n">
        <x:v>66</x:v>
      </x:c>
      <x:c r="S167" s="85" t="n">
        <x:v>72</x:v>
      </x:c>
      <x:c r="T167" s="85" t="n">
        <x:v>72</x:v>
      </x:c>
      <x:c r="U167" s="85" t="n">
        <x:v>76</x:v>
      </x:c>
      <x:c r="V167" s="85" t="n">
        <x:v>74</x:v>
      </x:c>
      <x:c r="W167" s="85" t="n">
        <x:v>69</x:v>
      </x:c>
      <x:c r="X167" s="85" t="n">
        <x:v>66</x:v>
      </x:c>
      <x:c r="Y167" s="85" t="n">
        <x:v>67</x:v>
      </x:c>
      <x:c r="Z167" s="85" t="n">
        <x:v>73</x:v>
      </x:c>
      <x:c r="AA167" s="85" t="n">
        <x:v>67</x:v>
      </x:c>
      <x:c r="AB167" s="85" t="n">
        <x:v>73</x:v>
      </x:c>
      <x:c r="AC167" s="91" t="str">
        <x:v>既存時代区分「近代」（WorldTeam名簿外）</x:v>
      </x:c>
      <x:c r="AD167" s="91" t="str">
        <x:v>https://en.wikipedia.org/wiki/Special:Search?search=Luca%20Paolini%20cyclist</x:v>
      </x:c>
      <x:c r="AE167" s="91" t="str">
        <x:v>能力・適性・Credit整合済</x:v>
      </x:c>
      <x:c r="AF167" s="91" t="str">
        <x:v>https://en.wikipedia.org/wiki/Special:Search?search=Luca%20Paolini%20cyclist</x:v>
      </x:c>
    </x:row>
    <x:row r="168" ht="26" customHeight="1">
      <x:c r="A168" s="82" t="n">
        <x:v>164</x:v>
      </x:c>
      <x:c r="B168" s="82" t="str">
        <x:v>Sylvain Chavanel</x:v>
      </x:c>
      <x:c r="C168" s="143" t="str"/>
      <x:c r="D168" s="82" t="str">
        <x:v>フランス</x:v>
      </x:c>
      <x:c r="E168" s="82" t="str">
        <x:v>引退</x:v>
      </x:c>
      <x:c r="F168" s="82" t="str"/>
      <x:c r="G168" s="82" t="str">
        <x:v>引退確認済</x:v>
      </x:c>
      <x:c r="H168" s="82" t="str">
        <x:v>クラシック型</x:v>
      </x:c>
      <x:c r="I168" s="82" t="str">
        <x:v>TT・ルーラー型</x:v>
      </x:c>
      <x:c r="J168" s="85" t="n">
        <x:v>49</x:v>
      </x:c>
      <x:c r="K168" s="85" t="n">
        <x:v>98</x:v>
      </x:c>
      <x:c r="L168" s="91" t="str">
        <x:v>ロードキャプテン / 平坦アシスト / 石畳護衛 / 集団コントローラー</x:v>
      </x:c>
      <x:c r="M168" s="88" t="n">
        <x:v>2800</x:v>
      </x:c>
      <x:c r="N168" s="85" t="n">
        <x:v>70</x:v>
      </x:c>
      <x:c r="O168" s="85" t="n">
        <x:v>67</x:v>
      </x:c>
      <x:c r="P168" s="85" t="n">
        <x:v>70</x:v>
      </x:c>
      <x:c r="Q168" s="85" t="n">
        <x:v>70</x:v>
      </x:c>
      <x:c r="R168" s="85" t="n">
        <x:v>64</x:v>
      </x:c>
      <x:c r="S168" s="85" t="n">
        <x:v>67</x:v>
      </x:c>
      <x:c r="T168" s="85" t="n">
        <x:v>70</x:v>
      </x:c>
      <x:c r="U168" s="85" t="n">
        <x:v>72</x:v>
      </x:c>
      <x:c r="V168" s="85" t="n">
        <x:v>72</x:v>
      </x:c>
      <x:c r="W168" s="85" t="n">
        <x:v>64</x:v>
      </x:c>
      <x:c r="X168" s="85" t="n">
        <x:v>64</x:v>
      </x:c>
      <x:c r="Y168" s="85" t="n">
        <x:v>64</x:v>
      </x:c>
      <x:c r="Z168" s="85" t="n">
        <x:v>73</x:v>
      </x:c>
      <x:c r="AA168" s="85" t="n">
        <x:v>65</x:v>
      </x:c>
      <x:c r="AB168" s="85" t="n">
        <x:v>72</x:v>
      </x:c>
      <x:c r="AC168" s="91" t="str">
        <x:v>既存時代区分「近代」（WorldTeam名簿外）</x:v>
      </x:c>
      <x:c r="AD168" s="91" t="str">
        <x:v>https://en.wikipedia.org/wiki/Special:Search?search=Sylvain%20Chavanel%20cyclist</x:v>
      </x:c>
      <x:c r="AE168" s="91" t="str">
        <x:v>能力・適性・Credit整合済</x:v>
      </x:c>
      <x:c r="AF168" s="91" t="str">
        <x:v>https://en.wikipedia.org/wiki/Special:Search?search=Sylvain%20Chavanel%20cyclist</x:v>
      </x:c>
    </x:row>
    <x:row r="169" ht="26" customHeight="1">
      <x:c r="A169" s="82" t="n">
        <x:v>165</x:v>
      </x:c>
      <x:c r="B169" s="82" t="str">
        <x:v>Fumiyuki Beppu</x:v>
      </x:c>
      <x:c r="C169" s="143" t="str"/>
      <x:c r="D169" s="82" t="str">
        <x:v>日本</x:v>
      </x:c>
      <x:c r="E169" s="82" t="str">
        <x:v>引退</x:v>
      </x:c>
      <x:c r="F169" s="82" t="str"/>
      <x:c r="G169" s="82" t="str">
        <x:v>引退確認済</x:v>
      </x:c>
      <x:c r="H169" s="82" t="str">
        <x:v>クラシック型</x:v>
      </x:c>
      <x:c r="I169" s="82" t="str">
        <x:v>TT・ルーラー型</x:v>
      </x:c>
      <x:c r="J169" s="85" t="n">
        <x:v>49</x:v>
      </x:c>
      <x:c r="K169" s="85" t="n">
        <x:v>98</x:v>
      </x:c>
      <x:c r="L169" s="91" t="str">
        <x:v>ロードキャプテン / 平坦アシスト / 石畳護衛 / 横風分断</x:v>
      </x:c>
      <x:c r="M169" s="88" t="n">
        <x:v>2800</x:v>
      </x:c>
      <x:c r="N169" s="85" t="n">
        <x:v>66</x:v>
      </x:c>
      <x:c r="O169" s="85" t="n">
        <x:v>65</x:v>
      </x:c>
      <x:c r="P169" s="85" t="n">
        <x:v>68</x:v>
      </x:c>
      <x:c r="Q169" s="85" t="n">
        <x:v>69</x:v>
      </x:c>
      <x:c r="R169" s="85" t="n">
        <x:v>69</x:v>
      </x:c>
      <x:c r="S169" s="85" t="n">
        <x:v>66</x:v>
      </x:c>
      <x:c r="T169" s="85" t="n">
        <x:v>67</x:v>
      </x:c>
      <x:c r="U169" s="85" t="n">
        <x:v>71</x:v>
      </x:c>
      <x:c r="V169" s="85" t="n">
        <x:v>73</x:v>
      </x:c>
      <x:c r="W169" s="85" t="n">
        <x:v>64</x:v>
      </x:c>
      <x:c r="X169" s="85" t="n">
        <x:v>68</x:v>
      </x:c>
      <x:c r="Y169" s="85" t="n">
        <x:v>68</x:v>
      </x:c>
      <x:c r="Z169" s="85" t="n">
        <x:v>80</x:v>
      </x:c>
      <x:c r="AA169" s="85" t="n">
        <x:v>57</x:v>
      </x:c>
      <x:c r="AB169" s="85" t="n">
        <x:v>67</x:v>
      </x:c>
      <x:c r="AC169" s="91" t="str">
        <x:v>既存時代区分「近代」（WorldTeam名簿外）</x:v>
      </x:c>
      <x:c r="AD169" s="91" t="str">
        <x:v>https://en.wikipedia.org/wiki/Special:Search?search=Fumiyuki%20Beppu%20cyclist</x:v>
      </x:c>
      <x:c r="AE169" s="91" t="str">
        <x:v>能力・適性・Credit整合済</x:v>
      </x:c>
      <x:c r="AF169" s="91" t="str">
        <x:v>https://en.wikipedia.org/wiki/Special:Search?search=Fumiyuki%20Beppu%20cyclist</x:v>
      </x:c>
    </x:row>
    <x:row r="170" ht="26" customHeight="1">
      <x:c r="A170" s="82" t="n">
        <x:v>166</x:v>
      </x:c>
      <x:c r="B170" s="82" t="str">
        <x:v>Geraint Thomas</x:v>
      </x:c>
      <x:c r="C170" s="143" t="str"/>
      <x:c r="D170" s="82" t="str">
        <x:v>イギリス</x:v>
      </x:c>
      <x:c r="E170" s="82" t="str">
        <x:v>引退</x:v>
      </x:c>
      <x:c r="F170" s="82" t="str"/>
      <x:c r="G170" s="82" t="str">
        <x:v>引退確認済</x:v>
      </x:c>
      <x:c r="H170" s="82" t="str">
        <x:v>クラシック型</x:v>
      </x:c>
      <x:c r="I170" s="82" t="str">
        <x:v>TT・ルーラー型</x:v>
      </x:c>
      <x:c r="J170" s="85" t="n">
        <x:v>48</x:v>
      </x:c>
      <x:c r="K170" s="85" t="n">
        <x:v>99</x:v>
      </x:c>
      <x:c r="L170" s="91" t="str">
        <x:v>ロードキャプテン / 平坦アシスト / 石畳護衛</x:v>
      </x:c>
      <x:c r="M170" s="88" t="n">
        <x:v>2900</x:v>
      </x:c>
      <x:c r="N170" s="85" t="n">
        <x:v>71</x:v>
      </x:c>
      <x:c r="O170" s="85" t="n">
        <x:v>69</x:v>
      </x:c>
      <x:c r="P170" s="85" t="n">
        <x:v>71</x:v>
      </x:c>
      <x:c r="Q170" s="85" t="n">
        <x:v>73</x:v>
      </x:c>
      <x:c r="R170" s="85" t="n">
        <x:v>67</x:v>
      </x:c>
      <x:c r="S170" s="85" t="n">
        <x:v>71</x:v>
      </x:c>
      <x:c r="T170" s="85" t="n">
        <x:v>72</x:v>
      </x:c>
      <x:c r="U170" s="85" t="n">
        <x:v>75</x:v>
      </x:c>
      <x:c r="V170" s="85" t="n">
        <x:v>76</x:v>
      </x:c>
      <x:c r="W170" s="85" t="n">
        <x:v>76</x:v>
      </x:c>
      <x:c r="X170" s="85" t="n">
        <x:v>68</x:v>
      </x:c>
      <x:c r="Y170" s="85" t="n">
        <x:v>68</x:v>
      </x:c>
      <x:c r="Z170" s="85" t="n">
        <x:v>76</x:v>
      </x:c>
      <x:c r="AA170" s="85" t="n">
        <x:v>68</x:v>
      </x:c>
      <x:c r="AB170" s="85" t="n">
        <x:v>72</x:v>
      </x:c>
      <x:c r="AC170" s="91" t="str">
        <x:v>既存時代区分「近代」（WorldTeam名簿外）</x:v>
      </x:c>
      <x:c r="AD170" s="91" t="str">
        <x:v>https://en.wikipedia.org/wiki/Special:Search?search=Geraint%20Thomas%20cyclist</x:v>
      </x:c>
      <x:c r="AE170" s="91" t="str">
        <x:v>能力・適性・Credit整合済</x:v>
      </x:c>
      <x:c r="AF170" s="91" t="str">
        <x:v>https://en.wikipedia.org/wiki/Special:Search?search=Geraint%20Thomas%20cyclist</x:v>
      </x:c>
    </x:row>
    <x:row r="171" ht="26" customHeight="1">
      <x:c r="A171" s="82" t="n">
        <x:v>167</x:v>
      </x:c>
      <x:c r="B171" s="82" t="str">
        <x:v>Gregory Rast</x:v>
      </x:c>
      <x:c r="C171" s="143" t="str"/>
      <x:c r="D171" s="82" t="str">
        <x:v>スイス</x:v>
      </x:c>
      <x:c r="E171" s="82" t="str">
        <x:v>引退</x:v>
      </x:c>
      <x:c r="F171" s="82" t="str"/>
      <x:c r="G171" s="82" t="str">
        <x:v>引退確認済</x:v>
      </x:c>
      <x:c r="H171" s="82" t="str">
        <x:v>クラシック型</x:v>
      </x:c>
      <x:c r="I171" s="82" t="str">
        <x:v>TT・ルーラー型</x:v>
      </x:c>
      <x:c r="J171" s="85" t="n">
        <x:v>48</x:v>
      </x:c>
      <x:c r="K171" s="85" t="n">
        <x:v>99</x:v>
      </x:c>
      <x:c r="L171" s="91" t="str">
        <x:v>ロードキャプテン / 平坦アシスト / 石畳護衛 / 横風分断</x:v>
      </x:c>
      <x:c r="M171" s="88" t="n">
        <x:v>2800</x:v>
      </x:c>
      <x:c r="N171" s="85" t="n">
        <x:v>70</x:v>
      </x:c>
      <x:c r="O171" s="85" t="n">
        <x:v>68</x:v>
      </x:c>
      <x:c r="P171" s="85" t="n">
        <x:v>70</x:v>
      </x:c>
      <x:c r="Q171" s="85" t="n">
        <x:v>69</x:v>
      </x:c>
      <x:c r="R171" s="85" t="n">
        <x:v>65</x:v>
      </x:c>
      <x:c r="S171" s="85" t="n">
        <x:v>67</x:v>
      </x:c>
      <x:c r="T171" s="85" t="n">
        <x:v>70</x:v>
      </x:c>
      <x:c r="U171" s="85" t="n">
        <x:v>73</x:v>
      </x:c>
      <x:c r="V171" s="85" t="n">
        <x:v>73</x:v>
      </x:c>
      <x:c r="W171" s="85" t="n">
        <x:v>73</x:v>
      </x:c>
      <x:c r="X171" s="85" t="n">
        <x:v>64</x:v>
      </x:c>
      <x:c r="Y171" s="85" t="n">
        <x:v>64</x:v>
      </x:c>
      <x:c r="Z171" s="85" t="n">
        <x:v>74</x:v>
      </x:c>
      <x:c r="AA171" s="85" t="n">
        <x:v>65</x:v>
      </x:c>
      <x:c r="AB171" s="85" t="n">
        <x:v>71</x:v>
      </x:c>
      <x:c r="AC171" s="91" t="str">
        <x:v>既存時代区分「近代」（WorldTeam名簿外）</x:v>
      </x:c>
      <x:c r="AD171" s="91" t="str">
        <x:v>https://en.wikipedia.org/wiki/Special:Search?search=Gregory%20Rast%20cyclist</x:v>
      </x:c>
      <x:c r="AE171" s="91" t="str">
        <x:v>能力・適性・Credit整合済</x:v>
      </x:c>
      <x:c r="AF171" s="91" t="str">
        <x:v>https://en.wikipedia.org/wiki/Special:Search?search=Gregory%20Rast%20cyclist</x:v>
      </x:c>
    </x:row>
    <x:row r="172" ht="26" customHeight="1">
      <x:c r="A172" s="82" t="n">
        <x:v>168</x:v>
      </x:c>
      <x:c r="B172" s="82" t="str">
        <x:v>Koen de Kort</x:v>
      </x:c>
      <x:c r="C172" s="143" t="str"/>
      <x:c r="D172" s="82" t="str">
        <x:v>オランダ</x:v>
      </x:c>
      <x:c r="E172" s="82" t="str">
        <x:v>引退</x:v>
      </x:c>
      <x:c r="F172" s="82" t="str"/>
      <x:c r="G172" s="82" t="str">
        <x:v>引退確認済</x:v>
      </x:c>
      <x:c r="H172" s="82" t="str">
        <x:v>クラシック型</x:v>
      </x:c>
      <x:c r="I172" s="82" t="str">
        <x:v>TT・ルーラー型</x:v>
      </x:c>
      <x:c r="J172" s="85" t="n">
        <x:v>48</x:v>
      </x:c>
      <x:c r="K172" s="85" t="n">
        <x:v>97</x:v>
      </x:c>
      <x:c r="L172" s="91" t="str">
        <x:v>ロードキャプテン / 平坦アシスト / 石畳護衛</x:v>
      </x:c>
      <x:c r="M172" s="88" t="n">
        <x:v>2800</x:v>
      </x:c>
      <x:c r="N172" s="85" t="n">
        <x:v>70</x:v>
      </x:c>
      <x:c r="O172" s="85" t="n">
        <x:v>67</x:v>
      </x:c>
      <x:c r="P172" s="85" t="n">
        <x:v>70</x:v>
      </x:c>
      <x:c r="Q172" s="85" t="n">
        <x:v>69</x:v>
      </x:c>
      <x:c r="R172" s="85" t="n">
        <x:v>63</x:v>
      </x:c>
      <x:c r="S172" s="85" t="n">
        <x:v>66</x:v>
      </x:c>
      <x:c r="T172" s="85" t="n">
        <x:v>70</x:v>
      </x:c>
      <x:c r="U172" s="85" t="n">
        <x:v>72</x:v>
      </x:c>
      <x:c r="V172" s="85" t="n">
        <x:v>72</x:v>
      </x:c>
      <x:c r="W172" s="85" t="n">
        <x:v>69</x:v>
      </x:c>
      <x:c r="X172" s="85" t="n">
        <x:v>63</x:v>
      </x:c>
      <x:c r="Y172" s="85" t="n">
        <x:v>63</x:v>
      </x:c>
      <x:c r="Z172" s="85" t="n">
        <x:v>72</x:v>
      </x:c>
      <x:c r="AA172" s="85" t="n">
        <x:v>64</x:v>
      </x:c>
      <x:c r="AB172" s="85" t="n">
        <x:v>71</x:v>
      </x:c>
      <x:c r="AC172" s="91" t="str">
        <x:v>既存時代区分「近代」（WorldTeam名簿外）</x:v>
      </x:c>
      <x:c r="AD172" s="91" t="str">
        <x:v>https://en.wikipedia.org/wiki/Special:Search?search=Koen%20de%20Kort%20cyclist</x:v>
      </x:c>
      <x:c r="AE172" s="91" t="str">
        <x:v>能力・適性・Credit整合済</x:v>
      </x:c>
      <x:c r="AF172" s="91" t="str">
        <x:v>https://en.wikipedia.org/wiki/Special:Search?search=Koen%20de%20Kort%20cyclist</x:v>
      </x:c>
    </x:row>
    <x:row r="173" ht="26" customHeight="1">
      <x:c r="A173" s="82" t="n">
        <x:v>169</x:v>
      </x:c>
      <x:c r="B173" s="82" t="str">
        <x:v>Nicolas Roche</x:v>
      </x:c>
      <x:c r="C173" s="143" t="str"/>
      <x:c r="D173" s="82" t="str">
        <x:v>アイルランド</x:v>
      </x:c>
      <x:c r="E173" s="82" t="str">
        <x:v>引退</x:v>
      </x:c>
      <x:c r="F173" s="82" t="str"/>
      <x:c r="G173" s="82" t="str">
        <x:v>引退確認済</x:v>
      </x:c>
      <x:c r="H173" s="82" t="str">
        <x:v>クラシック型</x:v>
      </x:c>
      <x:c r="I173" s="82" t="str">
        <x:v>TT・ルーラー型</x:v>
      </x:c>
      <x:c r="J173" s="85" t="n">
        <x:v>48</x:v>
      </x:c>
      <x:c r="K173" s="85" t="n">
        <x:v>99</x:v>
      </x:c>
      <x:c r="L173" s="91" t="str">
        <x:v>ロードキャプテン / 平坦アシスト / 石畳護衛</x:v>
      </x:c>
      <x:c r="M173" s="88" t="n">
        <x:v>2800</x:v>
      </x:c>
      <x:c r="N173" s="85" t="n">
        <x:v>70</x:v>
      </x:c>
      <x:c r="O173" s="85" t="n">
        <x:v>67</x:v>
      </x:c>
      <x:c r="P173" s="85" t="n">
        <x:v>70</x:v>
      </x:c>
      <x:c r="Q173" s="85" t="n">
        <x:v>69</x:v>
      </x:c>
      <x:c r="R173" s="85" t="n">
        <x:v>64</x:v>
      </x:c>
      <x:c r="S173" s="85" t="n">
        <x:v>67</x:v>
      </x:c>
      <x:c r="T173" s="85" t="n">
        <x:v>70</x:v>
      </x:c>
      <x:c r="U173" s="85" t="n">
        <x:v>73</x:v>
      </x:c>
      <x:c r="V173" s="85" t="n">
        <x:v>72</x:v>
      </x:c>
      <x:c r="W173" s="85" t="n">
        <x:v>50</x:v>
      </x:c>
      <x:c r="X173" s="85" t="n">
        <x:v>64</x:v>
      </x:c>
      <x:c r="Y173" s="85" t="n">
        <x:v>64</x:v>
      </x:c>
      <x:c r="Z173" s="85" t="n">
        <x:v>73</x:v>
      </x:c>
      <x:c r="AA173" s="85" t="n">
        <x:v>65</x:v>
      </x:c>
      <x:c r="AB173" s="85" t="n">
        <x:v>71</x:v>
      </x:c>
      <x:c r="AC173" s="91" t="str">
        <x:v>既存時代区分「近代」（WorldTeam名簿外）</x:v>
      </x:c>
      <x:c r="AD173" s="91" t="str">
        <x:v>https://en.wikipedia.org/wiki/Special:Search?search=Nicolas%20Roche%20cyclist</x:v>
      </x:c>
      <x:c r="AE173" s="91" t="str">
        <x:v>能力・適性・Credit整合済</x:v>
      </x:c>
      <x:c r="AF173" s="91" t="str">
        <x:v>https://en.wikipedia.org/wiki/Special:Search?search=Nicolas%20Roche%20cyclist</x:v>
      </x:c>
    </x:row>
    <x:row r="174" ht="26" customHeight="1">
      <x:c r="A174" s="83" t="n">
        <x:v>170</x:v>
      </x:c>
      <x:c r="B174" s="83" t="str">
        <x:v>David Millar</x:v>
      </x:c>
      <x:c r="C174" s="143" t="str"/>
      <x:c r="D174" s="83" t="str">
        <x:v>イギリス</x:v>
      </x:c>
      <x:c r="E174" s="83" t="str">
        <x:v>引退</x:v>
      </x:c>
      <x:c r="F174" s="83" t="str"/>
      <x:c r="G174" s="83" t="str">
        <x:v>引退確認済</x:v>
      </x:c>
      <x:c r="H174" s="83" t="str">
        <x:v>クラシック型</x:v>
      </x:c>
      <x:c r="I174" s="83" t="str">
        <x:v>TT・ルーラー型</x:v>
      </x:c>
      <x:c r="J174" s="86" t="n">
        <x:v>46</x:v>
      </x:c>
      <x:c r="K174" s="86" t="n">
        <x:v>99</x:v>
      </x:c>
      <x:c r="L174" s="92" t="str">
        <x:v>ロードキャプテン / TTスペシャリスト / 平坦アシスト / 石畳護衛 / ブレイクアウェイキラー / 横風要員 / 逃げ屋</x:v>
      </x:c>
      <x:c r="M174" s="89" t="n">
        <x:v>3000</x:v>
      </x:c>
      <x:c r="N174" s="86" t="n">
        <x:v>71</x:v>
      </x:c>
      <x:c r="O174" s="86" t="n">
        <x:v>69</x:v>
      </x:c>
      <x:c r="P174" s="86" t="n">
        <x:v>71</x:v>
      </x:c>
      <x:c r="Q174" s="86" t="n">
        <x:v>75</x:v>
      </x:c>
      <x:c r="R174" s="86" t="n">
        <x:v>66</x:v>
      </x:c>
      <x:c r="S174" s="86" t="n">
        <x:v>72</x:v>
      </x:c>
      <x:c r="T174" s="86" t="n">
        <x:v>72</x:v>
      </x:c>
      <x:c r="U174" s="86" t="n">
        <x:v>77</x:v>
      </x:c>
      <x:c r="V174" s="86" t="n">
        <x:v>75</x:v>
      </x:c>
      <x:c r="W174" s="86" t="n">
        <x:v>64</x:v>
      </x:c>
      <x:c r="X174" s="86" t="n">
        <x:v>67</x:v>
      </x:c>
      <x:c r="Y174" s="86" t="n">
        <x:v>67</x:v>
      </x:c>
      <x:c r="Z174" s="86" t="n">
        <x:v>76</x:v>
      </x:c>
      <x:c r="AA174" s="86" t="n">
        <x:v>67</x:v>
      </x:c>
      <x:c r="AB174" s="86" t="n">
        <x:v>73</x:v>
      </x:c>
      <x:c r="AC174" s="92" t="str">
        <x:v>既存時代区分「近代」（WorldTeam名簿外）</x:v>
      </x:c>
      <x:c r="AD174" s="92" t="str">
        <x:v>https://en.wikipedia.org/wiki/Special:Search?search=David%20Millar%20cyclist</x:v>
      </x:c>
      <x:c r="AE174" s="92" t="str">
        <x:v>能力・適性・Credit整合済</x:v>
      </x:c>
      <x:c r="AF174" s="92" t="str">
        <x:v>https://en.wikipedia.org/wiki/Special:Search?search=David%20Millar%20cyclist</x:v>
      </x:c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e3785173cbcb40f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5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40" hidden="0" customWidth="1"/>
    <x:col min="13" max="13" width="13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48" hidden="0" customWidth="1"/>
    <x:col min="30" max="30" width="58" hidden="0" customWidth="1"/>
    <x:col min="31" max="31" width="20" hidden="0" customWidth="1"/>
    <x:col min="32" max="32" width="52" hidden="0" customWidth="1"/>
  </x:cols>
  <x:sheetData>
    <x:row r="1" ht="34" customHeight="1">
      <x:c r="A1" s="106" t="str">
        <x:v>区分保留 — 役割・全15能力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  <x:c r="AA1" s="106"/>
      <x:c r="AB1" s="106"/>
      <x:c r="AC1" s="106"/>
      <x:c r="AD1" s="106"/>
      <x:c r="AE1" s="106"/>
      <x:c r="AF1" s="106"/>
    </x:row>
    <x:row r="2" ht="34" customHeight="1">
      <x:c r="A2" s="109" t="str">
        <x:v>役割・戦術特性は統合済み。エース適性順のNo.で管理します。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  <x:c r="AA2" s="109"/>
      <x:c r="AB2" s="109"/>
      <x:c r="AC2" s="109"/>
      <x:c r="AD2" s="109"/>
      <x:c r="AE2" s="109"/>
      <x:c r="AF2" s="109"/>
    </x:row>
    <x:row r="3" ht="26" customHeight="1"/>
    <x:row r="4" ht="42" customHeight="1">
      <x:c r="A4" s="116" t="str">
        <x:v>No.</x:v>
      </x:c>
      <x:c r="B4" s="120" t="str">
        <x:v>実在選手名</x:v>
      </x:c>
      <x:c r="C4" s="120" t="str">
        <x:v>二つ名</x:v>
      </x:c>
      <x:c r="D4" s="120" t="str">
        <x:v>国・地域</x:v>
      </x:c>
      <x:c r="E4" s="120" t="str">
        <x:v>現所属</x:v>
      </x:c>
      <x:c r="F4" s="120" t="str">
        <x:v>生年月日</x:v>
      </x:c>
      <x:c r="G4" s="120" t="str">
        <x:v>区分</x:v>
      </x:c>
      <x:c r="H4" s="120" t="str">
        <x:v>主脚質</x:v>
      </x:c>
      <x:c r="I4" s="120" t="str">
        <x:v>副脚質</x:v>
      </x:c>
      <x:c r="J4" s="120" t="str">
        <x:v>エース適性</x:v>
      </x:c>
      <x:c r="K4" s="120" t="str">
        <x:v>アシスト適性</x:v>
      </x:c>
      <x:c r="L4" s="120" t="str">
        <x:v>役割・戦術特性</x:v>
      </x:c>
      <x:c r="M4" s="120" t="str">
        <x:v>Credit</x:v>
      </x:c>
      <x:c r="N4" s="120" t="str">
        <x:v>スプリント</x:v>
      </x:c>
      <x:c r="O4" s="120" t="str">
        <x:v>加速力</x:v>
      </x:c>
      <x:c r="P4" s="120" t="str">
        <x:v>パンチ力</x:v>
      </x:c>
      <x:c r="Q4" s="120" t="str">
        <x:v>巡航力</x:v>
      </x:c>
      <x:c r="R4" s="120" t="str">
        <x:v>登坂力</x:v>
      </x:c>
      <x:c r="S4" s="120" t="str">
        <x:v>持久力</x:v>
      </x:c>
      <x:c r="T4" s="120" t="str">
        <x:v>耐性</x:v>
      </x:c>
      <x:c r="U4" s="120" t="str">
        <x:v>技術</x:v>
      </x:c>
      <x:c r="V4" s="120" t="str">
        <x:v>バイクコントロール</x:v>
      </x:c>
      <x:c r="W4" s="120" t="str">
        <x:v>パヴェ</x:v>
      </x:c>
      <x:c r="X4" s="120" t="str">
        <x:v>回復力</x:v>
      </x:c>
      <x:c r="Y4" s="120" t="str">
        <x:v>日間回復力</x:v>
      </x:c>
      <x:c r="Z4" s="120" t="str">
        <x:v>チームワーク</x:v>
      </x:c>
      <x:c r="AA4" s="120" t="str">
        <x:v>エゴ</x:v>
      </x:c>
      <x:c r="AB4" s="120" t="str">
        <x:v>負けん気</x:v>
      </x:c>
      <x:c r="AC4" s="120" t="str">
        <x:v>選定根拠</x:v>
      </x:c>
      <x:c r="AD4" s="120" t="str">
        <x:v>現役確認URL</x:v>
      </x:c>
      <x:c r="AE4" s="120" t="str">
        <x:v>評価状態</x:v>
      </x:c>
      <x:c r="AF4" s="117" t="str">
        <x:v>人物URL</x:v>
      </x:c>
    </x:row>
    <x:row r="5" ht="26" customHeight="1">
      <x:c r="A5" s="81" t="n">
        <x:v>1</x:v>
      </x:c>
      <x:c r="B5" s="81" t="str">
        <x:v>Peter Sagan</x:v>
      </x:c>
      <x:c r="C5" s="142" t="str">
        <x:v>虹のショーマン</x:v>
      </x:c>
      <x:c r="D5" s="81" t="str">
        <x:v>スロバキア</x:v>
      </x:c>
      <x:c r="E5" s="81" t="str"/>
      <x:c r="F5" s="81" t="str"/>
      <x:c r="G5" s="81" t="str">
        <x:v>区分保留</x:v>
      </x:c>
      <x:c r="H5" s="81" t="str">
        <x:v>クラシック型</x:v>
      </x:c>
      <x:c r="I5" s="81" t="str">
        <x:v>スプリンター</x:v>
      </x:c>
      <x:c r="J5" s="84" t="n">
        <x:v>93</x:v>
      </x:c>
      <x:c r="K5" s="84" t="n">
        <x:v>75</x:v>
      </x:c>
      <x:c r="L5" s="90" t="str">
        <x:v>エース / スプリントトレイン / 石畳護衛 / 下り牽引 / 横風要員 / 逃げ屋 / 無賃乗車</x:v>
      </x:c>
      <x:c r="M5" s="87" t="n">
        <x:v>11000</x:v>
      </x:c>
      <x:c r="N5" s="84" t="n">
        <x:v>78</x:v>
      </x:c>
      <x:c r="O5" s="84" t="n">
        <x:v>85</x:v>
      </x:c>
      <x:c r="P5" s="84" t="n">
        <x:v>85</x:v>
      </x:c>
      <x:c r="Q5" s="84" t="n">
        <x:v>76</x:v>
      </x:c>
      <x:c r="R5" s="84" t="n">
        <x:v>74</x:v>
      </x:c>
      <x:c r="S5" s="84" t="n">
        <x:v>85</x:v>
      </x:c>
      <x:c r="T5" s="84" t="n">
        <x:v>85</x:v>
      </x:c>
      <x:c r="U5" s="84" t="n">
        <x:v>85</x:v>
      </x:c>
      <x:c r="V5" s="84" t="n">
        <x:v>85</x:v>
      </x:c>
      <x:c r="W5" s="84" t="n">
        <x:v>83</x:v>
      </x:c>
      <x:c r="X5" s="84" t="n">
        <x:v>76</x:v>
      </x:c>
      <x:c r="Y5" s="84" t="n">
        <x:v>75</x:v>
      </x:c>
      <x:c r="Z5" s="84" t="n">
        <x:v>67</x:v>
      </x:c>
      <x:c r="AA5" s="84" t="n">
        <x:v>85</x:v>
      </x:c>
      <x:c r="AB5" s="84" t="n">
        <x:v>85</x:v>
      </x:c>
      <x:c r="AC5" s="90" t="str">
        <x:v>2026 WorldTeam外・現役／引退を断定せず保留</x:v>
      </x:c>
      <x:c r="AD5" s="90" t="str">
        <x:v>https://en.wikipedia.org/wiki/Special:Search?search=Peter%20Sagan%20cyclist</x:v>
      </x:c>
      <x:c r="AE5" s="90" t="str">
        <x:v>能力・適性・Credit整合済</x:v>
      </x:c>
      <x:c r="AF5" s="90" t="str">
        <x:v>https://en.wikipedia.org/wiki/Special:Search?search=Peter%20Sagan%20cyclist</x:v>
      </x:c>
    </x:row>
    <x:row r="6" ht="26" customHeight="1">
      <x:c r="A6" s="82" t="n">
        <x:v>2</x:v>
      </x:c>
      <x:c r="B6" s="82" t="str">
        <x:v>Mads Pedersen</x:v>
      </x:c>
      <x:c r="C6" s="143" t="str">
        <x:v>北欧の暴風</x:v>
      </x:c>
      <x:c r="D6" s="82" t="str">
        <x:v>デンマーク</x:v>
      </x:c>
      <x:c r="E6" s="82" t="str"/>
      <x:c r="F6" s="82" t="str"/>
      <x:c r="G6" s="82" t="str">
        <x:v>区分保留</x:v>
      </x:c>
      <x:c r="H6" s="82" t="str">
        <x:v>クラシック型</x:v>
      </x:c>
      <x:c r="I6" s="82" t="str">
        <x:v>スプリンター</x:v>
      </x:c>
      <x:c r="J6" s="85" t="n">
        <x:v>93</x:v>
      </x:c>
      <x:c r="K6" s="85" t="n">
        <x:v>81</x:v>
      </x:c>
      <x:c r="L6" s="91" t="str">
        <x:v>エース / スプリントトレイン / 石畳護衛 / 逃げ屋 / ポジションキーパー</x:v>
      </x:c>
      <x:c r="M6" s="88" t="n">
        <x:v>10800</x:v>
      </x:c>
      <x:c r="N6" s="85" t="n">
        <x:v>85</x:v>
      </x:c>
      <x:c r="O6" s="85" t="n">
        <x:v>80</x:v>
      </x:c>
      <x:c r="P6" s="85" t="n">
        <x:v>78</x:v>
      </x:c>
      <x:c r="Q6" s="85" t="n">
        <x:v>78</x:v>
      </x:c>
      <x:c r="R6" s="85" t="n">
        <x:v>64</x:v>
      </x:c>
      <x:c r="S6" s="85" t="n">
        <x:v>77</x:v>
      </x:c>
      <x:c r="T6" s="85" t="n">
        <x:v>85</x:v>
      </x:c>
      <x:c r="U6" s="85" t="n">
        <x:v>85</x:v>
      </x:c>
      <x:c r="V6" s="85" t="n">
        <x:v>85</x:v>
      </x:c>
      <x:c r="W6" s="85" t="n">
        <x:v>76</x:v>
      </x:c>
      <x:c r="X6" s="85" t="n">
        <x:v>74</x:v>
      </x:c>
      <x:c r="Y6" s="85" t="n">
        <x:v>74</x:v>
      </x:c>
      <x:c r="Z6" s="85" t="n">
        <x:v>77</x:v>
      </x:c>
      <x:c r="AA6" s="85" t="n">
        <x:v>77</x:v>
      </x:c>
      <x:c r="AB6" s="85" t="n">
        <x:v>85</x:v>
      </x:c>
      <x:c r="AC6" s="91" t="str">
        <x:v>2026 WorldTeam外・現役／引退を断定せず保留</x:v>
      </x:c>
      <x:c r="AD6" s="91" t="str">
        <x:v>https://en.wikipedia.org/wiki/Special:Search?search=Mads%20Pedersen%20cyclist</x:v>
      </x:c>
      <x:c r="AE6" s="91" t="str">
        <x:v>能力・適性・Credit整合済</x:v>
      </x:c>
      <x:c r="AF6" s="91" t="str">
        <x:v>https://en.wikipedia.org/wiki/Special:Search?search=Mads%20Pedersen%20cyclist</x:v>
      </x:c>
    </x:row>
    <x:row r="7" ht="26" customHeight="1">
      <x:c r="A7" s="82" t="n">
        <x:v>3</x:v>
      </x:c>
      <x:c r="B7" s="82" t="str">
        <x:v>Romain Bardet</x:v>
      </x:c>
      <x:c r="C7" s="143" t="str"/>
      <x:c r="D7" s="82" t="str">
        <x:v>フランス</x:v>
      </x:c>
      <x:c r="E7" s="82" t="str"/>
      <x:c r="F7" s="82" t="str"/>
      <x:c r="G7" s="82" t="str">
        <x:v>区分保留</x:v>
      </x:c>
      <x:c r="H7" s="82" t="str">
        <x:v>クライマー</x:v>
      </x:c>
      <x:c r="I7" s="82" t="str">
        <x:v>パンチャー</x:v>
      </x:c>
      <x:c r="J7" s="85" t="n">
        <x:v>89</x:v>
      </x:c>
      <x:c r="K7" s="85" t="n">
        <x:v>70</x:v>
      </x:c>
      <x:c r="L7" s="91" t="str">
        <x:v>エース / 山岳番手 / 逃げ屋</x:v>
      </x:c>
      <x:c r="M7" s="88" t="n">
        <x:v>9550</x:v>
      </x:c>
      <x:c r="N7" s="85" t="n">
        <x:v>59</x:v>
      </x:c>
      <x:c r="O7" s="85" t="n">
        <x:v>76</x:v>
      </x:c>
      <x:c r="P7" s="85" t="n">
        <x:v>74</x:v>
      </x:c>
      <x:c r="Q7" s="85" t="n">
        <x:v>66</x:v>
      </x:c>
      <x:c r="R7" s="85" t="n">
        <x:v>80</x:v>
      </x:c>
      <x:c r="S7" s="85" t="n">
        <x:v>79</x:v>
      </x:c>
      <x:c r="T7" s="85" t="n">
        <x:v>79</x:v>
      </x:c>
      <x:c r="U7" s="85" t="n">
        <x:v>67</x:v>
      </x:c>
      <x:c r="V7" s="85" t="n">
        <x:v>71</x:v>
      </x:c>
      <x:c r="W7" s="85" t="n">
        <x:v>50</x:v>
      </x:c>
      <x:c r="X7" s="85" t="n">
        <x:v>80</x:v>
      </x:c>
      <x:c r="Y7" s="85" t="n">
        <x:v>79</x:v>
      </x:c>
      <x:c r="Z7" s="85" t="n">
        <x:v>65</x:v>
      </x:c>
      <x:c r="AA7" s="85" t="n">
        <x:v>76</x:v>
      </x:c>
      <x:c r="AB7" s="85" t="n">
        <x:v>80</x:v>
      </x:c>
      <x:c r="AC7" s="91" t="str">
        <x:v>2026 WorldTeam外・現役／引退を断定せず保留</x:v>
      </x:c>
      <x:c r="AD7" s="91" t="str">
        <x:v>https://en.wikipedia.org/wiki/Special:Search?search=Romain%20Bardet%20cyclist</x:v>
      </x:c>
      <x:c r="AE7" s="91" t="str">
        <x:v>能力・適性・Credit整合済</x:v>
      </x:c>
      <x:c r="AF7" s="91" t="str">
        <x:v>https://en.wikipedia.org/wiki/Special:Search?search=Romain%20Bardet%20cyclist</x:v>
      </x:c>
    </x:row>
    <x:row r="8" ht="26" customHeight="1">
      <x:c r="A8" s="82" t="n">
        <x:v>4</x:v>
      </x:c>
      <x:c r="B8" s="82" t="str">
        <x:v>Joao Almeida</x:v>
      </x:c>
      <x:c r="C8" s="143" t="str"/>
      <x:c r="D8" s="82" t="str">
        <x:v>ポルトガル</x:v>
      </x:c>
      <x:c r="E8" s="82" t="str"/>
      <x:c r="F8" s="82" t="str"/>
      <x:c r="G8" s="82" t="str">
        <x:v>区分保留</x:v>
      </x:c>
      <x:c r="H8" s="82" t="str">
        <x:v>総合型</x:v>
      </x:c>
      <x:c r="I8" s="82" t="str">
        <x:v>TT・ルーラー型</x:v>
      </x:c>
      <x:c r="J8" s="85" t="n">
        <x:v>88</x:v>
      </x:c>
      <x:c r="K8" s="85" t="n">
        <x:v>76</x:v>
      </x:c>
      <x:c r="L8" s="91" t="str">
        <x:v>エース / 集団コントローラー</x:v>
      </x:c>
      <x:c r="M8" s="88" t="n">
        <x:v>9100</x:v>
      </x:c>
      <x:c r="N8" s="85" t="n">
        <x:v>61</x:v>
      </x:c>
      <x:c r="O8" s="85" t="n">
        <x:v>72</x:v>
      </x:c>
      <x:c r="P8" s="85" t="n">
        <x:v>74</x:v>
      </x:c>
      <x:c r="Q8" s="85" t="n">
        <x:v>71</x:v>
      </x:c>
      <x:c r="R8" s="85" t="n">
        <x:v>77</x:v>
      </x:c>
      <x:c r="S8" s="85" t="n">
        <x:v>77</x:v>
      </x:c>
      <x:c r="T8" s="85" t="n">
        <x:v>76</x:v>
      </x:c>
      <x:c r="U8" s="85" t="n">
        <x:v>70</x:v>
      </x:c>
      <x:c r="V8" s="85" t="n">
        <x:v>72</x:v>
      </x:c>
      <x:c r="W8" s="85" t="n">
        <x:v>50</x:v>
      </x:c>
      <x:c r="X8" s="85" t="n">
        <x:v>85</x:v>
      </x:c>
      <x:c r="Y8" s="85" t="n">
        <x:v>85</x:v>
      </x:c>
      <x:c r="Z8" s="85" t="n">
        <x:v>67</x:v>
      </x:c>
      <x:c r="AA8" s="85" t="n">
        <x:v>76</x:v>
      </x:c>
      <x:c r="AB8" s="85" t="n">
        <x:v>71</x:v>
      </x:c>
      <x:c r="AC8" s="91" t="str">
        <x:v>2026 WorldTeam外・現役／引退を断定せず保留</x:v>
      </x:c>
      <x:c r="AD8" s="91" t="str">
        <x:v>https://en.wikipedia.org/wiki/Special:Search?search=Joao%20Almeida%20cyclist</x:v>
      </x:c>
      <x:c r="AE8" s="91" t="str">
        <x:v>能力・適性・Credit整合済</x:v>
      </x:c>
      <x:c r="AF8" s="91" t="str">
        <x:v>https://en.wikipedia.org/wiki/Special:Search?search=Joao%20Almeida%20cyclist</x:v>
      </x:c>
    </x:row>
    <x:row r="9" ht="26" customHeight="1">
      <x:c r="A9" s="82" t="n">
        <x:v>5</x:v>
      </x:c>
      <x:c r="B9" s="82" t="str">
        <x:v>Marcel Kittel</x:v>
      </x:c>
      <x:c r="C9" s="143" t="str"/>
      <x:c r="D9" s="82" t="str">
        <x:v>ドイツ</x:v>
      </x:c>
      <x:c r="E9" s="82" t="str"/>
      <x:c r="F9" s="82" t="str"/>
      <x:c r="G9" s="82" t="str">
        <x:v>区分保留</x:v>
      </x:c>
      <x:c r="H9" s="82" t="str">
        <x:v>スプリンター</x:v>
      </x:c>
      <x:c r="I9" s="82" t="str">
        <x:v>クラシック型</x:v>
      </x:c>
      <x:c r="J9" s="85" t="n">
        <x:v>88</x:v>
      </x:c>
      <x:c r="K9" s="85" t="n">
        <x:v>63</x:v>
      </x:c>
      <x:c r="L9" s="91" t="str">
        <x:v>エース / リードアウト / 最終発射台 / 下り牽引</x:v>
      </x:c>
      <x:c r="M9" s="88" t="n">
        <x:v>7800</x:v>
      </x:c>
      <x:c r="N9" s="85" t="n">
        <x:v>85</x:v>
      </x:c>
      <x:c r="O9" s="85" t="n">
        <x:v>85</x:v>
      </x:c>
      <x:c r="P9" s="85" t="n">
        <x:v>71</x:v>
      </x:c>
      <x:c r="Q9" s="85" t="n">
        <x:v>71</x:v>
      </x:c>
      <x:c r="R9" s="85" t="n">
        <x:v>57</x:v>
      </x:c>
      <x:c r="S9" s="85" t="n">
        <x:v>63</x:v>
      </x:c>
      <x:c r="T9" s="85" t="n">
        <x:v>64</x:v>
      </x:c>
      <x:c r="U9" s="85" t="n">
        <x:v>67</x:v>
      </x:c>
      <x:c r="V9" s="85" t="n">
        <x:v>73</x:v>
      </x:c>
      <x:c r="W9" s="85" t="n">
        <x:v>50</x:v>
      </x:c>
      <x:c r="X9" s="85" t="n">
        <x:v>73</x:v>
      </x:c>
      <x:c r="Y9" s="85" t="n">
        <x:v>72</x:v>
      </x:c>
      <x:c r="Z9" s="85" t="n">
        <x:v>57</x:v>
      </x:c>
      <x:c r="AA9" s="85" t="n">
        <x:v>85</x:v>
      </x:c>
      <x:c r="AB9" s="85" t="n">
        <x:v>69</x:v>
      </x:c>
      <x:c r="AC9" s="91" t="str">
        <x:v>2026 WorldTeam外・現役／引退を断定せず保留</x:v>
      </x:c>
      <x:c r="AD9" s="91" t="str">
        <x:v>https://en.wikipedia.org/wiki/Special:Search?search=Marcel%20Kittel%20cyclist</x:v>
      </x:c>
      <x:c r="AE9" s="91" t="str">
        <x:v>能力・適性・Credit整合済</x:v>
      </x:c>
      <x:c r="AF9" s="91" t="str">
        <x:v>https://en.wikipedia.org/wiki/Special:Search?search=Marcel%20Kittel%20cyclist</x:v>
      </x:c>
    </x:row>
    <x:row r="10" ht="26" customHeight="1">
      <x:c r="A10" s="82" t="n">
        <x:v>6</x:v>
      </x:c>
      <x:c r="B10" s="82" t="str">
        <x:v>Rohan Dennis</x:v>
      </x:c>
      <x:c r="C10" s="143" t="str">
        <x:v>豪州の時計砕き</x:v>
      </x:c>
      <x:c r="D10" s="82" t="str">
        <x:v>オーストラリア</x:v>
      </x:c>
      <x:c r="E10" s="82" t="str"/>
      <x:c r="F10" s="82" t="str"/>
      <x:c r="G10" s="82" t="str">
        <x:v>区分保留</x:v>
      </x:c>
      <x:c r="H10" s="82" t="str">
        <x:v>TT・ルーラー型</x:v>
      </x:c>
      <x:c r="I10" s="82" t="str">
        <x:v>総合型</x:v>
      </x:c>
      <x:c r="J10" s="85" t="n">
        <x:v>86</x:v>
      </x:c>
      <x:c r="K10" s="85" t="n">
        <x:v>81</x:v>
      </x:c>
      <x:c r="L10" s="91" t="str">
        <x:v>エース / TTスペシャリスト / 集団コントローラー / ブレイクアウェイキラー</x:v>
      </x:c>
      <x:c r="M10" s="88" t="n">
        <x:v>10400</x:v>
      </x:c>
      <x:c r="N10" s="85" t="n">
        <x:v>65</x:v>
      </x:c>
      <x:c r="O10" s="85" t="n">
        <x:v>70</x:v>
      </x:c>
      <x:c r="P10" s="85" t="n">
        <x:v>70</x:v>
      </x:c>
      <x:c r="Q10" s="85" t="n">
        <x:v>83</x:v>
      </x:c>
      <x:c r="R10" s="85" t="n">
        <x:v>73</x:v>
      </x:c>
      <x:c r="S10" s="85" t="n">
        <x:v>80</x:v>
      </x:c>
      <x:c r="T10" s="85" t="n">
        <x:v>80</x:v>
      </x:c>
      <x:c r="U10" s="85" t="n">
        <x:v>80</x:v>
      </x:c>
      <x:c r="V10" s="85" t="n">
        <x:v>72</x:v>
      </x:c>
      <x:c r="W10" s="85" t="n">
        <x:v>50</x:v>
      </x:c>
      <x:c r="X10" s="85" t="n">
        <x:v>74</x:v>
      </x:c>
      <x:c r="Y10" s="85" t="n">
        <x:v>74</x:v>
      </x:c>
      <x:c r="Z10" s="85" t="n">
        <x:v>85</x:v>
      </x:c>
      <x:c r="AA10" s="85" t="n">
        <x:v>72</x:v>
      </x:c>
      <x:c r="AB10" s="85" t="n">
        <x:v>70</x:v>
      </x:c>
      <x:c r="AC10" s="91" t="str">
        <x:v>2026 WorldTeam外・現役／引退を断定せず保留</x:v>
      </x:c>
      <x:c r="AD10" s="91" t="str">
        <x:v>https://en.wikipedia.org/wiki/Special:Search?search=Rohan%20Dennis%20cyclist</x:v>
      </x:c>
      <x:c r="AE10" s="91" t="str">
        <x:v>能力・適性・Credit整合済</x:v>
      </x:c>
      <x:c r="AF10" s="91" t="str">
        <x:v>https://en.wikipedia.org/wiki/Special:Search?search=Rohan%20Dennis%20cyclist</x:v>
      </x:c>
    </x:row>
    <x:row r="11" ht="26" customHeight="1">
      <x:c r="A11" s="82" t="n">
        <x:v>7</x:v>
      </x:c>
      <x:c r="B11" s="82" t="str">
        <x:v>Carlos Rodriguez</x:v>
      </x:c>
      <x:c r="C11" s="143" t="str"/>
      <x:c r="D11" s="82" t="str">
        <x:v>スペイン</x:v>
      </x:c>
      <x:c r="E11" s="82" t="str"/>
      <x:c r="F11" s="82" t="str"/>
      <x:c r="G11" s="82" t="str">
        <x:v>区分保留</x:v>
      </x:c>
      <x:c r="H11" s="82" t="str">
        <x:v>総合型</x:v>
      </x:c>
      <x:c r="I11" s="82" t="str">
        <x:v>クライマー</x:v>
      </x:c>
      <x:c r="J11" s="85" t="n">
        <x:v>86</x:v>
      </x:c>
      <x:c r="K11" s="85" t="n">
        <x:v>74</x:v>
      </x:c>
      <x:c r="L11" s="91" t="str">
        <x:v>エース / 山岳賞ハンター / 山岳番手</x:v>
      </x:c>
      <x:c r="M11" s="88" t="n">
        <x:v>8700</x:v>
      </x:c>
      <x:c r="N11" s="85" t="n">
        <x:v>58</x:v>
      </x:c>
      <x:c r="O11" s="85" t="n">
        <x:v>72</x:v>
      </x:c>
      <x:c r="P11" s="85" t="n">
        <x:v>77</x:v>
      </x:c>
      <x:c r="Q11" s="85" t="n">
        <x:v>67</x:v>
      </x:c>
      <x:c r="R11" s="85" t="n">
        <x:v>80</x:v>
      </x:c>
      <x:c r="S11" s="85" t="n">
        <x:v>76</x:v>
      </x:c>
      <x:c r="T11" s="85" t="n">
        <x:v>75</x:v>
      </x:c>
      <x:c r="U11" s="85" t="n">
        <x:v>67</x:v>
      </x:c>
      <x:c r="V11" s="85" t="n">
        <x:v>73</x:v>
      </x:c>
      <x:c r="W11" s="85" t="n">
        <x:v>50</x:v>
      </x:c>
      <x:c r="X11" s="85" t="n">
        <x:v>85</x:v>
      </x:c>
      <x:c r="Y11" s="85" t="n">
        <x:v>85</x:v>
      </x:c>
      <x:c r="Z11" s="85" t="n">
        <x:v>65</x:v>
      </x:c>
      <x:c r="AA11" s="85" t="n">
        <x:v>77</x:v>
      </x:c>
      <x:c r="AB11" s="85" t="n">
        <x:v>71</x:v>
      </x:c>
      <x:c r="AC11" s="91" t="str">
        <x:v>2026 WorldTeam外・現役／引退を断定せず保留</x:v>
      </x:c>
      <x:c r="AD11" s="91" t="str">
        <x:v>https://en.wikipedia.org/wiki/Special:Search?search=Carlos%20Rodriguez%20cyclist</x:v>
      </x:c>
      <x:c r="AE11" s="91" t="str">
        <x:v>能力・適性・Credit整合済</x:v>
      </x:c>
      <x:c r="AF11" s="91" t="str">
        <x:v>https://en.wikipedia.org/wiki/Special:Search?search=Carlos%20Rodriguez%20cyclist</x:v>
      </x:c>
    </x:row>
    <x:row r="12" ht="26" customHeight="1">
      <x:c r="A12" s="82" t="n">
        <x:v>8</x:v>
      </x:c>
      <x:c r="B12" s="82" t="str">
        <x:v>Lenny Martinez</x:v>
      </x:c>
      <x:c r="C12" s="143" t="str"/>
      <x:c r="D12" s="82" t="str">
        <x:v>フランス</x:v>
      </x:c>
      <x:c r="E12" s="82" t="str"/>
      <x:c r="F12" s="82" t="str"/>
      <x:c r="G12" s="82" t="str">
        <x:v>区分保留</x:v>
      </x:c>
      <x:c r="H12" s="82" t="str">
        <x:v>クライマー</x:v>
      </x:c>
      <x:c r="I12" s="82" t="str">
        <x:v>パンチャー</x:v>
      </x:c>
      <x:c r="J12" s="85" t="n">
        <x:v>85</x:v>
      </x:c>
      <x:c r="K12" s="85" t="n">
        <x:v>73</x:v>
      </x:c>
      <x:c r="L12" s="91" t="str">
        <x:v>エース / 山岳賞ハンター / 山岳アシスト</x:v>
      </x:c>
      <x:c r="M12" s="88" t="n">
        <x:v>8100</x:v>
      </x:c>
      <x:c r="N12" s="85" t="n">
        <x:v>60</x:v>
      </x:c>
      <x:c r="O12" s="85" t="n">
        <x:v>73</x:v>
      </x:c>
      <x:c r="P12" s="85" t="n">
        <x:v>75</x:v>
      </x:c>
      <x:c r="Q12" s="85" t="n">
        <x:v>65</x:v>
      </x:c>
      <x:c r="R12" s="85" t="n">
        <x:v>80</x:v>
      </x:c>
      <x:c r="S12" s="85" t="n">
        <x:v>74</x:v>
      </x:c>
      <x:c r="T12" s="85" t="n">
        <x:v>73</x:v>
      </x:c>
      <x:c r="U12" s="85" t="n">
        <x:v>66</x:v>
      </x:c>
      <x:c r="V12" s="85" t="n">
        <x:v>71</x:v>
      </x:c>
      <x:c r="W12" s="85" t="n">
        <x:v>50</x:v>
      </x:c>
      <x:c r="X12" s="85" t="n">
        <x:v>79</x:v>
      </x:c>
      <x:c r="Y12" s="85" t="n">
        <x:v>78</x:v>
      </x:c>
      <x:c r="Z12" s="85" t="n">
        <x:v>68</x:v>
      </x:c>
      <x:c r="AA12" s="85" t="n">
        <x:v>76</x:v>
      </x:c>
      <x:c r="AB12" s="85" t="n">
        <x:v>79</x:v>
      </x:c>
      <x:c r="AC12" s="91" t="str">
        <x:v>2026 WorldTeam外・現役／引退を断定せず保留</x:v>
      </x:c>
      <x:c r="AD12" s="91" t="str">
        <x:v>https://en.wikipedia.org/wiki/Special:Search?search=Lenny%20Martinez%20cyclist</x:v>
      </x:c>
      <x:c r="AE12" s="91" t="str">
        <x:v>能力・適性・Credit整合済</x:v>
      </x:c>
      <x:c r="AF12" s="91" t="str">
        <x:v>https://en.wikipedia.org/wiki/Special:Search?search=Lenny%20Martinez%20cyclist</x:v>
      </x:c>
    </x:row>
    <x:row r="13" ht="26" customHeight="1">
      <x:c r="A13" s="82" t="n">
        <x:v>9</x:v>
      </x:c>
      <x:c r="B13" s="82" t="str">
        <x:v>Thomas De Gendt</x:v>
      </x:c>
      <x:c r="C13" s="143" t="str"/>
      <x:c r="D13" s="82" t="str">
        <x:v>ベルギー</x:v>
      </x:c>
      <x:c r="E13" s="82" t="str"/>
      <x:c r="F13" s="82" t="str"/>
      <x:c r="G13" s="82" t="str">
        <x:v>区分保留</x:v>
      </x:c>
      <x:c r="H13" s="82" t="str">
        <x:v>TT・ルーラー型</x:v>
      </x:c>
      <x:c r="I13" s="82" t="str">
        <x:v>クラシック型</x:v>
      </x:c>
      <x:c r="J13" s="85" t="n">
        <x:v>83</x:v>
      </x:c>
      <x:c r="K13" s="85" t="n">
        <x:v>74</x:v>
      </x:c>
      <x:c r="L13" s="91" t="str">
        <x:v>エース / 平坦ペースメーカー / 超ロングスパート</x:v>
      </x:c>
      <x:c r="M13" s="88" t="n">
        <x:v>7500</x:v>
      </x:c>
      <x:c r="N13" s="85" t="n">
        <x:v>68</x:v>
      </x:c>
      <x:c r="O13" s="85" t="n">
        <x:v>70</x:v>
      </x:c>
      <x:c r="P13" s="85" t="n">
        <x:v>69</x:v>
      </x:c>
      <x:c r="Q13" s="85" t="n">
        <x:v>81</x:v>
      </x:c>
      <x:c r="R13" s="85" t="n">
        <x:v>69</x:v>
      </x:c>
      <x:c r="S13" s="85" t="n">
        <x:v>76</x:v>
      </x:c>
      <x:c r="T13" s="85" t="n">
        <x:v>76</x:v>
      </x:c>
      <x:c r="U13" s="85" t="n">
        <x:v>78</x:v>
      </x:c>
      <x:c r="V13" s="85" t="n">
        <x:v>72</x:v>
      </x:c>
      <x:c r="W13" s="85" t="n">
        <x:v>50</x:v>
      </x:c>
      <x:c r="X13" s="85" t="n">
        <x:v>73</x:v>
      </x:c>
      <x:c r="Y13" s="85" t="n">
        <x:v>73</x:v>
      </x:c>
      <x:c r="Z13" s="85" t="n">
        <x:v>72</x:v>
      </x:c>
      <x:c r="AA13" s="85" t="n">
        <x:v>75</x:v>
      </x:c>
      <x:c r="AB13" s="85" t="n">
        <x:v>70</x:v>
      </x:c>
      <x:c r="AC13" s="91" t="str">
        <x:v>2026 WorldTeam外・現役／引退を断定せず保留</x:v>
      </x:c>
      <x:c r="AD13" s="91" t="str">
        <x:v>https://en.wikipedia.org/wiki/Special:Search?search=Thomas%20De%20Gendt%20cyclist</x:v>
      </x:c>
      <x:c r="AE13" s="91" t="str">
        <x:v>能力・適性・Credit整合済</x:v>
      </x:c>
      <x:c r="AF13" s="91" t="str">
        <x:v>https://en.wikipedia.org/wiki/Special:Search?search=Thomas%20De%20Gendt%20cyclist</x:v>
      </x:c>
    </x:row>
    <x:row r="14" ht="26" customHeight="1">
      <x:c r="A14" s="82" t="n">
        <x:v>10</x:v>
      </x:c>
      <x:c r="B14" s="82" t="str">
        <x:v>Soren Waerenskjold</x:v>
      </x:c>
      <x:c r="C14" s="143" t="str"/>
      <x:c r="D14" s="82" t="str">
        <x:v>ノルウェー</x:v>
      </x:c>
      <x:c r="E14" s="82" t="str"/>
      <x:c r="F14" s="82" t="str"/>
      <x:c r="G14" s="82" t="str">
        <x:v>区分保留</x:v>
      </x:c>
      <x:c r="H14" s="82" t="str">
        <x:v>TT・ルーラー型</x:v>
      </x:c>
      <x:c r="I14" s="82" t="str">
        <x:v>スプリンター</x:v>
      </x:c>
      <x:c r="J14" s="85" t="n">
        <x:v>81</x:v>
      </x:c>
      <x:c r="K14" s="85" t="n">
        <x:v>79</x:v>
      </x:c>
      <x:c r="L14" s="91" t="str">
        <x:v>サブエース / スプリントトレイン</x:v>
      </x:c>
      <x:c r="M14" s="88" t="n">
        <x:v>6900</x:v>
      </x:c>
      <x:c r="N14" s="85" t="n">
        <x:v>73</x:v>
      </x:c>
      <x:c r="O14" s="85" t="n">
        <x:v>71</x:v>
      </x:c>
      <x:c r="P14" s="85" t="n">
        <x:v>69</x:v>
      </x:c>
      <x:c r="Q14" s="85" t="n">
        <x:v>80</x:v>
      </x:c>
      <x:c r="R14" s="85" t="n">
        <x:v>67</x:v>
      </x:c>
      <x:c r="S14" s="85" t="n">
        <x:v>73</x:v>
      </x:c>
      <x:c r="T14" s="85" t="n">
        <x:v>71</x:v>
      </x:c>
      <x:c r="U14" s="85" t="n">
        <x:v>79</x:v>
      </x:c>
      <x:c r="V14" s="85" t="n">
        <x:v>71</x:v>
      </x:c>
      <x:c r="W14" s="85" t="n">
        <x:v>50</x:v>
      </x:c>
      <x:c r="X14" s="85" t="n">
        <x:v>72</x:v>
      </x:c>
      <x:c r="Y14" s="85" t="n">
        <x:v>72</x:v>
      </x:c>
      <x:c r="Z14" s="85" t="n">
        <x:v>78</x:v>
      </x:c>
      <x:c r="AA14" s="85" t="n">
        <x:v>72</x:v>
      </x:c>
      <x:c r="AB14" s="85" t="n">
        <x:v>69</x:v>
      </x:c>
      <x:c r="AC14" s="91" t="str">
        <x:v>2026 WorldTeam外・現役／引退を断定せず保留</x:v>
      </x:c>
      <x:c r="AD14" s="91" t="str">
        <x:v>https://en.wikipedia.org/wiki/Special:Search?search=Soren%20Waerenskjold%20cyclist</x:v>
      </x:c>
      <x:c r="AE14" s="91" t="str">
        <x:v>能力・適性・Credit整合済</x:v>
      </x:c>
      <x:c r="AF14" s="91" t="str">
        <x:v>https://en.wikipedia.org/wiki/Special:Search?search=Soren%20Waerenskjold%20cyclist</x:v>
      </x:c>
    </x:row>
    <x:row r="15" ht="26" customHeight="1">
      <x:c r="A15" s="82" t="n">
        <x:v>11</x:v>
      </x:c>
      <x:c r="B15" s="82" t="str">
        <x:v>Michal Kwiatkowski</x:v>
      </x:c>
      <x:c r="C15" s="143" t="str">
        <x:v>ポーランドの虹</x:v>
      </x:c>
      <x:c r="D15" s="82" t="str">
        <x:v>ポーランド</x:v>
      </x:c>
      <x:c r="E15" s="82" t="str"/>
      <x:c r="F15" s="82" t="str"/>
      <x:c r="G15" s="82" t="str">
        <x:v>区分保留</x:v>
      </x:c>
      <x:c r="H15" s="82" t="str">
        <x:v>クライマー</x:v>
      </x:c>
      <x:c r="I15" s="82" t="str">
        <x:v>総合型</x:v>
      </x:c>
      <x:c r="J15" s="85" t="n">
        <x:v>80</x:v>
      </x:c>
      <x:c r="K15" s="85" t="n">
        <x:v>78</x:v>
      </x:c>
      <x:c r="L15" s="91" t="str">
        <x:v>サブエース / 山岳アシスト / 山岳番手 / 集団コントローラー / サテライトライダー</x:v>
      </x:c>
      <x:c r="M15" s="88" t="n">
        <x:v>9350</x:v>
      </x:c>
      <x:c r="N15" s="85" t="n">
        <x:v>58</x:v>
      </x:c>
      <x:c r="O15" s="85" t="n">
        <x:v>70</x:v>
      </x:c>
      <x:c r="P15" s="85" t="n">
        <x:v>72</x:v>
      </x:c>
      <x:c r="Q15" s="85" t="n">
        <x:v>63</x:v>
      </x:c>
      <x:c r="R15" s="85" t="n">
        <x:v>79</x:v>
      </x:c>
      <x:c r="S15" s="85" t="n">
        <x:v>85</x:v>
      </x:c>
      <x:c r="T15" s="85" t="n">
        <x:v>77</x:v>
      </x:c>
      <x:c r="U15" s="85" t="n">
        <x:v>66</x:v>
      </x:c>
      <x:c r="V15" s="85" t="n">
        <x:v>69</x:v>
      </x:c>
      <x:c r="W15" s="85" t="n">
        <x:v>50</x:v>
      </x:c>
      <x:c r="X15" s="85" t="n">
        <x:v>77</x:v>
      </x:c>
      <x:c r="Y15" s="85" t="n">
        <x:v>77</x:v>
      </x:c>
      <x:c r="Z15" s="85" t="n">
        <x:v>69</x:v>
      </x:c>
      <x:c r="AA15" s="85" t="n">
        <x:v>72</x:v>
      </x:c>
      <x:c r="AB15" s="85" t="n">
        <x:v>75</x:v>
      </x:c>
      <x:c r="AC15" s="91" t="str">
        <x:v>2026 WorldTeam外・現役／引退を断定せず保留</x:v>
      </x:c>
      <x:c r="AD15" s="91" t="str">
        <x:v>https://en.wikipedia.org/wiki/Special:Search?search=Michal%20Kwiatkowski%20cyclist</x:v>
      </x:c>
      <x:c r="AE15" s="91" t="str">
        <x:v>能力・適性・Credit整合済</x:v>
      </x:c>
      <x:c r="AF15" s="91" t="str">
        <x:v>https://en.wikipedia.org/wiki/Special:Search?search=Michal%20Kwiatkowski%20cyclist</x:v>
      </x:c>
    </x:row>
    <x:row r="16" ht="26" customHeight="1">
      <x:c r="A16" s="82" t="n">
        <x:v>12</x:v>
      </x:c>
      <x:c r="B16" s="82" t="str">
        <x:v>Wout Poels</x:v>
      </x:c>
      <x:c r="C16" s="143" t="str"/>
      <x:c r="D16" s="82" t="str">
        <x:v>オランダ</x:v>
      </x:c>
      <x:c r="E16" s="82" t="str"/>
      <x:c r="F16" s="82" t="str"/>
      <x:c r="G16" s="82" t="str">
        <x:v>区分保留</x:v>
      </x:c>
      <x:c r="H16" s="82" t="str">
        <x:v>クライマー</x:v>
      </x:c>
      <x:c r="I16" s="82" t="str">
        <x:v>総合型</x:v>
      </x:c>
      <x:c r="J16" s="85" t="n">
        <x:v>78</x:v>
      </x:c>
      <x:c r="K16" s="85" t="n">
        <x:v>77</x:v>
      </x:c>
      <x:c r="L16" s="91" t="str">
        <x:v>サブエース / スーパー・ドメスティーク / 山岳アシスト / 山岳番手 / 集団コントローラー / サテライトライダー</x:v>
      </x:c>
      <x:c r="M16" s="88" t="n">
        <x:v>6450</x:v>
      </x:c>
      <x:c r="N16" s="85" t="n">
        <x:v>57</x:v>
      </x:c>
      <x:c r="O16" s="85" t="n">
        <x:v>71</x:v>
      </x:c>
      <x:c r="P16" s="85" t="n">
        <x:v>73</x:v>
      </x:c>
      <x:c r="Q16" s="85" t="n">
        <x:v>65</x:v>
      </x:c>
      <x:c r="R16" s="85" t="n">
        <x:v>78</x:v>
      </x:c>
      <x:c r="S16" s="85" t="n">
        <x:v>75</x:v>
      </x:c>
      <x:c r="T16" s="85" t="n">
        <x:v>75</x:v>
      </x:c>
      <x:c r="U16" s="85" t="n">
        <x:v>65</x:v>
      </x:c>
      <x:c r="V16" s="85" t="n">
        <x:v>70</x:v>
      </x:c>
      <x:c r="W16" s="85" t="n">
        <x:v>50</x:v>
      </x:c>
      <x:c r="X16" s="85" t="n">
        <x:v>78</x:v>
      </x:c>
      <x:c r="Y16" s="85" t="n">
        <x:v>79</x:v>
      </x:c>
      <x:c r="Z16" s="85" t="n">
        <x:v>69</x:v>
      </x:c>
      <x:c r="AA16" s="85" t="n">
        <x:v>72</x:v>
      </x:c>
      <x:c r="AB16" s="85" t="n">
        <x:v>74</x:v>
      </x:c>
      <x:c r="AC16" s="91" t="str">
        <x:v>2026 WorldTeam外・現役／引退を断定せず保留</x:v>
      </x:c>
      <x:c r="AD16" s="91" t="str">
        <x:v>https://en.wikipedia.org/wiki/Special:Search?search=Wout%20Poels%20cyclist</x:v>
      </x:c>
      <x:c r="AE16" s="91" t="str">
        <x:v>能力・適性・Credit整合済</x:v>
      </x:c>
      <x:c r="AF16" s="91" t="str">
        <x:v>https://en.wikipedia.org/wiki/Special:Search?search=Wout%20Poels%20cyclist</x:v>
      </x:c>
    </x:row>
    <x:row r="17" ht="26" customHeight="1">
      <x:c r="A17" s="82" t="n">
        <x:v>13</x:v>
      </x:c>
      <x:c r="B17" s="82" t="str">
        <x:v>Asbjørn Hellemose</x:v>
      </x:c>
      <x:c r="C17" s="143" t="str"/>
      <x:c r="D17" s="82" t="str">
        <x:v>デンマーク</x:v>
      </x:c>
      <x:c r="E17" s="82" t="str">
        <x:v>Team Jayco–AlUla</x:v>
      </x:c>
      <x:c r="F17" s="82" t="str">
        <x:v>1999-01-15</x:v>
      </x:c>
      <x:c r="G17" s="82" t="str">
        <x:v>区分保留</x:v>
      </x:c>
      <x:c r="H17" s="82" t="str">
        <x:v>パンチャー</x:v>
      </x:c>
      <x:c r="I17" s="82" t="str">
        <x:v>TT・ルーラー型</x:v>
      </x:c>
      <x:c r="J17" s="85" t="n">
        <x:v>74</x:v>
      </x:c>
      <x:c r="K17" s="85" t="n">
        <x:v>68</x:v>
      </x:c>
      <x:c r="L17" s="91" t="str">
        <x:v>ステージハンター / 山岳賞ハンター</x:v>
      </x:c>
      <x:c r="M17" s="88" t="n">
        <x:v>5250</x:v>
      </x:c>
      <x:c r="N17" s="85" t="n">
        <x:v>70</x:v>
      </x:c>
      <x:c r="O17" s="85" t="n">
        <x:v>76</x:v>
      </x:c>
      <x:c r="P17" s="85" t="n">
        <x:v>85</x:v>
      </x:c>
      <x:c r="Q17" s="85" t="n">
        <x:v>64</x:v>
      </x:c>
      <x:c r="R17" s="85" t="n">
        <x:v>75</x:v>
      </x:c>
      <x:c r="S17" s="85" t="n">
        <x:v>64</x:v>
      </x:c>
      <x:c r="T17" s="85" t="n">
        <x:v>63</x:v>
      </x:c>
      <x:c r="U17" s="85" t="n">
        <x:v>74</x:v>
      </x:c>
      <x:c r="V17" s="85" t="n">
        <x:v>74</x:v>
      </x:c>
      <x:c r="W17" s="85" t="n">
        <x:v>53</x:v>
      </x:c>
      <x:c r="X17" s="85" t="n">
        <x:v>68</x:v>
      </x:c>
      <x:c r="Y17" s="85" t="n">
        <x:v>73</x:v>
      </x:c>
      <x:c r="Z17" s="85" t="n">
        <x:v>61</x:v>
      </x:c>
      <x:c r="AA17" s="85" t="n">
        <x:v>78</x:v>
      </x:c>
      <x:c r="AB17" s="85" t="n">
        <x:v>78</x:v>
      </x:c>
      <x:c r="AC17" s="91" t="str">
        <x:v>現役300名枠の脚質別入替（現役状態は維持）</x:v>
      </x:c>
      <x:c r="AD17" s="91" t="str">
        <x:v>https://en.wikipedia.org/wiki/List_of_2026_UCI_WorldTeams_and_riders</x:v>
      </x:c>
      <x:c r="AE17" s="91" t="str">
        <x:v>能力・適性・Credit整合済</x:v>
      </x:c>
      <x:c r="AF17" s="91" t="str">
        <x:v>https://en.wikipedia.org/wiki/Asbj%C3%B8rn_Hellemose</x:v>
      </x:c>
    </x:row>
    <x:row r="18" ht="26" customHeight="1">
      <x:c r="A18" s="82" t="n">
        <x:v>14</x:v>
      </x:c>
      <x:c r="B18" s="82" t="str">
        <x:v>Alexy Faure Prost</x:v>
      </x:c>
      <x:c r="C18" s="143" t="str"/>
      <x:c r="D18" s="82" t="str">
        <x:v>フランス</x:v>
      </x:c>
      <x:c r="E18" s="82" t="str">
        <x:v>Team Picnic–PostNL</x:v>
      </x:c>
      <x:c r="F18" s="82" t="str">
        <x:v>2004-04-22</x:v>
      </x:c>
      <x:c r="G18" s="82" t="str">
        <x:v>区分保留</x:v>
      </x:c>
      <x:c r="H18" s="82" t="str">
        <x:v>クラシック型</x:v>
      </x:c>
      <x:c r="I18" s="82" t="str">
        <x:v>TT・ルーラー型</x:v>
      </x:c>
      <x:c r="J18" s="85" t="n">
        <x:v>69</x:v>
      </x:c>
      <x:c r="K18" s="85" t="n">
        <x:v>72</x:v>
      </x:c>
      <x:c r="L18" s="91" t="str">
        <x:v>石畳護衛 / 横風分断</x:v>
      </x:c>
      <x:c r="M18" s="88" t="n">
        <x:v>3700</x:v>
      </x:c>
      <x:c r="N18" s="85" t="n">
        <x:v>68</x:v>
      </x:c>
      <x:c r="O18" s="85" t="n">
        <x:v>72</x:v>
      </x:c>
      <x:c r="P18" s="85" t="n">
        <x:v>71</x:v>
      </x:c>
      <x:c r="Q18" s="85" t="n">
        <x:v>71</x:v>
      </x:c>
      <x:c r="R18" s="85" t="n">
        <x:v>63</x:v>
      </x:c>
      <x:c r="S18" s="85" t="n">
        <x:v>70</x:v>
      </x:c>
      <x:c r="T18" s="85" t="n">
        <x:v>69</x:v>
      </x:c>
      <x:c r="U18" s="85" t="n">
        <x:v>75</x:v>
      </x:c>
      <x:c r="V18" s="85" t="n">
        <x:v>75</x:v>
      </x:c>
      <x:c r="W18" s="85" t="n">
        <x:v>66</x:v>
      </x:c>
      <x:c r="X18" s="85" t="n">
        <x:v>62</x:v>
      </x:c>
      <x:c r="Y18" s="85" t="n">
        <x:v>71</x:v>
      </x:c>
      <x:c r="Z18" s="85" t="n">
        <x:v>68</x:v>
      </x:c>
      <x:c r="AA18" s="85" t="n">
        <x:v>72</x:v>
      </x:c>
      <x:c r="AB18" s="85" t="n">
        <x:v>72</x:v>
      </x:c>
      <x:c r="AC18" s="91" t="str">
        <x:v>現役300名枠の脚質別入替（現役状態は維持）</x:v>
      </x:c>
      <x:c r="AD18" s="91" t="str">
        <x:v>https://en.wikipedia.org/wiki/List_of_2026_UCI_WorldTeams_and_riders</x:v>
      </x:c>
      <x:c r="AE18" s="91" t="str">
        <x:v>能力・適性・Credit整合済</x:v>
      </x:c>
      <x:c r="AF18" s="91" t="str">
        <x:v>https://en.wikipedia.org/wiki/Alexy_Faure_Prost</x:v>
      </x:c>
    </x:row>
    <x:row r="19" ht="26" customHeight="1">
      <x:c r="A19" s="82" t="n">
        <x:v>15</x:v>
      </x:c>
      <x:c r="B19" s="82" t="str">
        <x:v>Michael Matthews</x:v>
      </x:c>
      <x:c r="C19" s="143" t="str"/>
      <x:c r="D19" s="82" t="str">
        <x:v>オーストラリア</x:v>
      </x:c>
      <x:c r="E19" s="82" t="str"/>
      <x:c r="F19" s="82" t="str"/>
      <x:c r="G19" s="82" t="str">
        <x:v>区分保留</x:v>
      </x:c>
      <x:c r="H19" s="82" t="str">
        <x:v>TT・ルーラー型</x:v>
      </x:c>
      <x:c r="I19" s="82" t="str">
        <x:v>総合型</x:v>
      </x:c>
      <x:c r="J19" s="85" t="n">
        <x:v>66</x:v>
      </x:c>
      <x:c r="K19" s="85" t="n">
        <x:v>83</x:v>
      </x:c>
      <x:c r="L19" s="91" t="str">
        <x:v>ロードキャプテン / 平坦アシスト / 平坦ペースメーカー / TT牽引 / 集団コントローラー / ブレイクアウェイキラー / トラブル復帰牽引</x:v>
      </x:c>
      <x:c r="M19" s="88" t="n">
        <x:v>6200</x:v>
      </x:c>
      <x:c r="N19" s="85" t="n">
        <x:v>65</x:v>
      </x:c>
      <x:c r="O19" s="85" t="n">
        <x:v>67</x:v>
      </x:c>
      <x:c r="P19" s="85" t="n">
        <x:v>69</x:v>
      </x:c>
      <x:c r="Q19" s="85" t="n">
        <x:v>79</x:v>
      </x:c>
      <x:c r="R19" s="85" t="n">
        <x:v>72</x:v>
      </x:c>
      <x:c r="S19" s="85" t="n">
        <x:v>75</x:v>
      </x:c>
      <x:c r="T19" s="85" t="n">
        <x:v>76</x:v>
      </x:c>
      <x:c r="U19" s="85" t="n">
        <x:v>75</x:v>
      </x:c>
      <x:c r="V19" s="85" t="n">
        <x:v>70</x:v>
      </x:c>
      <x:c r="W19" s="85" t="n">
        <x:v>50</x:v>
      </x:c>
      <x:c r="X19" s="85" t="n">
        <x:v>72</x:v>
      </x:c>
      <x:c r="Y19" s="85" t="n">
        <x:v>71</x:v>
      </x:c>
      <x:c r="Z19" s="85" t="n">
        <x:v>85</x:v>
      </x:c>
      <x:c r="AA19" s="85" t="n">
        <x:v>67</x:v>
      </x:c>
      <x:c r="AB19" s="85" t="n">
        <x:v>69</x:v>
      </x:c>
      <x:c r="AC19" s="91" t="str">
        <x:v>2026 WorldTeam外・現役／引退を断定せず保留</x:v>
      </x:c>
      <x:c r="AD19" s="91" t="str">
        <x:v>https://en.wikipedia.org/wiki/Special:Search?search=Michael%20Matthews%20cyclist</x:v>
      </x:c>
      <x:c r="AE19" s="91" t="str">
        <x:v>能力・適性・Credit整合済</x:v>
      </x:c>
      <x:c r="AF19" s="91" t="str">
        <x:v>https://en.wikipedia.org/wiki/Special:Search?search=Michael%20Matthews%20cyclist</x:v>
      </x:c>
    </x:row>
    <x:row r="20" ht="26" customHeight="1">
      <x:c r="A20" s="82" t="n">
        <x:v>16</x:v>
      </x:c>
      <x:c r="B20" s="82" t="str">
        <x:v>Rafal Majka</x:v>
      </x:c>
      <x:c r="C20" s="143" t="str"/>
      <x:c r="D20" s="82" t="str">
        <x:v>ポーランド</x:v>
      </x:c>
      <x:c r="E20" s="82" t="str"/>
      <x:c r="F20" s="82" t="str"/>
      <x:c r="G20" s="82" t="str">
        <x:v>区分保留</x:v>
      </x:c>
      <x:c r="H20" s="82" t="str">
        <x:v>クライマー</x:v>
      </x:c>
      <x:c r="I20" s="82" t="str">
        <x:v>総合型</x:v>
      </x:c>
      <x:c r="J20" s="85" t="n">
        <x:v>66</x:v>
      </x:c>
      <x:c r="K20" s="85" t="n">
        <x:v>75</x:v>
      </x:c>
      <x:c r="L20" s="91" t="str">
        <x:v>山岳賞ハンター / 山岳アシスト / 山岳ペースメーカー / 集団コントローラー / サテライトライダー</x:v>
      </x:c>
      <x:c r="M20" s="88" t="n">
        <x:v>3900</x:v>
      </x:c>
      <x:c r="N20" s="85" t="n">
        <x:v>56</x:v>
      </x:c>
      <x:c r="O20" s="85" t="n">
        <x:v>69</x:v>
      </x:c>
      <x:c r="P20" s="85" t="n">
        <x:v>71</x:v>
      </x:c>
      <x:c r="Q20" s="85" t="n">
        <x:v>62</x:v>
      </x:c>
      <x:c r="R20" s="85" t="n">
        <x:v>76</x:v>
      </x:c>
      <x:c r="S20" s="85" t="n">
        <x:v>74</x:v>
      </x:c>
      <x:c r="T20" s="85" t="n">
        <x:v>70</x:v>
      </x:c>
      <x:c r="U20" s="85" t="n">
        <x:v>62</x:v>
      </x:c>
      <x:c r="V20" s="85" t="n">
        <x:v>64</x:v>
      </x:c>
      <x:c r="W20" s="85" t="n">
        <x:v>50</x:v>
      </x:c>
      <x:c r="X20" s="85" t="n">
        <x:v>76</x:v>
      </x:c>
      <x:c r="Y20" s="85" t="n">
        <x:v>76</x:v>
      </x:c>
      <x:c r="Z20" s="85" t="n">
        <x:v>67</x:v>
      </x:c>
      <x:c r="AA20" s="85" t="n">
        <x:v>70</x:v>
      </x:c>
      <x:c r="AB20" s="85" t="n">
        <x:v>72</x:v>
      </x:c>
      <x:c r="AC20" s="91" t="str">
        <x:v>2026 WorldTeam外・現役／引退を断定せず保留</x:v>
      </x:c>
      <x:c r="AD20" s="91" t="str">
        <x:v>https://en.wikipedia.org/wiki/Special:Search?search=Rafal%20Majka%20cyclist</x:v>
      </x:c>
      <x:c r="AE20" s="91" t="str">
        <x:v>能力・適性・Credit整合済</x:v>
      </x:c>
      <x:c r="AF20" s="91" t="str">
        <x:v>https://en.wikipedia.org/wiki/Special:Search?search=Rafal%20Majka%20cyclist</x:v>
      </x:c>
    </x:row>
    <x:row r="21" ht="26" customHeight="1">
      <x:c r="A21" s="82" t="n">
        <x:v>17</x:v>
      </x:c>
      <x:c r="B21" s="82" t="str">
        <x:v>Aime De Gendt</x:v>
      </x:c>
      <x:c r="C21" s="143" t="str"/>
      <x:c r="D21" s="82" t="str">
        <x:v>ベルギー</x:v>
      </x:c>
      <x:c r="E21" s="82" t="str"/>
      <x:c r="F21" s="82" t="str"/>
      <x:c r="G21" s="82" t="str">
        <x:v>区分保留</x:v>
      </x:c>
      <x:c r="H21" s="82" t="str">
        <x:v>クラシック型</x:v>
      </x:c>
      <x:c r="I21" s="82" t="str">
        <x:v>パンチャー</x:v>
      </x:c>
      <x:c r="J21" s="85" t="n">
        <x:v>66</x:v>
      </x:c>
      <x:c r="K21" s="85" t="n">
        <x:v>76</x:v>
      </x:c>
      <x:c r="L21" s="91" t="str">
        <x:v>ロードキャプテン / 石畳護衛 / 横風分断</x:v>
      </x:c>
      <x:c r="M21" s="88" t="n">
        <x:v>3800</x:v>
      </x:c>
      <x:c r="N21" s="85" t="n">
        <x:v>74</x:v>
      </x:c>
      <x:c r="O21" s="85" t="n">
        <x:v>74</x:v>
      </x:c>
      <x:c r="P21" s="85" t="n">
        <x:v>76</x:v>
      </x:c>
      <x:c r="Q21" s="85" t="n">
        <x:v>70</x:v>
      </x:c>
      <x:c r="R21" s="85" t="n">
        <x:v>67</x:v>
      </x:c>
      <x:c r="S21" s="85" t="n">
        <x:v>66</x:v>
      </x:c>
      <x:c r="T21" s="85" t="n">
        <x:v>72</x:v>
      </x:c>
      <x:c r="U21" s="85" t="n">
        <x:v>73</x:v>
      </x:c>
      <x:c r="V21" s="85" t="n">
        <x:v>77</x:v>
      </x:c>
      <x:c r="W21" s="85" t="n">
        <x:v>69</x:v>
      </x:c>
      <x:c r="X21" s="85" t="n">
        <x:v>69</x:v>
      </x:c>
      <x:c r="Y21" s="85" t="n">
        <x:v>67</x:v>
      </x:c>
      <x:c r="Z21" s="85" t="n">
        <x:v>69</x:v>
      </x:c>
      <x:c r="AA21" s="85" t="n">
        <x:v>71</x:v>
      </x:c>
      <x:c r="AB21" s="85" t="n">
        <x:v>76</x:v>
      </x:c>
      <x:c r="AC21" s="91" t="str">
        <x:v>2026 WorldTeam外・現役／引退を断定せず保留</x:v>
      </x:c>
      <x:c r="AD21" s="91" t="str">
        <x:v>https://en.wikipedia.org/wiki/Special:Search?search=Aime%20De%20Gendt%20cyclist</x:v>
      </x:c>
      <x:c r="AE21" s="91" t="str">
        <x:v>能力・適性・Credit整合済</x:v>
      </x:c>
      <x:c r="AF21" s="91" t="str">
        <x:v>https://en.wikipedia.org/wiki/Special:Search?search=Aime%20De%20Gendt%20cyclist</x:v>
      </x:c>
    </x:row>
    <x:row r="22" ht="26" customHeight="1">
      <x:c r="A22" s="82" t="n">
        <x:v>18</x:v>
      </x:c>
      <x:c r="B22" s="82" t="str">
        <x:v>Ben O'Connor</x:v>
      </x:c>
      <x:c r="C22" s="143" t="str"/>
      <x:c r="D22" s="82" t="str">
        <x:v>オーストラリア</x:v>
      </x:c>
      <x:c r="E22" s="82" t="str"/>
      <x:c r="F22" s="82" t="str"/>
      <x:c r="G22" s="82" t="str">
        <x:v>区分保留</x:v>
      </x:c>
      <x:c r="H22" s="82" t="str">
        <x:v>クライマー</x:v>
      </x:c>
      <x:c r="I22" s="82" t="str">
        <x:v>総合型</x:v>
      </x:c>
      <x:c r="J22" s="85" t="n">
        <x:v>65</x:v>
      </x:c>
      <x:c r="K22" s="85" t="n">
        <x:v>73</x:v>
      </x:c>
      <x:c r="L22" s="91" t="str">
        <x:v>山岳賞ハンター / 山岳アシスト / 山岳番手 / 集団コントローラー / サテライトライダー</x:v>
      </x:c>
      <x:c r="M22" s="88" t="n">
        <x:v>4200</x:v>
      </x:c>
      <x:c r="N22" s="85" t="n">
        <x:v>56</x:v>
      </x:c>
      <x:c r="O22" s="85" t="n">
        <x:v>68</x:v>
      </x:c>
      <x:c r="P22" s="85" t="n">
        <x:v>70</x:v>
      </x:c>
      <x:c r="Q22" s="85" t="n">
        <x:v>57</x:v>
      </x:c>
      <x:c r="R22" s="85" t="n">
        <x:v>76</x:v>
      </x:c>
      <x:c r="S22" s="85" t="n">
        <x:v>71</x:v>
      </x:c>
      <x:c r="T22" s="85" t="n">
        <x:v>68</x:v>
      </x:c>
      <x:c r="U22" s="85" t="n">
        <x:v>61</x:v>
      </x:c>
      <x:c r="V22" s="85" t="n">
        <x:v>62</x:v>
      </x:c>
      <x:c r="W22" s="85" t="n">
        <x:v>50</x:v>
      </x:c>
      <x:c r="X22" s="85" t="n">
        <x:v>75</x:v>
      </x:c>
      <x:c r="Y22" s="85" t="n">
        <x:v>76</x:v>
      </x:c>
      <x:c r="Z22" s="85" t="n">
        <x:v>66</x:v>
      </x:c>
      <x:c r="AA22" s="85" t="n">
        <x:v>69</x:v>
      </x:c>
      <x:c r="AB22" s="85" t="n">
        <x:v>71</x:v>
      </x:c>
      <x:c r="AC22" s="91" t="str">
        <x:v>2026 WorldTeam外・現役／引退を断定せず保留</x:v>
      </x:c>
      <x:c r="AD22" s="91" t="str">
        <x:v>https://en.wikipedia.org/wiki/Special:Search?search=Ben%20O'Connor%20cyclist</x:v>
      </x:c>
      <x:c r="AE22" s="91" t="str">
        <x:v>能力・適性・Credit整合済</x:v>
      </x:c>
      <x:c r="AF22" s="91" t="str">
        <x:v>https://en.wikipedia.org/wiki/Special:Search?search=Ben%20O'Connor%20cyclist</x:v>
      </x:c>
    </x:row>
    <x:row r="23" ht="26" customHeight="1">
      <x:c r="A23" s="82" t="n">
        <x:v>19</x:v>
      </x:c>
      <x:c r="B23" s="82" t="str">
        <x:v>Amund Grondahl Jansen</x:v>
      </x:c>
      <x:c r="C23" s="143" t="str"/>
      <x:c r="D23" s="82" t="str">
        <x:v>ノルウェー</x:v>
      </x:c>
      <x:c r="E23" s="82" t="str"/>
      <x:c r="F23" s="82" t="str"/>
      <x:c r="G23" s="82" t="str">
        <x:v>区分保留</x:v>
      </x:c>
      <x:c r="H23" s="82" t="str">
        <x:v>クラシック型</x:v>
      </x:c>
      <x:c r="I23" s="82" t="str">
        <x:v>パンチャー</x:v>
      </x:c>
      <x:c r="J23" s="85" t="n">
        <x:v>65</x:v>
      </x:c>
      <x:c r="K23" s="85" t="n">
        <x:v>77</x:v>
      </x:c>
      <x:c r="L23" s="91" t="str">
        <x:v>ロードキャプテン / 石畳護衛</x:v>
      </x:c>
      <x:c r="M23" s="88" t="n">
        <x:v>3200</x:v>
      </x:c>
      <x:c r="N23" s="85" t="n">
        <x:v>74</x:v>
      </x:c>
      <x:c r="O23" s="85" t="n">
        <x:v>75</x:v>
      </x:c>
      <x:c r="P23" s="85" t="n">
        <x:v>78</x:v>
      </x:c>
      <x:c r="Q23" s="85" t="n">
        <x:v>70</x:v>
      </x:c>
      <x:c r="R23" s="85" t="n">
        <x:v>67</x:v>
      </x:c>
      <x:c r="S23" s="85" t="n">
        <x:v>66</x:v>
      </x:c>
      <x:c r="T23" s="85" t="n">
        <x:v>73</x:v>
      </x:c>
      <x:c r="U23" s="85" t="n">
        <x:v>73</x:v>
      </x:c>
      <x:c r="V23" s="85" t="n">
        <x:v>78</x:v>
      </x:c>
      <x:c r="W23" s="85" t="n">
        <x:v>50</x:v>
      </x:c>
      <x:c r="X23" s="85" t="n">
        <x:v>69</x:v>
      </x:c>
      <x:c r="Y23" s="85" t="n">
        <x:v>69</x:v>
      </x:c>
      <x:c r="Z23" s="85" t="n">
        <x:v>70</x:v>
      </x:c>
      <x:c r="AA23" s="85" t="n">
        <x:v>71</x:v>
      </x:c>
      <x:c r="AB23" s="85" t="n">
        <x:v>76</x:v>
      </x:c>
      <x:c r="AC23" s="91" t="str">
        <x:v>2026 WorldTeam外・現役／引退を断定せず保留</x:v>
      </x:c>
      <x:c r="AD23" s="91" t="str">
        <x:v>https://en.wikipedia.org/wiki/Special:Search?search=Amund%20Grondahl%20Jansen%20cyclist</x:v>
      </x:c>
      <x:c r="AE23" s="91" t="str">
        <x:v>能力・適性・Credit整合済</x:v>
      </x:c>
      <x:c r="AF23" s="91" t="str">
        <x:v>https://en.wikipedia.org/wiki/Special:Search?search=Amund%20Grondahl%20Jansen%20cyclist</x:v>
      </x:c>
    </x:row>
    <x:row r="24" ht="26" customHeight="1">
      <x:c r="A24" s="82" t="n">
        <x:v>20</x:v>
      </x:c>
      <x:c r="B24" s="82" t="str">
        <x:v>Stefan Kung</x:v>
      </x:c>
      <x:c r="C24" s="143" t="str"/>
      <x:c r="D24" s="82" t="str">
        <x:v>スイス</x:v>
      </x:c>
      <x:c r="E24" s="82" t="str"/>
      <x:c r="F24" s="82" t="str"/>
      <x:c r="G24" s="82" t="str">
        <x:v>区分保留</x:v>
      </x:c>
      <x:c r="H24" s="82" t="str">
        <x:v>TT・ルーラー型</x:v>
      </x:c>
      <x:c r="I24" s="82" t="str">
        <x:v>クラシック型</x:v>
      </x:c>
      <x:c r="J24" s="85" t="n">
        <x:v>64</x:v>
      </x:c>
      <x:c r="K24" s="85" t="n">
        <x:v>79</x:v>
      </x:c>
      <x:c r="L24" s="91" t="str">
        <x:v>TTスペシャリスト / 平坦アシスト / ブレイクアウェイキラー / 横風要員 / トラブル復帰牽引 / ポジションキーパー</x:v>
      </x:c>
      <x:c r="M24" s="88" t="n">
        <x:v>4900</x:v>
      </x:c>
      <x:c r="N24" s="85" t="n">
        <x:v>68</x:v>
      </x:c>
      <x:c r="O24" s="85" t="n">
        <x:v>67</x:v>
      </x:c>
      <x:c r="P24" s="85" t="n">
        <x:v>66</x:v>
      </x:c>
      <x:c r="Q24" s="85" t="n">
        <x:v>77</x:v>
      </x:c>
      <x:c r="R24" s="85" t="n">
        <x:v>68</x:v>
      </x:c>
      <x:c r="S24" s="85" t="n">
        <x:v>73</x:v>
      </x:c>
      <x:c r="T24" s="85" t="n">
        <x:v>71</x:v>
      </x:c>
      <x:c r="U24" s="85" t="n">
        <x:v>76</x:v>
      </x:c>
      <x:c r="V24" s="85" t="n">
        <x:v>70</x:v>
      </x:c>
      <x:c r="W24" s="85" t="n">
        <x:v>73</x:v>
      </x:c>
      <x:c r="X24" s="85" t="n">
        <x:v>66</x:v>
      </x:c>
      <x:c r="Y24" s="85" t="n">
        <x:v>66</x:v>
      </x:c>
      <x:c r="Z24" s="85" t="n">
        <x:v>76</x:v>
      </x:c>
      <x:c r="AA24" s="85" t="n">
        <x:v>67</x:v>
      </x:c>
      <x:c r="AB24" s="85" t="n">
        <x:v>68</x:v>
      </x:c>
      <x:c r="AC24" s="91" t="str">
        <x:v>2026 WorldTeam外・現役／引退を断定せず保留</x:v>
      </x:c>
      <x:c r="AD24" s="91" t="str">
        <x:v>https://en.wikipedia.org/wiki/Special:Search?search=Stefan%20Kung%20cyclist</x:v>
      </x:c>
      <x:c r="AE24" s="91" t="str">
        <x:v>能力・適性・Credit整合済</x:v>
      </x:c>
      <x:c r="AF24" s="91" t="str">
        <x:v>https://en.wikipedia.org/wiki/Special:Search?search=Stefan%20Kung%20cyclist</x:v>
      </x:c>
    </x:row>
    <x:row r="25" ht="26" customHeight="1">
      <x:c r="A25" s="82" t="n">
        <x:v>21</x:v>
      </x:c>
      <x:c r="B25" s="82" t="str">
        <x:v>Marco Haller</x:v>
      </x:c>
      <x:c r="C25" s="143" t="str"/>
      <x:c r="D25" s="82" t="str">
        <x:v>オーストリア</x:v>
      </x:c>
      <x:c r="E25" s="82" t="str"/>
      <x:c r="F25" s="82" t="str"/>
      <x:c r="G25" s="82" t="str">
        <x:v>区分保留</x:v>
      </x:c>
      <x:c r="H25" s="82" t="str">
        <x:v>クラシック型</x:v>
      </x:c>
      <x:c r="I25" s="82" t="str">
        <x:v>パンチャー</x:v>
      </x:c>
      <x:c r="J25" s="85" t="n">
        <x:v>64</x:v>
      </x:c>
      <x:c r="K25" s="85" t="n">
        <x:v>78</x:v>
      </x:c>
      <x:c r="L25" s="91" t="str">
        <x:v>ロードキャプテン / 石畳護衛 / 下り牽引 / 逃げ屋</x:v>
      </x:c>
      <x:c r="M25" s="88" t="n">
        <x:v>4100</x:v>
      </x:c>
      <x:c r="N25" s="85" t="n">
        <x:v>74</x:v>
      </x:c>
      <x:c r="O25" s="85" t="n">
        <x:v>75</x:v>
      </x:c>
      <x:c r="P25" s="85" t="n">
        <x:v>79</x:v>
      </x:c>
      <x:c r="Q25" s="85" t="n">
        <x:v>70</x:v>
      </x:c>
      <x:c r="R25" s="85" t="n">
        <x:v>67</x:v>
      </x:c>
      <x:c r="S25" s="85" t="n">
        <x:v>69</x:v>
      </x:c>
      <x:c r="T25" s="85" t="n">
        <x:v>74</x:v>
      </x:c>
      <x:c r="U25" s="85" t="n">
        <x:v>74</x:v>
      </x:c>
      <x:c r="V25" s="85" t="n">
        <x:v>79</x:v>
      </x:c>
      <x:c r="W25" s="85" t="n">
        <x:v>73</x:v>
      </x:c>
      <x:c r="X25" s="85" t="n">
        <x:v>70</x:v>
      </x:c>
      <x:c r="Y25" s="85" t="n">
        <x:v>69</x:v>
      </x:c>
      <x:c r="Z25" s="85" t="n">
        <x:v>71</x:v>
      </x:c>
      <x:c r="AA25" s="85" t="n">
        <x:v>71</x:v>
      </x:c>
      <x:c r="AB25" s="85" t="n">
        <x:v>77</x:v>
      </x:c>
      <x:c r="AC25" s="91" t="str">
        <x:v>2026 WorldTeam外・現役／引退を断定せず保留</x:v>
      </x:c>
      <x:c r="AD25" s="91" t="str">
        <x:v>https://en.wikipedia.org/wiki/Special:Search?search=Marco%20Haller%20cyclist</x:v>
      </x:c>
      <x:c r="AE25" s="91" t="str">
        <x:v>能力・適性・Credit整合済</x:v>
      </x:c>
      <x:c r="AF25" s="91" t="str">
        <x:v>https://en.wikipedia.org/wiki/Special:Search?search=Marco%20Haller%20cyclist</x:v>
      </x:c>
    </x:row>
    <x:row r="26" ht="26" customHeight="1">
      <x:c r="A26" s="82" t="n">
        <x:v>22</x:v>
      </x:c>
      <x:c r="B26" s="82" t="str">
        <x:v>Sep Vanmarcke</x:v>
      </x:c>
      <x:c r="C26" s="143" t="str"/>
      <x:c r="D26" s="82" t="str">
        <x:v>ベルギー</x:v>
      </x:c>
      <x:c r="E26" s="82" t="str"/>
      <x:c r="F26" s="82" t="str"/>
      <x:c r="G26" s="82" t="str">
        <x:v>区分保留</x:v>
      </x:c>
      <x:c r="H26" s="82" t="str">
        <x:v>クラシック型</x:v>
      </x:c>
      <x:c r="I26" s="82" t="str">
        <x:v>パンチャー</x:v>
      </x:c>
      <x:c r="J26" s="85" t="n">
        <x:v>64</x:v>
      </x:c>
      <x:c r="K26" s="85" t="n">
        <x:v>77</x:v>
      </x:c>
      <x:c r="L26" s="91" t="str">
        <x:v>ロードキャプテン / 石畳護衛 / 横風要員</x:v>
      </x:c>
      <x:c r="M26" s="88" t="n">
        <x:v>3800</x:v>
      </x:c>
      <x:c r="N26" s="85" t="n">
        <x:v>74</x:v>
      </x:c>
      <x:c r="O26" s="85" t="n">
        <x:v>74</x:v>
      </x:c>
      <x:c r="P26" s="85" t="n">
        <x:v>76</x:v>
      </x:c>
      <x:c r="Q26" s="85" t="n">
        <x:v>69</x:v>
      </x:c>
      <x:c r="R26" s="85" t="n">
        <x:v>67</x:v>
      </x:c>
      <x:c r="S26" s="85" t="n">
        <x:v>65</x:v>
      </x:c>
      <x:c r="T26" s="85" t="n">
        <x:v>72</x:v>
      </x:c>
      <x:c r="U26" s="85" t="n">
        <x:v>72</x:v>
      </x:c>
      <x:c r="V26" s="85" t="n">
        <x:v>76</x:v>
      </x:c>
      <x:c r="W26" s="85" t="n">
        <x:v>80</x:v>
      </x:c>
      <x:c r="X26" s="85" t="n">
        <x:v>68</x:v>
      </x:c>
      <x:c r="Y26" s="85" t="n">
        <x:v>68</x:v>
      </x:c>
      <x:c r="Z26" s="85" t="n">
        <x:v>70</x:v>
      </x:c>
      <x:c r="AA26" s="85" t="n">
        <x:v>70</x:v>
      </x:c>
      <x:c r="AB26" s="85" t="n">
        <x:v>75</x:v>
      </x:c>
      <x:c r="AC26" s="91" t="str">
        <x:v>2026 WorldTeam外・現役／引退を断定せず保留</x:v>
      </x:c>
      <x:c r="AD26" s="91" t="str">
        <x:v>https://en.wikipedia.org/wiki/Special:Search?search=Sep%20Vanmarcke%20cyclist</x:v>
      </x:c>
      <x:c r="AE26" s="91" t="str">
        <x:v>能力・適性・Credit整合済</x:v>
      </x:c>
      <x:c r="AF26" s="91" t="str">
        <x:v>https://en.wikipedia.org/wiki/Special:Search?search=Sep%20Vanmarcke%20cyclist</x:v>
      </x:c>
    </x:row>
    <x:row r="27" ht="26" customHeight="1">
      <x:c r="A27" s="82" t="n">
        <x:v>23</x:v>
      </x:c>
      <x:c r="B27" s="82" t="str">
        <x:v>Jonathan Castroviejo</x:v>
      </x:c>
      <x:c r="C27" s="143" t="str"/>
      <x:c r="D27" s="82" t="str">
        <x:v>スペイン</x:v>
      </x:c>
      <x:c r="E27" s="82" t="str"/>
      <x:c r="F27" s="82" t="str"/>
      <x:c r="G27" s="82" t="str">
        <x:v>区分保留</x:v>
      </x:c>
      <x:c r="H27" s="82" t="str">
        <x:v>TT・ルーラー型</x:v>
      </x:c>
      <x:c r="I27" s="82" t="str">
        <x:v>総合型</x:v>
      </x:c>
      <x:c r="J27" s="85" t="n">
        <x:v>64</x:v>
      </x:c>
      <x:c r="K27" s="85" t="n">
        <x:v>77</x:v>
      </x:c>
      <x:c r="L27" s="91" t="str">
        <x:v>ロードキャプテン / TTスペシャリスト / 集団コントローラー / ブレイクアウェイキラー</x:v>
      </x:c>
      <x:c r="M27" s="88" t="n">
        <x:v>3750</x:v>
      </x:c>
      <x:c r="N27" s="85" t="n">
        <x:v>64</x:v>
      </x:c>
      <x:c r="O27" s="85" t="n">
        <x:v>62</x:v>
      </x:c>
      <x:c r="P27" s="85" t="n">
        <x:v>67</x:v>
      </x:c>
      <x:c r="Q27" s="85" t="n">
        <x:v>76</x:v>
      </x:c>
      <x:c r="R27" s="85" t="n">
        <x:v>72</x:v>
      </x:c>
      <x:c r="S27" s="85" t="n">
        <x:v>72</x:v>
      </x:c>
      <x:c r="T27" s="85" t="n">
        <x:v>69</x:v>
      </x:c>
      <x:c r="U27" s="85" t="n">
        <x:v>72</x:v>
      </x:c>
      <x:c r="V27" s="85" t="n">
        <x:v>67</x:v>
      </x:c>
      <x:c r="W27" s="85" t="n">
        <x:v>50</x:v>
      </x:c>
      <x:c r="X27" s="85" t="n">
        <x:v>70</x:v>
      </x:c>
      <x:c r="Y27" s="85" t="n">
        <x:v>69</x:v>
      </x:c>
      <x:c r="Z27" s="85" t="n">
        <x:v>71</x:v>
      </x:c>
      <x:c r="AA27" s="85" t="n">
        <x:v>65</x:v>
      </x:c>
      <x:c r="AB27" s="85" t="n">
        <x:v>65</x:v>
      </x:c>
      <x:c r="AC27" s="91" t="str">
        <x:v>2026 WorldTeam外・現役／引退を断定せず保留</x:v>
      </x:c>
      <x:c r="AD27" s="91" t="str">
        <x:v>https://en.wikipedia.org/wiki/Special:Search?search=Jonathan%20Castroviejo%20cyclist</x:v>
      </x:c>
      <x:c r="AE27" s="91" t="str">
        <x:v>能力・適性・Credit整合済</x:v>
      </x:c>
      <x:c r="AF27" s="91" t="str">
        <x:v>https://en.wikipedia.org/wiki/Special:Search?search=Jonathan%20Castroviejo%20cyclist</x:v>
      </x:c>
    </x:row>
    <x:row r="28" ht="26" customHeight="1">
      <x:c r="A28" s="82" t="n">
        <x:v>24</x:v>
      </x:c>
      <x:c r="B28" s="82" t="str">
        <x:v>Boy van Poppel</x:v>
      </x:c>
      <x:c r="C28" s="143" t="str"/>
      <x:c r="D28" s="82" t="str">
        <x:v>オランダ</x:v>
      </x:c>
      <x:c r="E28" s="82" t="str"/>
      <x:c r="F28" s="82" t="str"/>
      <x:c r="G28" s="82" t="str">
        <x:v>区分保留</x:v>
      </x:c>
      <x:c r="H28" s="82" t="str">
        <x:v>スプリンター</x:v>
      </x:c>
      <x:c r="I28" s="82" t="str">
        <x:v>TT・ルーラー型</x:v>
      </x:c>
      <x:c r="J28" s="85" t="n">
        <x:v>63</x:v>
      </x:c>
      <x:c r="K28" s="85" t="n">
        <x:v>73</x:v>
      </x:c>
      <x:c r="L28" s="91" t="str">
        <x:v>リードアウト / 最終発射台 / スプリントトレイン</x:v>
      </x:c>
      <x:c r="M28" s="88" t="n">
        <x:v>3250</x:v>
      </x:c>
      <x:c r="N28" s="85" t="n">
        <x:v>80</x:v>
      </x:c>
      <x:c r="O28" s="85" t="n">
        <x:v>79</x:v>
      </x:c>
      <x:c r="P28" s="85" t="n">
        <x:v>68</x:v>
      </x:c>
      <x:c r="Q28" s="85" t="n">
        <x:v>67</x:v>
      </x:c>
      <x:c r="R28" s="85" t="n">
        <x:v>58</x:v>
      </x:c>
      <x:c r="S28" s="85" t="n">
        <x:v>62</x:v>
      </x:c>
      <x:c r="T28" s="85" t="n">
        <x:v>62</x:v>
      </x:c>
      <x:c r="U28" s="85" t="n">
        <x:v>65</x:v>
      </x:c>
      <x:c r="V28" s="85" t="n">
        <x:v>69</x:v>
      </x:c>
      <x:c r="W28" s="85" t="n">
        <x:v>69</x:v>
      </x:c>
      <x:c r="X28" s="85" t="n">
        <x:v>63</x:v>
      </x:c>
      <x:c r="Y28" s="85" t="n">
        <x:v>62</x:v>
      </x:c>
      <x:c r="Z28" s="85" t="n">
        <x:v>64</x:v>
      </x:c>
      <x:c r="AA28" s="85" t="n">
        <x:v>74</x:v>
      </x:c>
      <x:c r="AB28" s="85" t="n">
        <x:v>63</x:v>
      </x:c>
      <x:c r="AC28" s="91" t="str">
        <x:v>2026 WorldTeam外・現役／引退を断定せず保留</x:v>
      </x:c>
      <x:c r="AD28" s="91" t="str">
        <x:v>https://en.wikipedia.org/wiki/Special:Search?search=Boy%20van%20Poppel%20cyclist</x:v>
      </x:c>
      <x:c r="AE28" s="91" t="str">
        <x:v>能力・適性・Credit整合済</x:v>
      </x:c>
      <x:c r="AF28" s="91" t="str">
        <x:v>https://en.wikipedia.org/wiki/Special:Search?search=Boy%20van%20Poppel%20cyclist</x:v>
      </x:c>
    </x:row>
    <x:row r="29" ht="26" customHeight="1">
      <x:c r="A29" s="82" t="n">
        <x:v>25</x:v>
      </x:c>
      <x:c r="B29" s="82" t="str">
        <x:v>Lawson Craddock</x:v>
      </x:c>
      <x:c r="C29" s="143" t="str"/>
      <x:c r="D29" s="82" t="str">
        <x:v>アメリカ</x:v>
      </x:c>
      <x:c r="E29" s="82" t="str"/>
      <x:c r="F29" s="82" t="str"/>
      <x:c r="G29" s="82" t="str">
        <x:v>区分保留</x:v>
      </x:c>
      <x:c r="H29" s="82" t="str">
        <x:v>TT・ルーラー型</x:v>
      </x:c>
      <x:c r="I29" s="82" t="str">
        <x:v>総合型</x:v>
      </x:c>
      <x:c r="J29" s="85" t="n">
        <x:v>63</x:v>
      </x:c>
      <x:c r="K29" s="85" t="n">
        <x:v>77</x:v>
      </x:c>
      <x:c r="L29" s="91" t="str">
        <x:v>ロードキャプテン / 平坦ペースメーカー / 集団コントローラー</x:v>
      </x:c>
      <x:c r="M29" s="88" t="n">
        <x:v>3200</x:v>
      </x:c>
      <x:c r="N29" s="85" t="n">
        <x:v>64</x:v>
      </x:c>
      <x:c r="O29" s="85" t="n">
        <x:v>63</x:v>
      </x:c>
      <x:c r="P29" s="85" t="n">
        <x:v>67</x:v>
      </x:c>
      <x:c r="Q29" s="85" t="n">
        <x:v>74</x:v>
      </x:c>
      <x:c r="R29" s="85" t="n">
        <x:v>72</x:v>
      </x:c>
      <x:c r="S29" s="85" t="n">
        <x:v>71</x:v>
      </x:c>
      <x:c r="T29" s="85" t="n">
        <x:v>68</x:v>
      </x:c>
      <x:c r="U29" s="85" t="n">
        <x:v>70</x:v>
      </x:c>
      <x:c r="V29" s="85" t="n">
        <x:v>65</x:v>
      </x:c>
      <x:c r="W29" s="85" t="n">
        <x:v>50</x:v>
      </x:c>
      <x:c r="X29" s="85" t="n">
        <x:v>70</x:v>
      </x:c>
      <x:c r="Y29" s="85" t="n">
        <x:v>70</x:v>
      </x:c>
      <x:c r="Z29" s="85" t="n">
        <x:v>72</x:v>
      </x:c>
      <x:c r="AA29" s="85" t="n">
        <x:v>67</x:v>
      </x:c>
      <x:c r="AB29" s="85" t="n">
        <x:v>67</x:v>
      </x:c>
      <x:c r="AC29" s="91" t="str">
        <x:v>2026 WorldTeam外・現役／引退を断定せず保留</x:v>
      </x:c>
      <x:c r="AD29" s="91" t="str">
        <x:v>https://en.wikipedia.org/wiki/Special:Search?search=Lawson%20Craddock%20cyclist</x:v>
      </x:c>
      <x:c r="AE29" s="91" t="str">
        <x:v>能力・適性・Credit整合済</x:v>
      </x:c>
      <x:c r="AF29" s="91" t="str">
        <x:v>https://en.wikipedia.org/wiki/Special:Search?search=Lawson%20Craddock%20cyclist</x:v>
      </x:c>
    </x:row>
    <x:row r="30" ht="26" customHeight="1">
      <x:c r="A30" s="82" t="n">
        <x:v>26</x:v>
      </x:c>
      <x:c r="B30" s="82" t="str">
        <x:v>Winner Anacona</x:v>
      </x:c>
      <x:c r="C30" s="143" t="str"/>
      <x:c r="D30" s="82" t="str">
        <x:v>コロンビア</x:v>
      </x:c>
      <x:c r="E30" s="82" t="str"/>
      <x:c r="F30" s="82" t="str"/>
      <x:c r="G30" s="82" t="str">
        <x:v>区分保留</x:v>
      </x:c>
      <x:c r="H30" s="82" t="str">
        <x:v>クライマー</x:v>
      </x:c>
      <x:c r="I30" s="82" t="str">
        <x:v>総合型</x:v>
      </x:c>
      <x:c r="J30" s="85" t="n">
        <x:v>63</x:v>
      </x:c>
      <x:c r="K30" s="85" t="n">
        <x:v>74</x:v>
      </x:c>
      <x:c r="L30" s="91" t="str">
        <x:v>山岳賞ハンター / 山岳アシスト / 山岳ペースメーカー / 集団コントローラー</x:v>
      </x:c>
      <x:c r="M30" s="88" t="n">
        <x:v>3200</x:v>
      </x:c>
      <x:c r="N30" s="85" t="n">
        <x:v>56</x:v>
      </x:c>
      <x:c r="O30" s="85" t="n">
        <x:v>68</x:v>
      </x:c>
      <x:c r="P30" s="85" t="n">
        <x:v>70</x:v>
      </x:c>
      <x:c r="Q30" s="85" t="n">
        <x:v>61</x:v>
      </x:c>
      <x:c r="R30" s="85" t="n">
        <x:v>75</x:v>
      </x:c>
      <x:c r="S30" s="85" t="n">
        <x:v>69</x:v>
      </x:c>
      <x:c r="T30" s="85" t="n">
        <x:v>65</x:v>
      </x:c>
      <x:c r="U30" s="85" t="n">
        <x:v>57</x:v>
      </x:c>
      <x:c r="V30" s="85" t="n">
        <x:v>61</x:v>
      </x:c>
      <x:c r="W30" s="85" t="n">
        <x:v>50</x:v>
      </x:c>
      <x:c r="X30" s="85" t="n">
        <x:v>75</x:v>
      </x:c>
      <x:c r="Y30" s="85" t="n">
        <x:v>75</x:v>
      </x:c>
      <x:c r="Z30" s="85" t="n">
        <x:v>66</x:v>
      </x:c>
      <x:c r="AA30" s="85" t="n">
        <x:v>69</x:v>
      </x:c>
      <x:c r="AB30" s="85" t="n">
        <x:v>70</x:v>
      </x:c>
      <x:c r="AC30" s="91" t="str">
        <x:v>2026 WorldTeam外・現役／引退を断定せず保留</x:v>
      </x:c>
      <x:c r="AD30" s="91" t="str">
        <x:v>https://en.wikipedia.org/wiki/Special:Search?search=Winner%20Anacona%20cyclist</x:v>
      </x:c>
      <x:c r="AE30" s="91" t="str">
        <x:v>能力・適性・Credit整合済</x:v>
      </x:c>
      <x:c r="AF30" s="91" t="str">
        <x:v>https://en.wikipedia.org/wiki/Special:Search?search=Winner%20Anacona%20cyclist</x:v>
      </x:c>
    </x:row>
    <x:row r="31" ht="26" customHeight="1">
      <x:c r="A31" s="82" t="n">
        <x:v>27</x:v>
      </x:c>
      <x:c r="B31" s="82" t="str">
        <x:v>Jacopo Guarnieri</x:v>
      </x:c>
      <x:c r="C31" s="143" t="str"/>
      <x:c r="D31" s="82" t="str">
        <x:v>イタリア</x:v>
      </x:c>
      <x:c r="E31" s="82" t="str"/>
      <x:c r="F31" s="82" t="str"/>
      <x:c r="G31" s="82" t="str">
        <x:v>区分保留</x:v>
      </x:c>
      <x:c r="H31" s="82" t="str">
        <x:v>スプリンター</x:v>
      </x:c>
      <x:c r="I31" s="82" t="str">
        <x:v>TT・ルーラー型</x:v>
      </x:c>
      <x:c r="J31" s="85" t="n">
        <x:v>63</x:v>
      </x:c>
      <x:c r="K31" s="85" t="n">
        <x:v>72</x:v>
      </x:c>
      <x:c r="L31" s="91" t="str">
        <x:v>リードアウト / 最終発射台 / スプリントトレイン</x:v>
      </x:c>
      <x:c r="M31" s="88" t="n">
        <x:v>3050</x:v>
      </x:c>
      <x:c r="N31" s="85" t="n">
        <x:v>79</x:v>
      </x:c>
      <x:c r="O31" s="85" t="n">
        <x:v>78</x:v>
      </x:c>
      <x:c r="P31" s="85" t="n">
        <x:v>67</x:v>
      </x:c>
      <x:c r="Q31" s="85" t="n">
        <x:v>67</x:v>
      </x:c>
      <x:c r="R31" s="85" t="n">
        <x:v>58</x:v>
      </x:c>
      <x:c r="S31" s="85" t="n">
        <x:v>61</x:v>
      </x:c>
      <x:c r="T31" s="85" t="n">
        <x:v>61</x:v>
      </x:c>
      <x:c r="U31" s="85" t="n">
        <x:v>64</x:v>
      </x:c>
      <x:c r="V31" s="85" t="n">
        <x:v>65</x:v>
      </x:c>
      <x:c r="W31" s="85" t="n">
        <x:v>64</x:v>
      </x:c>
      <x:c r="X31" s="85" t="n">
        <x:v>61</x:v>
      </x:c>
      <x:c r="Y31" s="85" t="n">
        <x:v>61</x:v>
      </x:c>
      <x:c r="Z31" s="85" t="n">
        <x:v>63</x:v>
      </x:c>
      <x:c r="AA31" s="85" t="n">
        <x:v>74</x:v>
      </x:c>
      <x:c r="AB31" s="85" t="n">
        <x:v>61</x:v>
      </x:c>
      <x:c r="AC31" s="91" t="str">
        <x:v>2026 WorldTeam外・現役／引退を断定せず保留</x:v>
      </x:c>
      <x:c r="AD31" s="91" t="str">
        <x:v>https://en.wikipedia.org/wiki/Special:Search?search=Jacopo%20Guarnieri%20cyclist</x:v>
      </x:c>
      <x:c r="AE31" s="91" t="str">
        <x:v>能力・適性・Credit整合済</x:v>
      </x:c>
      <x:c r="AF31" s="91" t="str">
        <x:v>https://en.wikipedia.org/wiki/Special:Search?search=Jacopo%20Guarnieri%20cyclist</x:v>
      </x:c>
    </x:row>
    <x:row r="32" ht="26" customHeight="1">
      <x:c r="A32" s="82" t="n">
        <x:v>28</x:v>
      </x:c>
      <x:c r="B32" s="82" t="str">
        <x:v>Cameron Wurf</x:v>
      </x:c>
      <x:c r="C32" s="143" t="str"/>
      <x:c r="D32" s="82" t="str">
        <x:v>オーストラリア</x:v>
      </x:c>
      <x:c r="E32" s="82" t="str"/>
      <x:c r="F32" s="82" t="str"/>
      <x:c r="G32" s="82" t="str">
        <x:v>区分保留</x:v>
      </x:c>
      <x:c r="H32" s="82" t="str">
        <x:v>TT・ルーラー型</x:v>
      </x:c>
      <x:c r="I32" s="82" t="str">
        <x:v>総合型</x:v>
      </x:c>
      <x:c r="J32" s="85" t="n">
        <x:v>62</x:v>
      </x:c>
      <x:c r="K32" s="85" t="n">
        <x:v>78</x:v>
      </x:c>
      <x:c r="L32" s="91" t="str">
        <x:v>ロードキャプテン / 平坦ペースメーカー / 集団コントローラー</x:v>
      </x:c>
      <x:c r="M32" s="88" t="n">
        <x:v>3250</x:v>
      </x:c>
      <x:c r="N32" s="85" t="n">
        <x:v>64</x:v>
      </x:c>
      <x:c r="O32" s="85" t="n">
        <x:v>64</x:v>
      </x:c>
      <x:c r="P32" s="85" t="n">
        <x:v>68</x:v>
      </x:c>
      <x:c r="Q32" s="85" t="n">
        <x:v>74</x:v>
      </x:c>
      <x:c r="R32" s="85" t="n">
        <x:v>72</x:v>
      </x:c>
      <x:c r="S32" s="85" t="n">
        <x:v>72</x:v>
      </x:c>
      <x:c r="T32" s="85" t="n">
        <x:v>69</x:v>
      </x:c>
      <x:c r="U32" s="85" t="n">
        <x:v>71</x:v>
      </x:c>
      <x:c r="V32" s="85" t="n">
        <x:v>66</x:v>
      </x:c>
      <x:c r="W32" s="85" t="n">
        <x:v>50</x:v>
      </x:c>
      <x:c r="X32" s="85" t="n">
        <x:v>71</x:v>
      </x:c>
      <x:c r="Y32" s="85" t="n">
        <x:v>70</x:v>
      </x:c>
      <x:c r="Z32" s="85" t="n">
        <x:v>74</x:v>
      </x:c>
      <x:c r="AA32" s="85" t="n">
        <x:v>67</x:v>
      </x:c>
      <x:c r="AB32" s="85" t="n">
        <x:v>66</x:v>
      </x:c>
      <x:c r="AC32" s="91" t="str">
        <x:v>2026 WorldTeam外・現役／引退を断定せず保留</x:v>
      </x:c>
      <x:c r="AD32" s="91" t="str">
        <x:v>https://en.wikipedia.org/wiki/Special:Search?search=Cameron%20Wurf%20cyclist</x:v>
      </x:c>
      <x:c r="AE32" s="91" t="str">
        <x:v>能力・適性・Credit整合済</x:v>
      </x:c>
      <x:c r="AF32" s="91" t="str">
        <x:v>https://en.wikipedia.org/wiki/Special:Search?search=Cameron%20Wurf%20cyclist</x:v>
      </x:c>
    </x:row>
    <x:row r="33" ht="26" customHeight="1">
      <x:c r="A33" s="82" t="n">
        <x:v>29</x:v>
      </x:c>
      <x:c r="B33" s="82" t="str">
        <x:v>Frederik Frison</x:v>
      </x:c>
      <x:c r="C33" s="143" t="str"/>
      <x:c r="D33" s="82" t="str">
        <x:v>ベルギー</x:v>
      </x:c>
      <x:c r="E33" s="82" t="str"/>
      <x:c r="F33" s="82" t="str"/>
      <x:c r="G33" s="82" t="str">
        <x:v>区分保留</x:v>
      </x:c>
      <x:c r="H33" s="82" t="str">
        <x:v>クラシック型</x:v>
      </x:c>
      <x:c r="I33" s="82" t="str">
        <x:v>パンチャー</x:v>
      </x:c>
      <x:c r="J33" s="85" t="n">
        <x:v>62</x:v>
      </x:c>
      <x:c r="K33" s="85" t="n">
        <x:v>76</x:v>
      </x:c>
      <x:c r="L33" s="91" t="str">
        <x:v>ロードキャプテン / 石畳護衛</x:v>
      </x:c>
      <x:c r="M33" s="88" t="n">
        <x:v>3150</x:v>
      </x:c>
      <x:c r="N33" s="85" t="n">
        <x:v>74</x:v>
      </x:c>
      <x:c r="O33" s="85" t="n">
        <x:v>73</x:v>
      </x:c>
      <x:c r="P33" s="85" t="n">
        <x:v>75</x:v>
      </x:c>
      <x:c r="Q33" s="85" t="n">
        <x:v>68</x:v>
      </x:c>
      <x:c r="R33" s="85" t="n">
        <x:v>66</x:v>
      </x:c>
      <x:c r="S33" s="85" t="n">
        <x:v>65</x:v>
      </x:c>
      <x:c r="T33" s="85" t="n">
        <x:v>70</x:v>
      </x:c>
      <x:c r="U33" s="85" t="n">
        <x:v>72</x:v>
      </x:c>
      <x:c r="V33" s="85" t="n">
        <x:v>75</x:v>
      </x:c>
      <x:c r="W33" s="85" t="n">
        <x:v>69</x:v>
      </x:c>
      <x:c r="X33" s="85" t="n">
        <x:v>67</x:v>
      </x:c>
      <x:c r="Y33" s="85" t="n">
        <x:v>65</x:v>
      </x:c>
      <x:c r="Z33" s="85" t="n">
        <x:v>70</x:v>
      </x:c>
      <x:c r="AA33" s="85" t="n">
        <x:v>70</x:v>
      </x:c>
      <x:c r="AB33" s="85" t="n">
        <x:v>73</x:v>
      </x:c>
      <x:c r="AC33" s="91" t="str">
        <x:v>2026 WorldTeam外・現役／引退を断定せず保留</x:v>
      </x:c>
      <x:c r="AD33" s="91" t="str">
        <x:v>https://en.wikipedia.org/wiki/Special:Search?search=Frederik%20Frison%20cyclist</x:v>
      </x:c>
      <x:c r="AE33" s="91" t="str">
        <x:v>能力・適性・Credit整合済</x:v>
      </x:c>
      <x:c r="AF33" s="91" t="str">
        <x:v>https://en.wikipedia.org/wiki/Special:Search?search=Frederik%20Frison%20cyclist</x:v>
      </x:c>
    </x:row>
    <x:row r="34" ht="26" customHeight="1">
      <x:c r="A34" s="82" t="n">
        <x:v>30</x:v>
      </x:c>
      <x:c r="B34" s="82" t="str">
        <x:v>Matteo Trentin</x:v>
      </x:c>
      <x:c r="C34" s="143" t="str"/>
      <x:c r="D34" s="82" t="str">
        <x:v>イタリア</x:v>
      </x:c>
      <x:c r="E34" s="82" t="str"/>
      <x:c r="F34" s="82" t="str"/>
      <x:c r="G34" s="82" t="str">
        <x:v>区分保留</x:v>
      </x:c>
      <x:c r="H34" s="82" t="str">
        <x:v>TT・ルーラー型</x:v>
      </x:c>
      <x:c r="I34" s="82" t="str">
        <x:v>クラシック型</x:v>
      </x:c>
      <x:c r="J34" s="85" t="n">
        <x:v>61</x:v>
      </x:c>
      <x:c r="K34" s="85" t="n">
        <x:v>78</x:v>
      </x:c>
      <x:c r="L34" s="91" t="str">
        <x:v>平坦アシスト / 平坦ペースメーカー / TT牽引 / ブレイクアウェイキラー / トラブル復帰牽引</x:v>
      </x:c>
      <x:c r="M34" s="88" t="n">
        <x:v>3550</x:v>
      </x:c>
      <x:c r="N34" s="85" t="n">
        <x:v>68</x:v>
      </x:c>
      <x:c r="O34" s="85" t="n">
        <x:v>65</x:v>
      </x:c>
      <x:c r="P34" s="85" t="n">
        <x:v>61</x:v>
      </x:c>
      <x:c r="Q34" s="85" t="n">
        <x:v>75</x:v>
      </x:c>
      <x:c r="R34" s="85" t="n">
        <x:v>66</x:v>
      </x:c>
      <x:c r="S34" s="85" t="n">
        <x:v>72</x:v>
      </x:c>
      <x:c r="T34" s="85" t="n">
        <x:v>70</x:v>
      </x:c>
      <x:c r="U34" s="85" t="n">
        <x:v>71</x:v>
      </x:c>
      <x:c r="V34" s="85" t="n">
        <x:v>66</x:v>
      </x:c>
      <x:c r="W34" s="85" t="n">
        <x:v>69</x:v>
      </x:c>
      <x:c r="X34" s="85" t="n">
        <x:v>64</x:v>
      </x:c>
      <x:c r="Y34" s="85" t="n">
        <x:v>63</x:v>
      </x:c>
      <x:c r="Z34" s="85" t="n">
        <x:v>75</x:v>
      </x:c>
      <x:c r="AA34" s="85" t="n">
        <x:v>64</x:v>
      </x:c>
      <x:c r="AB34" s="85" t="n">
        <x:v>66</x:v>
      </x:c>
      <x:c r="AC34" s="91" t="str">
        <x:v>2026 WorldTeam外・現役／引退を断定せず保留</x:v>
      </x:c>
      <x:c r="AD34" s="91" t="str">
        <x:v>https://en.wikipedia.org/wiki/Special:Search?search=Matteo%20Trentin%20cyclist</x:v>
      </x:c>
      <x:c r="AE34" s="91" t="str">
        <x:v>能力・適性・Credit整合済</x:v>
      </x:c>
      <x:c r="AF34" s="91" t="str">
        <x:v>https://en.wikipedia.org/wiki/Special:Search?search=Matteo%20Trentin%20cyclist</x:v>
      </x:c>
    </x:row>
    <x:row r="35" ht="26" customHeight="1">
      <x:c r="A35" s="82" t="n">
        <x:v>31</x:v>
      </x:c>
      <x:c r="B35" s="82" t="str">
        <x:v>Roger Kluge</x:v>
      </x:c>
      <x:c r="C35" s="143" t="str"/>
      <x:c r="D35" s="82" t="str">
        <x:v>ドイツ</x:v>
      </x:c>
      <x:c r="E35" s="82" t="str"/>
      <x:c r="F35" s="82" t="str"/>
      <x:c r="G35" s="82" t="str">
        <x:v>区分保留</x:v>
      </x:c>
      <x:c r="H35" s="82" t="str">
        <x:v>スプリンター</x:v>
      </x:c>
      <x:c r="I35" s="82" t="str">
        <x:v>TT・ルーラー型</x:v>
      </x:c>
      <x:c r="J35" s="85" t="n">
        <x:v>61</x:v>
      </x:c>
      <x:c r="K35" s="85" t="n">
        <x:v>70</x:v>
      </x:c>
      <x:c r="L35" s="91" t="str">
        <x:v>リードアウト / 最終発射台 / スプリントトレイン / 横風分断</x:v>
      </x:c>
      <x:c r="M35" s="88" t="n">
        <x:v>2800</x:v>
      </x:c>
      <x:c r="N35" s="85" t="n">
        <x:v>77</x:v>
      </x:c>
      <x:c r="O35" s="85" t="n">
        <x:v>77</x:v>
      </x:c>
      <x:c r="P35" s="85" t="n">
        <x:v>65</x:v>
      </x:c>
      <x:c r="Q35" s="85" t="n">
        <x:v>66</x:v>
      </x:c>
      <x:c r="R35" s="85" t="n">
        <x:v>57</x:v>
      </x:c>
      <x:c r="S35" s="85" t="n">
        <x:v>57</x:v>
      </x:c>
      <x:c r="T35" s="85" t="n">
        <x:v>57</x:v>
      </x:c>
      <x:c r="U35" s="85" t="n">
        <x:v>63</x:v>
      </x:c>
      <x:c r="V35" s="85" t="n">
        <x:v>57</x:v>
      </x:c>
      <x:c r="W35" s="85" t="n">
        <x:v>69</x:v>
      </x:c>
      <x:c r="X35" s="85" t="n">
        <x:v>57</x:v>
      </x:c>
      <x:c r="Y35" s="85" t="n">
        <x:v>57</x:v>
      </x:c>
      <x:c r="Z35" s="85" t="n">
        <x:v>62</x:v>
      </x:c>
      <x:c r="AA35" s="85" t="n">
        <x:v>74</x:v>
      </x:c>
      <x:c r="AB35" s="85" t="n">
        <x:v>57</x:v>
      </x:c>
      <x:c r="AC35" s="91" t="str">
        <x:v>2026 WorldTeam外・現役／引退を断定せず保留</x:v>
      </x:c>
      <x:c r="AD35" s="91" t="str">
        <x:v>https://en.wikipedia.org/wiki/Special:Search?search=Roger%20Kluge%20cyclist</x:v>
      </x:c>
      <x:c r="AE35" s="91" t="str">
        <x:v>能力・適性・Credit整合済</x:v>
      </x:c>
      <x:c r="AF35" s="91" t="str">
        <x:v>https://en.wikipedia.org/wiki/Special:Search?search=Roger%20Kluge%20cyclist</x:v>
      </x:c>
    </x:row>
    <x:row r="36" ht="26" customHeight="1">
      <x:c r="A36" s="82" t="n">
        <x:v>32</x:v>
      </x:c>
      <x:c r="B36" s="82" t="str">
        <x:v>Tim Declercq</x:v>
      </x:c>
      <x:c r="C36" s="143" t="str"/>
      <x:c r="D36" s="82" t="str">
        <x:v>ベルギー</x:v>
      </x:c>
      <x:c r="E36" s="82" t="str"/>
      <x:c r="F36" s="82" t="str"/>
      <x:c r="G36" s="82" t="str">
        <x:v>区分保留</x:v>
      </x:c>
      <x:c r="H36" s="82" t="str">
        <x:v>TT・ルーラー型</x:v>
      </x:c>
      <x:c r="I36" s="82" t="str">
        <x:v>クラシック型</x:v>
      </x:c>
      <x:c r="J36" s="85" t="n">
        <x:v>60</x:v>
      </x:c>
      <x:c r="K36" s="85" t="n">
        <x:v>79</x:v>
      </x:c>
      <x:c r="L36" s="91" t="str">
        <x:v>平坦アシスト / 平坦ペースメーカー / 集団コントローラー / トラブル復帰牽引</x:v>
      </x:c>
      <x:c r="M36" s="88" t="n">
        <x:v>3000</x:v>
      </x:c>
      <x:c r="N36" s="85" t="n">
        <x:v>61</x:v>
      </x:c>
      <x:c r="O36" s="85" t="n">
        <x:v>57</x:v>
      </x:c>
      <x:c r="P36" s="85" t="n">
        <x:v>57</x:v>
      </x:c>
      <x:c r="Q36" s="85" t="n">
        <x:v>72</x:v>
      </x:c>
      <x:c r="R36" s="85" t="n">
        <x:v>67</x:v>
      </x:c>
      <x:c r="S36" s="85" t="n">
        <x:v>71</x:v>
      </x:c>
      <x:c r="T36" s="85" t="n">
        <x:v>67</x:v>
      </x:c>
      <x:c r="U36" s="85" t="n">
        <x:v>68</x:v>
      </x:c>
      <x:c r="V36" s="85" t="n">
        <x:v>67</x:v>
      </x:c>
      <x:c r="W36" s="85" t="n">
        <x:v>69</x:v>
      </x:c>
      <x:c r="X36" s="85" t="n">
        <x:v>71</x:v>
      </x:c>
      <x:c r="Y36" s="85" t="n">
        <x:v>71</x:v>
      </x:c>
      <x:c r="Z36" s="85" t="n">
        <x:v>79</x:v>
      </x:c>
      <x:c r="AA36" s="85" t="n">
        <x:v>60</x:v>
      </x:c>
      <x:c r="AB36" s="85" t="n">
        <x:v>68</x:v>
      </x:c>
      <x:c r="AC36" s="91" t="str">
        <x:v>2026 WorldTeam外・現役／引退を断定せず保留</x:v>
      </x:c>
      <x:c r="AD36" s="91" t="str">
        <x:v>https://en.wikipedia.org/wiki/Special:Search?search=Tim%20Declercq%20cyclist</x:v>
      </x:c>
      <x:c r="AE36" s="91" t="str">
        <x:v>能力・適性・Credit整合済</x:v>
      </x:c>
      <x:c r="AF36" s="91" t="str">
        <x:v>https://en.wikipedia.org/wiki/Special:Search?search=Tim%20Declercq%20cyclist</x:v>
      </x:c>
    </x:row>
    <x:row r="37" ht="26" customHeight="1">
      <x:c r="A37" s="82" t="n">
        <x:v>33</x:v>
      </x:c>
      <x:c r="B37" s="82" t="str">
        <x:v>Salvatore Puccio</x:v>
      </x:c>
      <x:c r="C37" s="143" t="str"/>
      <x:c r="D37" s="82" t="str">
        <x:v>イタリア</x:v>
      </x:c>
      <x:c r="E37" s="82" t="str"/>
      <x:c r="F37" s="82" t="str"/>
      <x:c r="G37" s="82" t="str">
        <x:v>区分保留</x:v>
      </x:c>
      <x:c r="H37" s="82" t="str">
        <x:v>TT・ルーラー型</x:v>
      </x:c>
      <x:c r="I37" s="82" t="str">
        <x:v>クラシック型</x:v>
      </x:c>
      <x:c r="J37" s="85" t="n">
        <x:v>60</x:v>
      </x:c>
      <x:c r="K37" s="85" t="n">
        <x:v>77</x:v>
      </x:c>
      <x:c r="L37" s="91" t="str">
        <x:v>TT牽引 / 集団コントローラー / トラブル復帰牽引</x:v>
      </x:c>
      <x:c r="M37" s="88" t="n">
        <x:v>2850</x:v>
      </x:c>
      <x:c r="N37" s="85" t="n">
        <x:v>68</x:v>
      </x:c>
      <x:c r="O37" s="85" t="n">
        <x:v>66</x:v>
      </x:c>
      <x:c r="P37" s="85" t="n">
        <x:v>63</x:v>
      </x:c>
      <x:c r="Q37" s="85" t="n">
        <x:v>73</x:v>
      </x:c>
      <x:c r="R37" s="85" t="n">
        <x:v>68</x:v>
      </x:c>
      <x:c r="S37" s="85" t="n">
        <x:v>68</x:v>
      </x:c>
      <x:c r="T37" s="85" t="n">
        <x:v>66</x:v>
      </x:c>
      <x:c r="U37" s="85" t="n">
        <x:v>69</x:v>
      </x:c>
      <x:c r="V37" s="85" t="n">
        <x:v>68</x:v>
      </x:c>
      <x:c r="W37" s="85" t="n">
        <x:v>64</x:v>
      </x:c>
      <x:c r="X37" s="85" t="n">
        <x:v>65</x:v>
      </x:c>
      <x:c r="Y37" s="85" t="n">
        <x:v>65</x:v>
      </x:c>
      <x:c r="Z37" s="85" t="n">
        <x:v>73</x:v>
      </x:c>
      <x:c r="AA37" s="85" t="n">
        <x:v>66</x:v>
      </x:c>
      <x:c r="AB37" s="85" t="n">
        <x:v>65</x:v>
      </x:c>
      <x:c r="AC37" s="91" t="str">
        <x:v>2026 WorldTeam外・現役／引退を断定せず保留</x:v>
      </x:c>
      <x:c r="AD37" s="91" t="str">
        <x:v>https://en.wikipedia.org/wiki/Special:Search?search=Salvatore%20Puccio%20cyclist</x:v>
      </x:c>
      <x:c r="AE37" s="91" t="str">
        <x:v>能力・適性・Credit整合済</x:v>
      </x:c>
      <x:c r="AF37" s="91" t="str">
        <x:v>https://en.wikipedia.org/wiki/Special:Search?search=Salvatore%20Puccio%20cyclist</x:v>
      </x:c>
    </x:row>
    <x:row r="38" ht="26" customHeight="1">
      <x:c r="A38" s="82" t="n">
        <x:v>34</x:v>
      </x:c>
      <x:c r="B38" s="82" t="str">
        <x:v>Nelson Oliveira</x:v>
      </x:c>
      <x:c r="C38" s="143" t="str"/>
      <x:c r="D38" s="82" t="str">
        <x:v>ポルトガル</x:v>
      </x:c>
      <x:c r="E38" s="82" t="str"/>
      <x:c r="F38" s="82" t="str"/>
      <x:c r="G38" s="82" t="str">
        <x:v>区分保留</x:v>
      </x:c>
      <x:c r="H38" s="82" t="str">
        <x:v>TT・ルーラー型</x:v>
      </x:c>
      <x:c r="I38" s="82" t="str">
        <x:v>総合型</x:v>
      </x:c>
      <x:c r="J38" s="85" t="n">
        <x:v>60</x:v>
      </x:c>
      <x:c r="K38" s="85" t="n">
        <x:v>77</x:v>
      </x:c>
      <x:c r="L38" s="91" t="str">
        <x:v>ロードキャプテン / 平坦ペースメーカー / 集団コントローラー</x:v>
      </x:c>
      <x:c r="M38" s="88" t="n">
        <x:v>2850</x:v>
      </x:c>
      <x:c r="N38" s="85" t="n">
        <x:v>64</x:v>
      </x:c>
      <x:c r="O38" s="85" t="n">
        <x:v>61</x:v>
      </x:c>
      <x:c r="P38" s="85" t="n">
        <x:v>64</x:v>
      </x:c>
      <x:c r="Q38" s="85" t="n">
        <x:v>72</x:v>
      </x:c>
      <x:c r="R38" s="85" t="n">
        <x:v>71</x:v>
      </x:c>
      <x:c r="S38" s="85" t="n">
        <x:v>69</x:v>
      </x:c>
      <x:c r="T38" s="85" t="n">
        <x:v>66</x:v>
      </x:c>
      <x:c r="U38" s="85" t="n">
        <x:v>69</x:v>
      </x:c>
      <x:c r="V38" s="85" t="n">
        <x:v>63</x:v>
      </x:c>
      <x:c r="W38" s="85" t="n">
        <x:v>64</x:v>
      </x:c>
      <x:c r="X38" s="85" t="n">
        <x:v>69</x:v>
      </x:c>
      <x:c r="Y38" s="85" t="n">
        <x:v>68</x:v>
      </x:c>
      <x:c r="Z38" s="85" t="n">
        <x:v>72</x:v>
      </x:c>
      <x:c r="AA38" s="85" t="n">
        <x:v>63</x:v>
      </x:c>
      <x:c r="AB38" s="85" t="n">
        <x:v>62</x:v>
      </x:c>
      <x:c r="AC38" s="91" t="str">
        <x:v>2026 WorldTeam外・現役／引退を断定せず保留</x:v>
      </x:c>
      <x:c r="AD38" s="91" t="str">
        <x:v>https://en.wikipedia.org/wiki/Special:Search?search=Nelson%20Oliveira%20cyclist</x:v>
      </x:c>
      <x:c r="AE38" s="91" t="str">
        <x:v>能力・適性・Credit整合済</x:v>
      </x:c>
      <x:c r="AF38" s="91" t="str">
        <x:v>https://en.wikipedia.org/wiki/Special:Search?search=Nelson%20Oliveira%20cyclist</x:v>
      </x:c>
    </x:row>
    <x:row r="39" ht="26" customHeight="1">
      <x:c r="A39" s="82" t="n">
        <x:v>35</x:v>
      </x:c>
      <x:c r="B39" s="82" t="str">
        <x:v>Nathan Van Hooydonck</x:v>
      </x:c>
      <x:c r="C39" s="143" t="str"/>
      <x:c r="D39" s="82" t="str">
        <x:v>ベルギー</x:v>
      </x:c>
      <x:c r="E39" s="82" t="str"/>
      <x:c r="F39" s="82" t="str"/>
      <x:c r="G39" s="82" t="str">
        <x:v>区分保留</x:v>
      </x:c>
      <x:c r="H39" s="82" t="str">
        <x:v>TT・ルーラー型</x:v>
      </x:c>
      <x:c r="I39" s="82" t="str">
        <x:v>クラシック型</x:v>
      </x:c>
      <x:c r="J39" s="85" t="n">
        <x:v>59</x:v>
      </x:c>
      <x:c r="K39" s="85" t="n">
        <x:v>79</x:v>
      </x:c>
      <x:c r="L39" s="91" t="str">
        <x:v>平坦アシスト / TT牽引 / 集団コントローラー / トラブル復帰牽引</x:v>
      </x:c>
      <x:c r="M39" s="88" t="n">
        <x:v>3000</x:v>
      </x:c>
      <x:c r="N39" s="85" t="n">
        <x:v>68</x:v>
      </x:c>
      <x:c r="O39" s="85" t="n">
        <x:v>67</x:v>
      </x:c>
      <x:c r="P39" s="85" t="n">
        <x:v>66</x:v>
      </x:c>
      <x:c r="Q39" s="85" t="n">
        <x:v>75</x:v>
      </x:c>
      <x:c r="R39" s="85" t="n">
        <x:v>68</x:v>
      </x:c>
      <x:c r="S39" s="85" t="n">
        <x:v>70</x:v>
      </x:c>
      <x:c r="T39" s="85" t="n">
        <x:v>67</x:v>
      </x:c>
      <x:c r="U39" s="85" t="n">
        <x:v>71</x:v>
      </x:c>
      <x:c r="V39" s="85" t="n">
        <x:v>69</x:v>
      </x:c>
      <x:c r="W39" s="85" t="n">
        <x:v>69</x:v>
      </x:c>
      <x:c r="X39" s="85" t="n">
        <x:v>67</x:v>
      </x:c>
      <x:c r="Y39" s="85" t="n">
        <x:v>67</x:v>
      </x:c>
      <x:c r="Z39" s="85" t="n">
        <x:v>75</x:v>
      </x:c>
      <x:c r="AA39" s="85" t="n">
        <x:v>68</x:v>
      </x:c>
      <x:c r="AB39" s="85" t="n">
        <x:v>67</x:v>
      </x:c>
      <x:c r="AC39" s="91" t="str">
        <x:v>2026 WorldTeam外・現役／引退を断定せず保留</x:v>
      </x:c>
      <x:c r="AD39" s="91" t="str">
        <x:v>https://en.wikipedia.org/wiki/Special:Search?search=Nathan%20Van%20Hooydonck%20cyclist</x:v>
      </x:c>
      <x:c r="AE39" s="91" t="str">
        <x:v>能力・適性・Credit整合済</x:v>
      </x:c>
      <x:c r="AF39" s="91" t="str">
        <x:v>https://en.wikipedia.org/wiki/Special:Search?search=Nathan%20Van%20Hooydonck%20cyclist</x:v>
      </x:c>
    </x:row>
    <x:row r="40" ht="26" customHeight="1">
      <x:c r="A40" s="82" t="n">
        <x:v>36</x:v>
      </x:c>
      <x:c r="B40" s="82" t="str">
        <x:v>Jack Bauer</x:v>
      </x:c>
      <x:c r="C40" s="143" t="str"/>
      <x:c r="D40" s="82" t="str">
        <x:v>ニュージーランド</x:v>
      </x:c>
      <x:c r="E40" s="82" t="str"/>
      <x:c r="F40" s="82" t="str"/>
      <x:c r="G40" s="82" t="str">
        <x:v>区分保留</x:v>
      </x:c>
      <x:c r="H40" s="82" t="str">
        <x:v>TT・ルーラー型</x:v>
      </x:c>
      <x:c r="I40" s="82" t="str">
        <x:v>クラシック型</x:v>
      </x:c>
      <x:c r="J40" s="85" t="n">
        <x:v>59</x:v>
      </x:c>
      <x:c r="K40" s="85" t="n">
        <x:v>77</x:v>
      </x:c>
      <x:c r="L40" s="91" t="str">
        <x:v>TT牽引 / 集団コントローラー / トラブル復帰牽引 / 横風分断</x:v>
      </x:c>
      <x:c r="M40" s="88" t="n">
        <x:v>2850</x:v>
      </x:c>
      <x:c r="N40" s="85" t="n">
        <x:v>68</x:v>
      </x:c>
      <x:c r="O40" s="85" t="n">
        <x:v>66</x:v>
      </x:c>
      <x:c r="P40" s="85" t="n">
        <x:v>65</x:v>
      </x:c>
      <x:c r="Q40" s="85" t="n">
        <x:v>73</x:v>
      </x:c>
      <x:c r="R40" s="85" t="n">
        <x:v>68</x:v>
      </x:c>
      <x:c r="S40" s="85" t="n">
        <x:v>68</x:v>
      </x:c>
      <x:c r="T40" s="85" t="n">
        <x:v>67</x:v>
      </x:c>
      <x:c r="U40" s="85" t="n">
        <x:v>70</x:v>
      </x:c>
      <x:c r="V40" s="85" t="n">
        <x:v>68</x:v>
      </x:c>
      <x:c r="W40" s="85" t="n">
        <x:v>64</x:v>
      </x:c>
      <x:c r="X40" s="85" t="n">
        <x:v>66</x:v>
      </x:c>
      <x:c r="Y40" s="85" t="n">
        <x:v>66</x:v>
      </x:c>
      <x:c r="Z40" s="85" t="n">
        <x:v>74</x:v>
      </x:c>
      <x:c r="AA40" s="85" t="n">
        <x:v>66</x:v>
      </x:c>
      <x:c r="AB40" s="85" t="n">
        <x:v>67</x:v>
      </x:c>
      <x:c r="AC40" s="91" t="str">
        <x:v>2026 WorldTeam外・現役／引退を断定せず保留</x:v>
      </x:c>
      <x:c r="AD40" s="91" t="str">
        <x:v>https://en.wikipedia.org/wiki/Special:Search?search=Jack%20Bauer%20cyclist</x:v>
      </x:c>
      <x:c r="AE40" s="91" t="str">
        <x:v>能力・適性・Credit整合済</x:v>
      </x:c>
      <x:c r="AF40" s="91" t="str">
        <x:v>https://en.wikipedia.org/wiki/Special:Search?search=Jack%20Bauer%20cyclist</x:v>
      </x:c>
    </x:row>
    <x:row r="41" ht="26" customHeight="1">
      <x:c r="A41" s="82" t="n">
        <x:v>37</x:v>
      </x:c>
      <x:c r="B41" s="82" t="str">
        <x:v>Michael Hepburn</x:v>
      </x:c>
      <x:c r="C41" s="143" t="str"/>
      <x:c r="D41" s="82" t="str">
        <x:v>オーストラリア</x:v>
      </x:c>
      <x:c r="E41" s="82" t="str"/>
      <x:c r="F41" s="82" t="str"/>
      <x:c r="G41" s="82" t="str">
        <x:v>区分保留</x:v>
      </x:c>
      <x:c r="H41" s="82" t="str">
        <x:v>TT・ルーラー型</x:v>
      </x:c>
      <x:c r="I41" s="82" t="str">
        <x:v>クラシック型</x:v>
      </x:c>
      <x:c r="J41" s="85" t="n">
        <x:v>59</x:v>
      </x:c>
      <x:c r="K41" s="85" t="n">
        <x:v>77</x:v>
      </x:c>
      <x:c r="L41" s="91" t="str">
        <x:v>平坦ペースメーカー / TT牽引 / 集団コントローラー / トラブル復帰牽引</x:v>
      </x:c>
      <x:c r="M41" s="88" t="n">
        <x:v>2850</x:v>
      </x:c>
      <x:c r="N41" s="85" t="n">
        <x:v>68</x:v>
      </x:c>
      <x:c r="O41" s="85" t="n">
        <x:v>65</x:v>
      </x:c>
      <x:c r="P41" s="85" t="n">
        <x:v>62</x:v>
      </x:c>
      <x:c r="Q41" s="85" t="n">
        <x:v>72</x:v>
      </x:c>
      <x:c r="R41" s="85" t="n">
        <x:v>67</x:v>
      </x:c>
      <x:c r="S41" s="85" t="n">
        <x:v>67</x:v>
      </x:c>
      <x:c r="T41" s="85" t="n">
        <x:v>65</x:v>
      </x:c>
      <x:c r="U41" s="85" t="n">
        <x:v>69</x:v>
      </x:c>
      <x:c r="V41" s="85" t="n">
        <x:v>67</x:v>
      </x:c>
      <x:c r="W41" s="85" t="n">
        <x:v>64</x:v>
      </x:c>
      <x:c r="X41" s="85" t="n">
        <x:v>65</x:v>
      </x:c>
      <x:c r="Y41" s="85" t="n">
        <x:v>64</x:v>
      </x:c>
      <x:c r="Z41" s="85" t="n">
        <x:v>73</x:v>
      </x:c>
      <x:c r="AA41" s="85" t="n">
        <x:v>65</x:v>
      </x:c>
      <x:c r="AB41" s="85" t="n">
        <x:v>64</x:v>
      </x:c>
      <x:c r="AC41" s="91" t="str">
        <x:v>2026 WorldTeam外・現役／引退を断定せず保留</x:v>
      </x:c>
      <x:c r="AD41" s="91" t="str">
        <x:v>https://en.wikipedia.org/wiki/Special:Search?search=Michael%20Hepburn%20cyclist</x:v>
      </x:c>
      <x:c r="AE41" s="91" t="str">
        <x:v>能力・適性・Credit整合済</x:v>
      </x:c>
      <x:c r="AF41" s="91" t="str">
        <x:v>https://en.wikipedia.org/wiki/Special:Search?search=Michael%20Hepburn%20cyclist</x:v>
      </x:c>
    </x:row>
    <x:row r="42" ht="26" customHeight="1">
      <x:c r="A42" s="82" t="n">
        <x:v>38</x:v>
      </x:c>
      <x:c r="B42" s="82" t="str">
        <x:v>Luke Rowe</x:v>
      </x:c>
      <x:c r="C42" s="143" t="str"/>
      <x:c r="D42" s="82" t="str">
        <x:v>イギリス</x:v>
      </x:c>
      <x:c r="E42" s="82" t="str"/>
      <x:c r="F42" s="82" t="str"/>
      <x:c r="G42" s="82" t="str">
        <x:v>区分保留</x:v>
      </x:c>
      <x:c r="H42" s="82" t="str">
        <x:v>クラシック型</x:v>
      </x:c>
      <x:c r="I42" s="82" t="str">
        <x:v>TT・ルーラー型</x:v>
      </x:c>
      <x:c r="J42" s="85" t="n">
        <x:v>57</x:v>
      </x:c>
      <x:c r="K42" s="85" t="n">
        <x:v>82</x:v>
      </x:c>
      <x:c r="L42" s="91" t="str">
        <x:v>ロードキャプテン / 平坦アシスト / 石畳護衛 / 横風要員 / 横風分断</x:v>
      </x:c>
      <x:c r="M42" s="88" t="n">
        <x:v>3300</x:v>
      </x:c>
      <x:c r="N42" s="85" t="n">
        <x:v>67</x:v>
      </x:c>
      <x:c r="O42" s="85" t="n">
        <x:v>69</x:v>
      </x:c>
      <x:c r="P42" s="85" t="n">
        <x:v>72</x:v>
      </x:c>
      <x:c r="Q42" s="85" t="n">
        <x:v>69</x:v>
      </x:c>
      <x:c r="R42" s="85" t="n">
        <x:v>65</x:v>
      </x:c>
      <x:c r="S42" s="85" t="n">
        <x:v>67</x:v>
      </x:c>
      <x:c r="T42" s="85" t="n">
        <x:v>74</x:v>
      </x:c>
      <x:c r="U42" s="85" t="n">
        <x:v>77</x:v>
      </x:c>
      <x:c r="V42" s="85" t="n">
        <x:v>80</x:v>
      </x:c>
      <x:c r="W42" s="85" t="n">
        <x:v>78</x:v>
      </x:c>
      <x:c r="X42" s="85" t="n">
        <x:v>71</x:v>
      </x:c>
      <x:c r="Y42" s="85" t="n">
        <x:v>70</x:v>
      </x:c>
      <x:c r="Z42" s="85" t="n">
        <x:v>80</x:v>
      </x:c>
      <x:c r="AA42" s="85" t="n">
        <x:v>60</x:v>
      </x:c>
      <x:c r="AB42" s="85" t="n">
        <x:v>74</x:v>
      </x:c>
      <x:c r="AC42" s="91" t="str">
        <x:v>2026 WorldTeam外・現役／引退を断定せず保留</x:v>
      </x:c>
      <x:c r="AD42" s="91" t="str">
        <x:v>https://en.wikipedia.org/wiki/Special:Search?search=Luke%20Rowe%20cyclist</x:v>
      </x:c>
      <x:c r="AE42" s="91" t="str">
        <x:v>能力・適性・Credit整合済</x:v>
      </x:c>
      <x:c r="AF42" s="91" t="str">
        <x:v>https://en.wikipedia.org/wiki/Special:Search?search=Luke%20Rowe%20cyclist</x:v>
      </x:c>
    </x:row>
    <x:row r="43" ht="26" customHeight="1">
      <x:c r="A43" s="82" t="n">
        <x:v>39</x:v>
      </x:c>
      <x:c r="B43" s="82" t="str">
        <x:v>Simon Geschke</x:v>
      </x:c>
      <x:c r="C43" s="143" t="str"/>
      <x:c r="D43" s="82" t="str">
        <x:v>ドイツ</x:v>
      </x:c>
      <x:c r="E43" s="82" t="str"/>
      <x:c r="F43" s="82" t="str"/>
      <x:c r="G43" s="82" t="str">
        <x:v>区分保留</x:v>
      </x:c>
      <x:c r="H43" s="82" t="str">
        <x:v>クラシック型</x:v>
      </x:c>
      <x:c r="I43" s="82" t="str">
        <x:v>TT・ルーラー型</x:v>
      </x:c>
      <x:c r="J43" s="85" t="n">
        <x:v>55</x:v>
      </x:c>
      <x:c r="K43" s="85" t="n">
        <x:v>78</x:v>
      </x:c>
      <x:c r="L43" s="91" t="str">
        <x:v>ロードキャプテン / 平坦アシスト / 石畳護衛 / 横風要員 / 逃げ屋 / 横風分断</x:v>
      </x:c>
      <x:c r="M43" s="88" t="n">
        <x:v>2800</x:v>
      </x:c>
      <x:c r="N43" s="85" t="n">
        <x:v>73</x:v>
      </x:c>
      <x:c r="O43" s="85" t="n">
        <x:v>71</x:v>
      </x:c>
      <x:c r="P43" s="85" t="n">
        <x:v>73</x:v>
      </x:c>
      <x:c r="Q43" s="85" t="n">
        <x:v>69</x:v>
      </x:c>
      <x:c r="R43" s="85" t="n">
        <x:v>65</x:v>
      </x:c>
      <x:c r="S43" s="85" t="n">
        <x:v>67</x:v>
      </x:c>
      <x:c r="T43" s="85" t="n">
        <x:v>71</x:v>
      </x:c>
      <x:c r="U43" s="85" t="n">
        <x:v>76</x:v>
      </x:c>
      <x:c r="V43" s="85" t="n">
        <x:v>76</x:v>
      </x:c>
      <x:c r="W43" s="85" t="n">
        <x:v>50</x:v>
      </x:c>
      <x:c r="X43" s="85" t="n">
        <x:v>67</x:v>
      </x:c>
      <x:c r="Y43" s="85" t="n">
        <x:v>67</x:v>
      </x:c>
      <x:c r="Z43" s="85" t="n">
        <x:v>71</x:v>
      </x:c>
      <x:c r="AA43" s="85" t="n">
        <x:v>69</x:v>
      </x:c>
      <x:c r="AB43" s="85" t="n">
        <x:v>72</x:v>
      </x:c>
      <x:c r="AC43" s="91" t="str">
        <x:v>2026 WorldTeam外・現役／引退を断定せず保留</x:v>
      </x:c>
      <x:c r="AD43" s="91" t="str">
        <x:v>https://en.wikipedia.org/wiki/Special:Search?search=Simon%20Geschke%20cyclist</x:v>
      </x:c>
      <x:c r="AE43" s="91" t="str">
        <x:v>能力・適性・Credit整合済</x:v>
      </x:c>
      <x:c r="AF43" s="91" t="str">
        <x:v>https://en.wikipedia.org/wiki/Special:Search?search=Simon%20Geschke%20cyclist</x:v>
      </x:c>
    </x:row>
    <x:row r="44" ht="26" customHeight="1">
      <x:c r="A44" s="83" t="n">
        <x:v>40</x:v>
      </x:c>
      <x:c r="B44" s="83" t="str">
        <x:v>Yukiya Arashiro</x:v>
      </x:c>
      <x:c r="C44" s="143" t="str"/>
      <x:c r="D44" s="83" t="str">
        <x:v>日本</x:v>
      </x:c>
      <x:c r="E44" s="83" t="str"/>
      <x:c r="F44" s="83" t="str"/>
      <x:c r="G44" s="83" t="str">
        <x:v>区分保留</x:v>
      </x:c>
      <x:c r="H44" s="83" t="str">
        <x:v>クラシック型</x:v>
      </x:c>
      <x:c r="I44" s="83" t="str">
        <x:v>パンチャー</x:v>
      </x:c>
      <x:c r="J44" s="86" t="n">
        <x:v>55</x:v>
      </x:c>
      <x:c r="K44" s="86" t="n">
        <x:v>80</x:v>
      </x:c>
      <x:c r="L44" s="92" t="str">
        <x:v>ロードキャプテン / 平坦アシスト / 石畳護衛</x:v>
      </x:c>
      <x:c r="M44" s="89" t="n">
        <x:v>2800</x:v>
      </x:c>
      <x:c r="N44" s="86" t="n">
        <x:v>65</x:v>
      </x:c>
      <x:c r="O44" s="86" t="n">
        <x:v>69</x:v>
      </x:c>
      <x:c r="P44" s="86" t="n">
        <x:v>72</x:v>
      </x:c>
      <x:c r="Q44" s="86" t="n">
        <x:v>68</x:v>
      </x:c>
      <x:c r="R44" s="86" t="n">
        <x:v>67</x:v>
      </x:c>
      <x:c r="S44" s="86" t="n">
        <x:v>70</x:v>
      </x:c>
      <x:c r="T44" s="86" t="n">
        <x:v>72</x:v>
      </x:c>
      <x:c r="U44" s="86" t="n">
        <x:v>68</x:v>
      </x:c>
      <x:c r="V44" s="86" t="n">
        <x:v>74</x:v>
      </x:c>
      <x:c r="W44" s="86" t="n">
        <x:v>57</x:v>
      </x:c>
      <x:c r="X44" s="86" t="n">
        <x:v>72</x:v>
      </x:c>
      <x:c r="Y44" s="86" t="n">
        <x:v>72</x:v>
      </x:c>
      <x:c r="Z44" s="86" t="n">
        <x:v>76</x:v>
      </x:c>
      <x:c r="AA44" s="86" t="n">
        <x:v>57</x:v>
      </x:c>
      <x:c r="AB44" s="86" t="n">
        <x:v>73</x:v>
      </x:c>
      <x:c r="AC44" s="92" t="str">
        <x:v>2026 WorldTeam外・現役／引退を断定せず保留</x:v>
      </x:c>
      <x:c r="AD44" s="92" t="str">
        <x:v>https://en.wikipedia.org/wiki/Special:Search?search=Yukiya%20Arashiro%20cyclist</x:v>
      </x:c>
      <x:c r="AE44" s="92" t="str">
        <x:v>能力・適性・Credit整合済</x:v>
      </x:c>
      <x:c r="AF44" s="92" t="str">
        <x:v>https://en.wikipedia.org/wiki/Special:Search?search=Yukiya%20Arashiro%20cyclist</x:v>
      </x:c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8f72ee612079461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3" hidden="0" customWidth="1"/>
  </x:cols>
  <x:sheetData>
    <x:row r="1" ht="34" customHeight="1">
      <x:c r="A1" s="106" t="str">
        <x:v>能力値の固定・再編成ルール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</x:row>
    <x:row r="2" ht="34" customHeight="1">
      <x:c r="A2" s="109" t="str">
        <x:v>世界選手権ロード・個人TT表彰台を補正後、能力別順位上限を適用。85は各能力最大2名・1選手最大2項目です。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 ht="26" customHeight="1"/>
    <x:row r="4" ht="26" customHeight="1">
      <x:c r="A4" s="116" t="str">
        <x:v>主脚質</x:v>
      </x:c>
      <x:c r="B4" s="120" t="str">
        <x:v>スプリント</x:v>
      </x:c>
      <x:c r="C4" s="120" t="str">
        <x:v>加速力</x:v>
      </x:c>
      <x:c r="D4" s="120" t="str">
        <x:v>パンチ力</x:v>
      </x:c>
      <x:c r="E4" s="120" t="str">
        <x:v>巡航力</x:v>
      </x:c>
      <x:c r="F4" s="120" t="str">
        <x:v>登坂力</x:v>
      </x:c>
      <x:c r="G4" s="120" t="str">
        <x:v>持久力</x:v>
      </x:c>
      <x:c r="H4" s="120" t="str">
        <x:v>耐性</x:v>
      </x:c>
      <x:c r="I4" s="120" t="str">
        <x:v>技術</x:v>
      </x:c>
      <x:c r="J4" s="120" t="str">
        <x:v>バイクコントロール</x:v>
      </x:c>
      <x:c r="K4" s="120" t="str">
        <x:v>パヴェ</x:v>
      </x:c>
      <x:c r="L4" s="120" t="str">
        <x:v>回復力</x:v>
      </x:c>
      <x:c r="M4" s="120" t="str">
        <x:v>日間回復力</x:v>
      </x:c>
      <x:c r="N4" s="120" t="str">
        <x:v>チームワーク</x:v>
      </x:c>
      <x:c r="O4" s="120" t="str">
        <x:v>エゴ</x:v>
      </x:c>
      <x:c r="P4" s="117" t="str">
        <x:v>負けん気</x:v>
      </x:c>
    </x:row>
    <x:row r="5" ht="26" customHeight="1">
      <x:c r="A5" s="81" t="str">
        <x:v>総合型</x:v>
      </x:c>
      <x:c r="B5" s="84" t="n">
        <x:v>58</x:v>
      </x:c>
      <x:c r="C5" s="84" t="n">
        <x:v>72</x:v>
      </x:c>
      <x:c r="D5" s="84" t="n">
        <x:v>75</x:v>
      </x:c>
      <x:c r="E5" s="84" t="n">
        <x:v>78</x:v>
      </x:c>
      <x:c r="F5" s="84" t="n">
        <x:v>82</x:v>
      </x:c>
      <x:c r="G5" s="84" t="n">
        <x:v>82</x:v>
      </x:c>
      <x:c r="H5" s="84" t="n">
        <x:v>81</x:v>
      </x:c>
      <x:c r="I5" s="84" t="n">
        <x:v>78</x:v>
      </x:c>
      <x:c r="J5" s="84" t="n">
        <x:v>76</x:v>
      </x:c>
      <x:c r="K5" s="84" t="n">
        <x:v>50</x:v>
      </x:c>
      <x:c r="L5" s="84" t="n">
        <x:v>82</x:v>
      </x:c>
      <x:c r="M5" s="84" t="n">
        <x:v>83</x:v>
      </x:c>
      <x:c r="N5" s="84" t="n">
        <x:v>75</x:v>
      </x:c>
      <x:c r="O5" s="84" t="n">
        <x:v>75</x:v>
      </x:c>
      <x:c r="P5" s="84" t="n">
        <x:v>80</x:v>
      </x:c>
    </x:row>
    <x:row r="6" ht="26" customHeight="1">
      <x:c r="A6" s="82" t="str">
        <x:v>スプリンター</x:v>
      </x:c>
      <x:c r="B6" s="85" t="n">
        <x:v>83</x:v>
      </x:c>
      <x:c r="C6" s="85" t="n">
        <x:v>82</x:v>
      </x:c>
      <x:c r="D6" s="85" t="n">
        <x:v>70</x:v>
      </x:c>
      <x:c r="E6" s="85" t="n">
        <x:v>76</x:v>
      </x:c>
      <x:c r="F6" s="85" t="n">
        <x:v>55</x:v>
      </x:c>
      <x:c r="G6" s="85" t="n">
        <x:v>75</x:v>
      </x:c>
      <x:c r="H6" s="85" t="n">
        <x:v>77</x:v>
      </x:c>
      <x:c r="I6" s="85" t="n">
        <x:v>80</x:v>
      </x:c>
      <x:c r="J6" s="85" t="n">
        <x:v>74</x:v>
      </x:c>
      <x:c r="K6" s="85" t="n">
        <x:v>50</x:v>
      </x:c>
      <x:c r="L6" s="85" t="n">
        <x:v>74</x:v>
      </x:c>
      <x:c r="M6" s="85" t="n">
        <x:v>73</x:v>
      </x:c>
      <x:c r="N6" s="85" t="n">
        <x:v>72</x:v>
      </x:c>
      <x:c r="O6" s="85" t="n">
        <x:v>80</x:v>
      </x:c>
      <x:c r="P6" s="85" t="n">
        <x:v>78</x:v>
      </x:c>
    </x:row>
    <x:row r="7" ht="26" customHeight="1">
      <x:c r="A7" s="82" t="str">
        <x:v>クライマー</x:v>
      </x:c>
      <x:c r="B7" s="85" t="n">
        <x:v>55</x:v>
      </x:c>
      <x:c r="C7" s="85" t="n">
        <x:v>75</x:v>
      </x:c>
      <x:c r="D7" s="85" t="n">
        <x:v>78</x:v>
      </x:c>
      <x:c r="E7" s="85" t="n">
        <x:v>68</x:v>
      </x:c>
      <x:c r="F7" s="85" t="n">
        <x:v>84</x:v>
      </x:c>
      <x:c r="G7" s="85" t="n">
        <x:v>82</x:v>
      </x:c>
      <x:c r="H7" s="85" t="n">
        <x:v>82</x:v>
      </x:c>
      <x:c r="I7" s="85" t="n">
        <x:v>73</x:v>
      </x:c>
      <x:c r="J7" s="85" t="n">
        <x:v>76</x:v>
      </x:c>
      <x:c r="K7" s="85" t="n">
        <x:v>50</x:v>
      </x:c>
      <x:c r="L7" s="85" t="n">
        <x:v>80</x:v>
      </x:c>
      <x:c r="M7" s="85" t="n">
        <x:v>81</x:v>
      </x:c>
      <x:c r="N7" s="85" t="n">
        <x:v>74</x:v>
      </x:c>
      <x:c r="O7" s="85" t="n">
        <x:v>74</x:v>
      </x:c>
      <x:c r="P7" s="85" t="n">
        <x:v>81</x:v>
      </x:c>
    </x:row>
    <x:row r="8" ht="26" customHeight="1">
      <x:c r="A8" s="82" t="str">
        <x:v>パンチャー</x:v>
      </x:c>
      <x:c r="B8" s="85" t="n">
        <x:v>72</x:v>
      </x:c>
      <x:c r="C8" s="85" t="n">
        <x:v>82</x:v>
      </x:c>
      <x:c r="D8" s="85" t="n">
        <x:v>84</x:v>
      </x:c>
      <x:c r="E8" s="85" t="n">
        <x:v>75</x:v>
      </x:c>
      <x:c r="F8" s="85" t="n">
        <x:v>76</x:v>
      </x:c>
      <x:c r="G8" s="85" t="n">
        <x:v>79</x:v>
      </x:c>
      <x:c r="H8" s="85" t="n">
        <x:v>81</x:v>
      </x:c>
      <x:c r="I8" s="85" t="n">
        <x:v>79</x:v>
      </x:c>
      <x:c r="J8" s="85" t="n">
        <x:v>80</x:v>
      </x:c>
      <x:c r="K8" s="85" t="n">
        <x:v>50</x:v>
      </x:c>
      <x:c r="L8" s="85" t="n">
        <x:v>78</x:v>
      </x:c>
      <x:c r="M8" s="85" t="n">
        <x:v>78</x:v>
      </x:c>
      <x:c r="N8" s="85" t="n">
        <x:v>72</x:v>
      </x:c>
      <x:c r="O8" s="85" t="n">
        <x:v>78</x:v>
      </x:c>
      <x:c r="P8" s="85" t="n">
        <x:v>82</x:v>
      </x:c>
    </x:row>
    <x:row r="9" ht="26" customHeight="1">
      <x:c r="A9" s="82" t="str">
        <x:v>クラシック型</x:v>
      </x:c>
      <x:c r="B9" s="85" t="n">
        <x:v>75</x:v>
      </x:c>
      <x:c r="C9" s="85" t="n">
        <x:v>78</x:v>
      </x:c>
      <x:c r="D9" s="85" t="n">
        <x:v>79</x:v>
      </x:c>
      <x:c r="E9" s="85" t="n">
        <x:v>81</x:v>
      </x:c>
      <x:c r="F9" s="85" t="n">
        <x:v>65</x:v>
      </x:c>
      <x:c r="G9" s="85" t="n">
        <x:v>83</x:v>
      </x:c>
      <x:c r="H9" s="85" t="n">
        <x:v>84</x:v>
      </x:c>
      <x:c r="I9" s="85" t="n">
        <x:v>82</x:v>
      </x:c>
      <x:c r="J9" s="85" t="n">
        <x:v>83</x:v>
      </x:c>
      <x:c r="K9" s="85" t="n">
        <x:v>50</x:v>
      </x:c>
      <x:c r="L9" s="85" t="n">
        <x:v>78</x:v>
      </x:c>
      <x:c r="M9" s="85" t="n">
        <x:v>78</x:v>
      </x:c>
      <x:c r="N9" s="85" t="n">
        <x:v>77</x:v>
      </x:c>
      <x:c r="O9" s="85" t="n">
        <x:v>77</x:v>
      </x:c>
      <x:c r="P9" s="85" t="n">
        <x:v>83</x:v>
      </x:c>
    </x:row>
    <x:row r="10" ht="26" customHeight="1">
      <x:c r="A10" s="83" t="str">
        <x:v>TT・ルーラー型</x:v>
      </x:c>
      <x:c r="B10" s="86" t="n">
        <x:v>66</x:v>
      </x:c>
      <x:c r="C10" s="86" t="n">
        <x:v>70</x:v>
      </x:c>
      <x:c r="D10" s="86" t="n">
        <x:v>68</x:v>
      </x:c>
      <x:c r="E10" s="86" t="n">
        <x:v>84</x:v>
      </x:c>
      <x:c r="F10" s="86" t="n">
        <x:v>69</x:v>
      </x:c>
      <x:c r="G10" s="86" t="n">
        <x:v>83</x:v>
      </x:c>
      <x:c r="H10" s="86" t="n">
        <x:v>82</x:v>
      </x:c>
      <x:c r="I10" s="86" t="n">
        <x:v>82</x:v>
      </x:c>
      <x:c r="J10" s="86" t="n">
        <x:v>79</x:v>
      </x:c>
      <x:c r="K10" s="86" t="n">
        <x:v>50</x:v>
      </x:c>
      <x:c r="L10" s="86" t="n">
        <x:v>77</x:v>
      </x:c>
      <x:c r="M10" s="86" t="n">
        <x:v>77</x:v>
      </x:c>
      <x:c r="N10" s="86" t="n">
        <x:v>81</x:v>
      </x:c>
      <x:c r="O10" s="86" t="n">
        <x:v>70</x:v>
      </x:c>
      <x:c r="P10" s="86" t="n">
        <x:v>78</x:v>
      </x:c>
    </x:row>
    <x:row r="11" ht="26" customHeight="1"/>
    <x:row r="12" ht="26" customHeight="1"/>
    <x:row r="13" ht="26" customHeight="1">
      <x:c r="A13" s="116" t="str">
        <x:v>パリ〜ルーベ基準</x:v>
      </x:c>
      <x:c r="B13" s="120" t="str">
        <x:v>基準値</x:v>
      </x:c>
      <x:c r="C13" s="120" t="str">
        <x:v>追加評価</x:v>
      </x:c>
      <x:c r="D13" s="120" t="str">
        <x:v>上限</x:v>
      </x:c>
      <x:c r="E13" s="117" t="str">
        <x:v>検証状態</x:v>
      </x:c>
      <x:c r="G13" s="116" t="str">
        <x:v>能力別順位</x:v>
      </x:c>
      <x:c r="H13" s="120" t="str">
        <x:v>上限</x:v>
      </x:c>
      <x:c r="I13" s="120" t="str">
        <x:v>300名比率</x:v>
      </x:c>
      <x:c r="J13" s="117" t="str">
        <x:v>備考</x:v>
      </x:c>
    </x:row>
    <x:row r="14" ht="26" customHeight="1">
      <x:c r="A14" s="81" t="str">
        <x:v>4勝以上</x:v>
      </x:c>
      <x:c r="B14" s="81" t="n">
        <x:v>85</x:v>
      </x:c>
      <x:c r="C14" s="81" t="str">
        <x:v>なし</x:v>
      </x:c>
      <x:c r="D14" s="81" t="n">
        <x:v>85</x:v>
      </x:c>
      <x:c r="E14" s="81" t="str">
        <x:v>確定</x:v>
      </x:c>
      <x:c r="G14" s="81" t="str">
        <x:v>1〜2位</x:v>
      </x:c>
      <x:c r="H14" s="81" t="n">
        <x:v>85</x:v>
      </x:c>
      <x:c r="I14" s="81" t="str">
        <x:v>上位0.7%</x:v>
      </x:c>
      <x:c r="J14" s="81" t="str">
        <x:v>元値85のみ</x:v>
      </x:c>
    </x:row>
    <x:row r="15" ht="26" customHeight="1">
      <x:c r="A15" s="82" t="str">
        <x:v>3勝</x:v>
      </x:c>
      <x:c r="B15" s="82" t="n">
        <x:v>84</x:v>
      </x:c>
      <x:c r="C15" s="82" t="str">
        <x:v>なし</x:v>
      </x:c>
      <x:c r="D15" s="82" t="n">
        <x:v>85</x:v>
      </x:c>
      <x:c r="E15" s="82" t="str">
        <x:v>確定</x:v>
      </x:c>
      <x:c r="G15" s="82" t="str">
        <x:v>3〜6位</x:v>
      </x:c>
      <x:c r="H15" s="82" t="n">
        <x:v>84</x:v>
      </x:c>
      <x:c r="I15" s="82" t="str">
        <x:v>上位2%</x:v>
      </x:c>
      <x:c r="J15" s="82" t="str"/>
    </x:row>
    <x:row r="16" ht="26" customHeight="1">
      <x:c r="A16" s="82" t="str">
        <x:v>2勝</x:v>
      </x:c>
      <x:c r="B16" s="82" t="n">
        <x:v>83</x:v>
      </x:c>
      <x:c r="C16" s="82" t="str">
        <x:v>なし</x:v>
      </x:c>
      <x:c r="D16" s="82" t="n">
        <x:v>85</x:v>
      </x:c>
      <x:c r="E16" s="82" t="str">
        <x:v>確定</x:v>
      </x:c>
      <x:c r="G16" s="82" t="str">
        <x:v>7〜15位</x:v>
      </x:c>
      <x:c r="H16" s="82" t="n">
        <x:v>83</x:v>
      </x:c>
      <x:c r="I16" s="82" t="str">
        <x:v>上位5%</x:v>
      </x:c>
      <x:c r="J16" s="82" t="str"/>
    </x:row>
    <x:row r="17" ht="26" customHeight="1">
      <x:c r="A17" s="82" t="str">
        <x:v>1勝</x:v>
      </x:c>
      <x:c r="B17" s="82" t="n">
        <x:v>82</x:v>
      </x:c>
      <x:c r="C17" s="82" t="str">
        <x:v>上位回数</x:v>
      </x:c>
      <x:c r="D17" s="82" t="n">
        <x:v>84</x:v>
      </x:c>
      <x:c r="E17" s="82" t="str">
        <x:v>確定</x:v>
      </x:c>
      <x:c r="G17" s="82" t="str">
        <x:v>16〜30位</x:v>
      </x:c>
      <x:c r="H17" s="82" t="n">
        <x:v>82</x:v>
      </x:c>
      <x:c r="I17" s="82" t="str">
        <x:v>上位10%</x:v>
      </x:c>
      <x:c r="J17" s="82" t="str"/>
    </x:row>
    <x:row r="18" ht="26" customHeight="1">
      <x:c r="A18" s="82" t="str">
        <x:v>2〜3位</x:v>
      </x:c>
      <x:c r="B18" s="82" t="n">
        <x:v>80</x:v>
      </x:c>
      <x:c r="C18" s="82" t="str">
        <x:v>Top10・完走</x:v>
      </x:c>
      <x:c r="D18" s="82" t="n">
        <x:v>82</x:v>
      </x:c>
      <x:c r="E18" s="82" t="str">
        <x:v>照合済</x:v>
      </x:c>
      <x:c r="G18" s="82" t="str">
        <x:v>31〜54位</x:v>
      </x:c>
      <x:c r="H18" s="82" t="n">
        <x:v>81</x:v>
      </x:c>
      <x:c r="I18" s="82" t="str">
        <x:v>上位18%</x:v>
      </x:c>
      <x:c r="J18" s="82" t="str"/>
    </x:row>
    <x:row r="19" ht="26" customHeight="1">
      <x:c r="A19" s="82" t="str">
        <x:v>4〜5位</x:v>
      </x:c>
      <x:c r="B19" s="82" t="n">
        <x:v>78</x:v>
      </x:c>
      <x:c r="C19" s="82" t="str">
        <x:v>Top10・完走</x:v>
      </x:c>
      <x:c r="D19" s="82" t="n">
        <x:v>80</x:v>
      </x:c>
      <x:c r="E19" s="82" t="str">
        <x:v>照合済</x:v>
      </x:c>
      <x:c r="G19" s="82" t="str">
        <x:v>55〜84位</x:v>
      </x:c>
      <x:c r="H19" s="82" t="n">
        <x:v>80</x:v>
      </x:c>
      <x:c r="I19" s="82" t="str">
        <x:v>上位28%</x:v>
      </x:c>
      <x:c r="J19" s="82" t="str"/>
    </x:row>
    <x:row r="20" ht="26" customHeight="1">
      <x:c r="A20" s="82" t="str">
        <x:v>6〜10位</x:v>
      </x:c>
      <x:c r="B20" s="82" t="n">
        <x:v>76</x:v>
      </x:c>
      <x:c r="C20" s="82" t="str">
        <x:v>Top10・完走</x:v>
      </x:c>
      <x:c r="D20" s="82" t="n">
        <x:v>78</x:v>
      </x:c>
      <x:c r="E20" s="82" t="str">
        <x:v>照合済</x:v>
      </x:c>
      <x:c r="G20" s="82" t="str">
        <x:v>85〜120位</x:v>
      </x:c>
      <x:c r="H20" s="82" t="n">
        <x:v>79</x:v>
      </x:c>
      <x:c r="I20" s="82" t="str">
        <x:v>上位40%</x:v>
      </x:c>
      <x:c r="J20" s="82" t="str"/>
    </x:row>
    <x:row r="21" ht="26" customHeight="1">
      <x:c r="A21" s="82" t="str">
        <x:v>11〜50位</x:v>
      </x:c>
      <x:c r="B21" s="82" t="n">
        <x:v>69</x:v>
      </x:c>
      <x:c r="C21" s="82" t="str">
        <x:v>順位帯で73まで</x:v>
      </x:c>
      <x:c r="D21" s="82" t="n">
        <x:v>75</x:v>
      </x:c>
      <x:c r="E21" s="82" t="str">
        <x:v>照合済</x:v>
      </x:c>
      <x:c r="G21" s="83" t="str">
        <x:v>121位以下</x:v>
      </x:c>
      <x:c r="H21" s="83" t="str">
        <x:v>78以下</x:v>
      </x:c>
      <x:c r="I21" s="83" t="str"/>
      <x:c r="J21" s="83" t="str">
        <x:v>実績補正後に上限適用</x:v>
      </x:c>
    </x:row>
    <x:row r="22" ht="26" customHeight="1">
      <x:c r="A22" s="83" t="str">
        <x:v>51位以下</x:v>
      </x:c>
      <x:c r="B22" s="83" t="n">
        <x:v>64</x:v>
      </x:c>
      <x:c r="C22" s="83" t="str">
        <x:v>完走回数</x:v>
      </x:c>
      <x:c r="D22" s="83" t="n">
        <x:v>66</x:v>
      </x:c>
      <x:c r="E22" s="83" t="str">
        <x:v>照合済</x:v>
      </x:c>
    </x:row>
    <x:row r="23" ht="26" customHeight="1">
      <x:c r="G23" s="81" t="str">
        <x:v>85追加条件</x:v>
      </x:c>
      <x:c r="H23" s="81" t="str">
        <x:v>各能力最大2名</x:v>
      </x:c>
      <x:c r="I23" s="81" t="str">
        <x:v>1選手最大2項目</x:v>
      </x:c>
      <x:c r="J23" s="81" t="str">
        <x:v>パヴェは対象外</x:v>
      </x:c>
    </x:row>
    <x:row r="24" ht="26" customHeight="1">
      <x:c r="A24" s="81" t="str">
        <x:v>完走順位なし</x:v>
      </x:c>
      <x:c r="B24" s="81" t="n">
        <x:v>50</x:v>
      </x:c>
      <x:c r="C24" s="81" t="str">
        <x:v>出走確認後DNFなら57</x:v>
      </x:c>
      <x:c r="D24" s="81" t="n">
        <x:v>57</x:v>
      </x:c>
      <x:c r="E24" s="81" t="str">
        <x:v>要確認</x:v>
      </x:c>
      <x:c r="G24" s="82" t="str">
        <x:v>同点順位</x:v>
      </x:c>
      <x:c r="H24" s="82" t="str">
        <x:v>関連能力</x:v>
      </x:c>
      <x:c r="I24" s="82" t="str">
        <x:v>適性</x:v>
      </x:c>
      <x:c r="J24" s="82" t="str">
        <x:v>Credit</x:v>
      </x:c>
    </x:row>
    <x:row r="25" ht="26" customHeight="1">
      <x:c r="A25" s="83" t="str">
        <x:v>プロトタイプ9名</x:v>
      </x:c>
      <x:c r="B25" s="83" t="str">
        <x:v>手動値</x:v>
      </x:c>
      <x:c r="C25" s="83" t="str">
        <x:v>app.jsを正本</x:v>
      </x:c>
      <x:c r="D25" s="83" t="n">
        <x:v>85</x:v>
      </x:c>
      <x:c r="E25" s="83" t="str">
        <x:v>手動検証済</x:v>
      </x:c>
      <x:c r="G25" s="83" t="str">
        <x:v>実績補正</x:v>
      </x:c>
      <x:c r="H25" s="83" t="str">
        <x:v>世界ロード</x:v>
      </x:c>
      <x:c r="I25" s="83" t="str">
        <x:v>世界ITT</x:v>
      </x:c>
      <x:c r="J25" s="83" t="str">
        <x:v>上限適用前</x:v>
      </x:c>
    </x:row>
    <x:row r="26" ht="26" customHeight="1"/>
    <x:row r="27" ht="26" customHeight="1">
      <x:c r="A27" s="116" t="str">
        <x:v>ロンド優勝</x:v>
      </x:c>
      <x:c r="B27" s="120" t="str">
        <x:v>最低パヴェ</x:v>
      </x:c>
      <x:c r="C27" s="120" t="str">
        <x:v>加点</x:v>
      </x:c>
      <x:c r="D27" s="120" t="str">
        <x:v>上限</x:v>
      </x:c>
      <x:c r="E27" s="117" t="str">
        <x:v>扱い</x:v>
      </x:c>
    </x:row>
    <x:row r="28" ht="26" customHeight="1">
      <x:c r="A28" s="81" t="str">
        <x:v>1勝</x:v>
      </x:c>
      <x:c r="B28" s="81" t="n">
        <x:v>76</x:v>
      </x:c>
      <x:c r="C28" s="81" t="str">
        <x:v>+1</x:v>
      </x:c>
      <x:c r="D28" s="81" t="n">
        <x:v>85</x:v>
      </x:c>
      <x:c r="E28" s="81" t="str">
        <x:v>加点＋最低保証</x:v>
      </x:c>
    </x:row>
    <x:row r="29" ht="26" customHeight="1">
      <x:c r="A29" s="82" t="str">
        <x:v>2勝</x:v>
      </x:c>
      <x:c r="B29" s="82" t="n">
        <x:v>78</x:v>
      </x:c>
      <x:c r="C29" s="82" t="str">
        <x:v>+2</x:v>
      </x:c>
      <x:c r="D29" s="82" t="n">
        <x:v>85</x:v>
      </x:c>
      <x:c r="E29" s="82" t="str">
        <x:v>加点＋最低保証</x:v>
      </x:c>
    </x:row>
    <x:row r="30" ht="26" customHeight="1">
      <x:c r="A30" s="83" t="str">
        <x:v>3勝以上</x:v>
      </x:c>
      <x:c r="B30" s="83" t="n">
        <x:v>80</x:v>
      </x:c>
      <x:c r="C30" s="83" t="str">
        <x:v>+3</x:v>
      </x:c>
      <x:c r="D30" s="83" t="n">
        <x:v>85</x:v>
      </x:c>
      <x:c r="E30" s="83" t="str">
        <x:v>加点＋最低保証</x:v>
      </x:c>
    </x:row>
  </x:sheetData>
  <x:mergeCells>
    <x:mergeCell ref="A1:Q1"/>
    <x:mergeCell ref="A2:Q2"/>
  </x:mergeCells>
  <x:pageMargins left="0.7" right="0.7" top="0.75" bottom="0.75" header="0.3" footer="0.3"/>
</x:worksheet>
</file>